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charts/chart12.xml" ContentType="application/vnd.openxmlformats-officedocument.drawingml.chart+xml"/>
  <Override PartName="/xl/drawings/drawing12.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390" yWindow="555" windowWidth="19815" windowHeight="9405" tabRatio="776" firstSheet="17" activeTab="25"/>
  </bookViews>
  <sheets>
    <sheet name="Project_Summary" sheetId="31" r:id="rId1"/>
    <sheet name="Form Responses 1" sheetId="1" r:id="rId2"/>
    <sheet name="clean_data" sheetId="4" r:id="rId3"/>
    <sheet name="Clean_Data_Summary" sheetId="5" r:id="rId4"/>
    <sheet name="Outlier_detection" sheetId="25" r:id="rId5"/>
    <sheet name="Descriptive_Statistics" sheetId="23" r:id="rId6"/>
    <sheet name="Pie_Chart" sheetId="22" r:id="rId7"/>
    <sheet name="Box_plot" sheetId="28" r:id="rId8"/>
    <sheet name="Pivot_Charts" sheetId="29" r:id="rId9"/>
    <sheet name="Fuel_Data_Used_Avg_Fuel(l)" sheetId="9" r:id="rId10"/>
    <sheet name="Avg_Fuel(LMonth)" sheetId="10" r:id="rId11"/>
    <sheet name="Avg_Fuel_Expense" sheetId="26" r:id="rId12"/>
    <sheet name="Per_Capita_Expenses" sheetId="11" r:id="rId13"/>
    <sheet name="Histogram" sheetId="30" r:id="rId14"/>
    <sheet name="Correlation" sheetId="12" r:id="rId15"/>
    <sheet name="Correlation_Matrix" sheetId="24" r:id="rId16"/>
    <sheet name="per_capita_fuel" sheetId="15" r:id="rId17"/>
    <sheet name="ANOVA1" sheetId="13" r:id="rId18"/>
    <sheet name="ANOVA2" sheetId="19" r:id="rId19"/>
    <sheet name="Hypothesis_Summary" sheetId="33" r:id="rId20"/>
    <sheet name="T-test" sheetId="14" r:id="rId21"/>
    <sheet name="Regression1" sheetId="16" r:id="rId22"/>
    <sheet name="Regression2" sheetId="17" r:id="rId23"/>
    <sheet name="Recomendations" sheetId="34" r:id="rId24"/>
    <sheet name="PIVOT_Data" sheetId="20" state="hidden" r:id="rId25"/>
    <sheet name="Dashboard" sheetId="21" r:id="rId26"/>
  </sheets>
  <definedNames>
    <definedName name="_xlnm._FilterDatabase" localSheetId="17" hidden="1">ANOVA1!$A$1:$B$568</definedName>
    <definedName name="Slicer_Gender">#N/A</definedName>
    <definedName name="Slicer_Monthly_income">#N/A</definedName>
  </definedNames>
  <calcPr calcId="144525"/>
  <pivotCaches>
    <pivotCache cacheId="0" r:id="rId27"/>
    <pivotCache cacheId="1" r:id="rId28"/>
    <pivotCache cacheId="2" r:id="rId29"/>
    <pivotCache cacheId="3" r:id="rId30"/>
    <pivotCache cacheId="4" r:id="rId31"/>
  </pivotCaches>
  <extLst>
    <ext xmlns:x14="http://schemas.microsoft.com/office/spreadsheetml/2009/9/main" uri="{BBE1A952-AA13-448e-AADC-164F8A28A991}">
      <x14:slicerCaches>
        <x14:slicerCache r:id="rId32"/>
        <x14:slicerCache r:id="rId3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D568" i="4" l="1"/>
  <c r="AD567" i="4"/>
  <c r="AD566" i="4"/>
  <c r="AD565" i="4"/>
  <c r="AD564" i="4"/>
  <c r="AD563" i="4"/>
  <c r="AD562" i="4"/>
  <c r="AD561" i="4"/>
  <c r="AD560" i="4"/>
  <c r="AD559" i="4"/>
  <c r="AD558" i="4"/>
  <c r="AD557" i="4"/>
  <c r="AD556" i="4"/>
  <c r="AD555" i="4"/>
  <c r="AD554" i="4"/>
  <c r="AD553" i="4"/>
  <c r="AD552" i="4"/>
  <c r="AD551" i="4"/>
  <c r="AD550" i="4"/>
  <c r="AD549" i="4"/>
  <c r="AD548" i="4"/>
  <c r="AD547" i="4"/>
  <c r="AD546" i="4"/>
  <c r="AD545" i="4"/>
  <c r="AD544" i="4"/>
  <c r="AD543" i="4"/>
  <c r="AD542" i="4"/>
  <c r="AD541" i="4"/>
  <c r="AD540" i="4"/>
  <c r="AD539" i="4"/>
  <c r="AD538" i="4"/>
  <c r="AD537" i="4"/>
  <c r="AD536" i="4"/>
  <c r="AD535" i="4"/>
  <c r="AD534" i="4"/>
  <c r="AD533" i="4"/>
  <c r="AD532" i="4"/>
  <c r="AD531" i="4"/>
  <c r="AD530" i="4"/>
  <c r="AD529" i="4"/>
  <c r="AD528" i="4"/>
  <c r="AD527" i="4"/>
  <c r="AD526" i="4"/>
  <c r="AD525" i="4"/>
  <c r="AD524" i="4"/>
  <c r="AD523" i="4"/>
  <c r="AD522" i="4"/>
  <c r="AD521" i="4"/>
  <c r="AD520" i="4"/>
  <c r="AD519" i="4"/>
  <c r="AD518" i="4"/>
  <c r="AD517" i="4"/>
  <c r="AD516" i="4"/>
  <c r="AD515" i="4"/>
  <c r="AD514" i="4"/>
  <c r="AD513" i="4"/>
  <c r="AD512" i="4"/>
  <c r="AD511" i="4"/>
  <c r="AD510" i="4"/>
  <c r="AD509" i="4"/>
  <c r="AD508" i="4"/>
  <c r="AD507" i="4"/>
  <c r="AD506" i="4"/>
  <c r="AD505" i="4"/>
  <c r="AD504" i="4"/>
  <c r="AD503" i="4"/>
  <c r="AD502" i="4"/>
  <c r="AD501" i="4"/>
  <c r="AD500" i="4"/>
  <c r="AD499" i="4"/>
  <c r="AD498" i="4"/>
  <c r="AD497" i="4"/>
  <c r="AD496" i="4"/>
  <c r="AD495" i="4"/>
  <c r="AD494" i="4"/>
  <c r="AD493" i="4"/>
  <c r="AD492" i="4"/>
  <c r="AD491" i="4"/>
  <c r="AD490" i="4"/>
  <c r="AD489" i="4"/>
  <c r="AD488" i="4"/>
  <c r="AD487" i="4"/>
  <c r="AD486" i="4"/>
  <c r="AD485" i="4"/>
  <c r="AD484" i="4"/>
  <c r="AD483" i="4"/>
  <c r="AD482" i="4"/>
  <c r="AD481" i="4"/>
  <c r="AD480" i="4"/>
  <c r="AD479" i="4"/>
  <c r="AD478" i="4"/>
  <c r="AD477" i="4"/>
  <c r="AD476" i="4"/>
  <c r="AD475" i="4"/>
  <c r="AD474" i="4"/>
  <c r="AD473" i="4"/>
  <c r="AD472" i="4"/>
  <c r="AD471" i="4"/>
  <c r="AD470" i="4"/>
  <c r="AD469" i="4"/>
  <c r="AD468" i="4"/>
  <c r="AD467" i="4"/>
  <c r="AD466" i="4"/>
  <c r="AD465" i="4"/>
  <c r="AD464" i="4"/>
  <c r="AD463" i="4"/>
  <c r="AD462" i="4"/>
  <c r="AD461" i="4"/>
  <c r="AD460" i="4"/>
  <c r="AD459" i="4"/>
  <c r="AD458" i="4"/>
  <c r="AD457" i="4"/>
  <c r="AD456" i="4"/>
  <c r="AD455" i="4"/>
  <c r="AD454" i="4"/>
  <c r="AD453" i="4"/>
  <c r="AD452" i="4"/>
  <c r="AD451" i="4"/>
  <c r="AD450" i="4"/>
  <c r="AD449" i="4"/>
  <c r="AD448" i="4"/>
  <c r="AD447" i="4"/>
  <c r="AD446" i="4"/>
  <c r="AD445" i="4"/>
  <c r="AD444" i="4"/>
  <c r="AD443" i="4"/>
  <c r="AD442" i="4"/>
  <c r="AD441" i="4"/>
  <c r="AD440" i="4"/>
  <c r="AD439" i="4"/>
  <c r="AD438" i="4"/>
  <c r="AD437" i="4"/>
  <c r="AD436" i="4"/>
  <c r="AD435" i="4"/>
  <c r="AD434" i="4"/>
  <c r="AD433" i="4"/>
  <c r="AD432" i="4"/>
  <c r="AD431" i="4"/>
  <c r="AD430" i="4"/>
  <c r="AD429" i="4"/>
  <c r="AD428" i="4"/>
  <c r="AD427" i="4"/>
  <c r="AD426" i="4"/>
  <c r="AD425" i="4"/>
  <c r="AD424" i="4"/>
  <c r="AD423" i="4"/>
  <c r="AD422" i="4"/>
  <c r="AD421" i="4"/>
  <c r="AD420" i="4"/>
  <c r="AD419" i="4"/>
  <c r="AD418" i="4"/>
  <c r="AD417" i="4"/>
  <c r="AD416" i="4"/>
  <c r="AD415" i="4"/>
  <c r="AD414" i="4"/>
  <c r="AD413" i="4"/>
  <c r="AD412" i="4"/>
  <c r="AD411" i="4"/>
  <c r="AD410" i="4"/>
  <c r="AD409" i="4"/>
  <c r="AD408" i="4"/>
  <c r="AD407" i="4"/>
  <c r="AD406" i="4"/>
  <c r="AD405" i="4"/>
  <c r="AD404" i="4"/>
  <c r="AD403" i="4"/>
  <c r="AD402" i="4"/>
  <c r="AD401" i="4"/>
  <c r="AD400" i="4"/>
  <c r="AD399" i="4"/>
  <c r="AD398" i="4"/>
  <c r="AD397" i="4"/>
  <c r="AD396" i="4"/>
  <c r="AD395" i="4"/>
  <c r="AD394" i="4"/>
  <c r="AD393" i="4"/>
  <c r="AD392" i="4"/>
  <c r="AD391" i="4"/>
  <c r="AD390" i="4"/>
  <c r="AD389" i="4"/>
  <c r="AD388" i="4"/>
  <c r="AD387" i="4"/>
  <c r="AD386" i="4"/>
  <c r="AD385" i="4"/>
  <c r="AD384" i="4"/>
  <c r="AD383" i="4"/>
  <c r="AD382" i="4"/>
  <c r="AD381" i="4"/>
  <c r="AD380" i="4"/>
  <c r="AD379" i="4"/>
  <c r="AD378" i="4"/>
  <c r="AD377" i="4"/>
  <c r="AD376" i="4"/>
  <c r="AD375" i="4"/>
  <c r="AD374" i="4"/>
  <c r="AD373" i="4"/>
  <c r="AD372" i="4"/>
  <c r="AD371" i="4"/>
  <c r="AD370" i="4"/>
  <c r="AD369" i="4"/>
  <c r="AD368" i="4"/>
  <c r="AD367" i="4"/>
  <c r="AD366" i="4"/>
  <c r="AD365" i="4"/>
  <c r="AD364" i="4"/>
  <c r="AD363" i="4"/>
  <c r="AD362" i="4"/>
  <c r="AD361" i="4"/>
  <c r="AD360" i="4"/>
  <c r="AD359" i="4"/>
  <c r="AD358" i="4"/>
  <c r="AD357" i="4"/>
  <c r="AD356" i="4"/>
  <c r="AD355" i="4"/>
  <c r="AD354" i="4"/>
  <c r="AD353" i="4"/>
  <c r="AD352" i="4"/>
  <c r="AD351" i="4"/>
  <c r="AD350" i="4"/>
  <c r="AD349" i="4"/>
  <c r="AD348" i="4"/>
  <c r="AD347" i="4"/>
  <c r="AD346" i="4"/>
  <c r="AD345" i="4"/>
  <c r="AD344" i="4"/>
  <c r="AD343" i="4"/>
  <c r="AD342" i="4"/>
  <c r="AD341" i="4"/>
  <c r="AD340" i="4"/>
  <c r="AD339" i="4"/>
  <c r="AD338" i="4"/>
  <c r="AD337" i="4"/>
  <c r="AD336" i="4"/>
  <c r="AD335" i="4"/>
  <c r="AD334" i="4"/>
  <c r="AD333" i="4"/>
  <c r="AD332" i="4"/>
  <c r="AD331" i="4"/>
  <c r="AD330" i="4"/>
  <c r="AD329" i="4"/>
  <c r="AD328" i="4"/>
  <c r="AD327" i="4"/>
  <c r="AD326" i="4"/>
  <c r="AD325" i="4"/>
  <c r="AD324" i="4"/>
  <c r="AD323" i="4"/>
  <c r="AD322" i="4"/>
  <c r="AD321" i="4"/>
  <c r="AD320" i="4"/>
  <c r="AD319" i="4"/>
  <c r="AD318" i="4"/>
  <c r="AD317" i="4"/>
  <c r="AD316" i="4"/>
  <c r="AD315" i="4"/>
  <c r="AD314" i="4"/>
  <c r="AD313" i="4"/>
  <c r="AD312" i="4"/>
  <c r="AD311" i="4"/>
  <c r="AD310" i="4"/>
  <c r="AD309" i="4"/>
  <c r="AD308" i="4"/>
  <c r="AD307" i="4"/>
  <c r="AD306" i="4"/>
  <c r="AD305" i="4"/>
  <c r="AD304" i="4"/>
  <c r="AD303" i="4"/>
  <c r="AD302" i="4"/>
  <c r="AD301" i="4"/>
  <c r="AD300" i="4"/>
  <c r="AD299" i="4"/>
  <c r="AD298" i="4"/>
  <c r="AD297" i="4"/>
  <c r="AD296" i="4"/>
  <c r="AD295" i="4"/>
  <c r="AD294" i="4"/>
  <c r="AD293" i="4"/>
  <c r="AD292" i="4"/>
  <c r="AD291" i="4"/>
  <c r="AD290" i="4"/>
  <c r="AD289" i="4"/>
  <c r="AD288" i="4"/>
  <c r="AD287" i="4"/>
  <c r="AD286" i="4"/>
  <c r="AD285" i="4"/>
  <c r="AD284" i="4"/>
  <c r="AD283" i="4"/>
  <c r="AD282" i="4"/>
  <c r="AD281" i="4"/>
  <c r="AD280" i="4"/>
  <c r="AD279" i="4"/>
  <c r="AD278" i="4"/>
  <c r="AD277" i="4"/>
  <c r="AD276" i="4"/>
  <c r="AD275" i="4"/>
  <c r="AD274" i="4"/>
  <c r="AD273" i="4"/>
  <c r="AD272" i="4"/>
  <c r="AD271" i="4"/>
  <c r="AD270" i="4"/>
  <c r="AD269" i="4"/>
  <c r="AD268" i="4"/>
  <c r="AD267" i="4"/>
  <c r="AD266" i="4"/>
  <c r="AD265" i="4"/>
  <c r="AD264" i="4"/>
  <c r="AD263" i="4"/>
  <c r="AD262" i="4"/>
  <c r="AD261" i="4"/>
  <c r="AD260" i="4"/>
  <c r="AD259" i="4"/>
  <c r="AD258" i="4"/>
  <c r="AD257" i="4"/>
  <c r="AD256" i="4"/>
  <c r="AD255" i="4"/>
  <c r="AD254" i="4"/>
  <c r="AD253" i="4"/>
  <c r="AD252" i="4"/>
  <c r="AD251" i="4"/>
  <c r="AD250" i="4"/>
  <c r="AD249" i="4"/>
  <c r="AD248" i="4"/>
  <c r="AD247" i="4"/>
  <c r="AD246" i="4"/>
  <c r="AD245" i="4"/>
  <c r="AD244" i="4"/>
  <c r="AD243" i="4"/>
  <c r="AD242" i="4"/>
  <c r="AD241" i="4"/>
  <c r="AD240" i="4"/>
  <c r="AD239" i="4"/>
  <c r="AD238" i="4"/>
  <c r="AD237" i="4"/>
  <c r="AD236" i="4"/>
  <c r="AD235" i="4"/>
  <c r="AD234" i="4"/>
  <c r="AD233" i="4"/>
  <c r="AD232" i="4"/>
  <c r="AD231" i="4"/>
  <c r="AD230" i="4"/>
  <c r="AD229" i="4"/>
  <c r="AD228" i="4"/>
  <c r="AD227" i="4"/>
  <c r="AD226" i="4"/>
  <c r="AD225" i="4"/>
  <c r="AD224" i="4"/>
  <c r="AD223" i="4"/>
  <c r="AD222" i="4"/>
  <c r="AD221" i="4"/>
  <c r="AD220" i="4"/>
  <c r="AD219" i="4"/>
  <c r="AD218" i="4"/>
  <c r="AD217" i="4"/>
  <c r="AD216" i="4"/>
  <c r="AD215" i="4"/>
  <c r="AD214" i="4"/>
  <c r="AD213" i="4"/>
  <c r="AD212" i="4"/>
  <c r="AD211" i="4"/>
  <c r="AD210" i="4"/>
  <c r="AD209" i="4"/>
  <c r="AD208" i="4"/>
  <c r="AD207" i="4"/>
  <c r="AD206" i="4"/>
  <c r="AD205" i="4"/>
  <c r="AD204" i="4"/>
  <c r="AD203" i="4"/>
  <c r="AD202" i="4"/>
  <c r="AD201" i="4"/>
  <c r="AD200" i="4"/>
  <c r="AD199" i="4"/>
  <c r="AD198" i="4"/>
  <c r="AD197" i="4"/>
  <c r="AD196" i="4"/>
  <c r="AD195" i="4"/>
  <c r="AD194" i="4"/>
  <c r="AD193" i="4"/>
  <c r="AD192" i="4"/>
  <c r="AD191" i="4"/>
  <c r="AD190" i="4"/>
  <c r="AD189" i="4"/>
  <c r="AD188" i="4"/>
  <c r="AD187" i="4"/>
  <c r="AD186" i="4"/>
  <c r="AD185" i="4"/>
  <c r="AD184" i="4"/>
  <c r="AD183" i="4"/>
  <c r="AD182" i="4"/>
  <c r="AD181" i="4"/>
  <c r="AD180" i="4"/>
  <c r="AD179" i="4"/>
  <c r="AD178" i="4"/>
  <c r="AD177" i="4"/>
  <c r="AD176" i="4"/>
  <c r="AD175" i="4"/>
  <c r="AD174" i="4"/>
  <c r="AD173" i="4"/>
  <c r="AD172" i="4"/>
  <c r="AD171" i="4"/>
  <c r="AD170" i="4"/>
  <c r="AD169" i="4"/>
  <c r="AD168" i="4"/>
  <c r="AD167" i="4"/>
  <c r="AD166" i="4"/>
  <c r="AD165" i="4"/>
  <c r="AD164" i="4"/>
  <c r="AD163" i="4"/>
  <c r="AD162" i="4"/>
  <c r="AD161" i="4"/>
  <c r="AD160" i="4"/>
  <c r="AD159" i="4"/>
  <c r="AD158" i="4"/>
  <c r="AD157" i="4"/>
  <c r="AD156" i="4"/>
  <c r="AD155" i="4"/>
  <c r="AD154" i="4"/>
  <c r="AD153" i="4"/>
  <c r="AD152" i="4"/>
  <c r="AD151" i="4"/>
  <c r="AD150" i="4"/>
  <c r="AD149" i="4"/>
  <c r="AD148" i="4"/>
  <c r="AD147" i="4"/>
  <c r="AD146" i="4"/>
  <c r="AD145" i="4"/>
  <c r="AD144" i="4"/>
  <c r="AD143" i="4"/>
  <c r="AD142" i="4"/>
  <c r="AD141" i="4"/>
  <c r="AD140" i="4"/>
  <c r="AD139" i="4"/>
  <c r="AD138" i="4"/>
  <c r="AD137" i="4"/>
  <c r="AD136" i="4"/>
  <c r="AD135" i="4"/>
  <c r="AD134" i="4"/>
  <c r="AD133" i="4"/>
  <c r="AD132" i="4"/>
  <c r="AD131" i="4"/>
  <c r="AD130" i="4"/>
  <c r="AD129" i="4"/>
  <c r="AD128" i="4"/>
  <c r="AD127" i="4"/>
  <c r="AD126" i="4"/>
  <c r="AD125" i="4"/>
  <c r="AD124" i="4"/>
  <c r="AD123" i="4"/>
  <c r="AD122" i="4"/>
  <c r="AD121" i="4"/>
  <c r="AD120" i="4"/>
  <c r="AD119" i="4"/>
  <c r="AD118" i="4"/>
  <c r="AD117" i="4"/>
  <c r="AD116" i="4"/>
  <c r="AD115" i="4"/>
  <c r="AD114" i="4"/>
  <c r="AD113" i="4"/>
  <c r="AD112" i="4"/>
  <c r="AD111" i="4"/>
  <c r="AD110" i="4"/>
  <c r="AD109" i="4"/>
  <c r="AD108" i="4"/>
  <c r="AD107" i="4"/>
  <c r="AD106" i="4"/>
  <c r="AD105" i="4"/>
  <c r="AD104" i="4"/>
  <c r="AD103" i="4"/>
  <c r="AD102" i="4"/>
  <c r="AD101" i="4"/>
  <c r="AD100" i="4"/>
  <c r="AD99" i="4"/>
  <c r="AD98" i="4"/>
  <c r="AD97" i="4"/>
  <c r="AD96" i="4"/>
  <c r="AD95" i="4"/>
  <c r="AD94" i="4"/>
  <c r="AD93" i="4"/>
  <c r="AD92" i="4"/>
  <c r="AD91" i="4"/>
  <c r="AD90" i="4"/>
  <c r="AD89" i="4"/>
  <c r="AD88" i="4"/>
  <c r="AD87" i="4"/>
  <c r="AD86" i="4"/>
  <c r="AD85" i="4"/>
  <c r="AD84" i="4"/>
  <c r="AD83" i="4"/>
  <c r="AD82" i="4"/>
  <c r="AD81" i="4"/>
  <c r="AD80" i="4"/>
  <c r="AD79" i="4"/>
  <c r="AD78" i="4"/>
  <c r="AD77" i="4"/>
  <c r="AD76" i="4"/>
  <c r="AD75" i="4"/>
  <c r="AD74" i="4"/>
  <c r="AD73" i="4"/>
  <c r="AD72" i="4"/>
  <c r="AD71" i="4"/>
  <c r="AD70" i="4"/>
  <c r="AD69" i="4"/>
  <c r="AD68" i="4"/>
  <c r="AD67" i="4"/>
  <c r="AD66" i="4"/>
  <c r="AD65" i="4"/>
  <c r="AD64" i="4"/>
  <c r="AD63" i="4"/>
  <c r="AD62" i="4"/>
  <c r="AD61" i="4"/>
  <c r="AD60" i="4"/>
  <c r="AD59" i="4"/>
  <c r="AD58" i="4"/>
  <c r="AD57" i="4"/>
  <c r="AD56" i="4"/>
  <c r="AD55" i="4"/>
  <c r="AD54" i="4"/>
  <c r="AD53" i="4"/>
  <c r="AD52" i="4"/>
  <c r="AD51" i="4"/>
  <c r="AD50" i="4"/>
  <c r="AD49" i="4"/>
  <c r="AD48" i="4"/>
  <c r="AD47" i="4"/>
  <c r="AD46" i="4"/>
  <c r="AD45" i="4"/>
  <c r="AD44" i="4"/>
  <c r="AD43" i="4"/>
  <c r="AD42" i="4"/>
  <c r="AD41" i="4"/>
  <c r="AD40" i="4"/>
  <c r="AD39" i="4"/>
  <c r="AD38" i="4"/>
  <c r="AD37" i="4"/>
  <c r="AD36" i="4"/>
  <c r="AD35" i="4"/>
  <c r="AD34" i="4"/>
  <c r="AD33" i="4"/>
  <c r="AD32" i="4"/>
  <c r="AD31" i="4"/>
  <c r="AD30" i="4"/>
  <c r="AD29" i="4"/>
  <c r="AD28" i="4"/>
  <c r="AD27" i="4"/>
  <c r="AD26" i="4"/>
  <c r="AD25" i="4"/>
  <c r="AD24" i="4"/>
  <c r="AD23" i="4"/>
  <c r="AD22" i="4"/>
  <c r="AD21" i="4"/>
  <c r="AD20" i="4"/>
  <c r="AD19" i="4"/>
  <c r="AD18" i="4"/>
  <c r="AD17" i="4"/>
  <c r="AD16" i="4"/>
  <c r="AD15" i="4"/>
  <c r="AD14" i="4"/>
  <c r="AD13" i="4"/>
  <c r="AD12" i="4"/>
  <c r="AD11" i="4"/>
  <c r="AD10" i="4"/>
  <c r="AD9" i="4"/>
  <c r="AD8" i="4"/>
  <c r="AD7" i="4"/>
  <c r="AD6" i="4"/>
  <c r="AD5" i="4"/>
  <c r="AD4" i="4"/>
  <c r="AD3" i="4"/>
  <c r="AD2" i="4"/>
  <c r="M25" i="19" l="1"/>
  <c r="B5" i="26" l="1"/>
  <c r="B4" i="26"/>
  <c r="B2" i="26"/>
  <c r="I18" i="14" l="1"/>
  <c r="I14" i="14"/>
  <c r="I10" i="14"/>
  <c r="I6" i="14"/>
  <c r="I5" i="14"/>
  <c r="H31" i="16" l="1"/>
  <c r="H30" i="16"/>
  <c r="H29" i="16"/>
  <c r="H28" i="16"/>
  <c r="H27" i="16"/>
  <c r="K31" i="16"/>
  <c r="K30" i="16"/>
  <c r="K29" i="16"/>
  <c r="J31" i="16"/>
  <c r="J30" i="16"/>
  <c r="J28" i="16"/>
  <c r="J29" i="16"/>
  <c r="I31" i="16"/>
  <c r="I30" i="16"/>
  <c r="I29" i="16"/>
  <c r="K28" i="16"/>
  <c r="K27" i="16"/>
  <c r="J27" i="16"/>
  <c r="I28" i="16"/>
  <c r="I27" i="16"/>
  <c r="H8" i="23"/>
  <c r="H7" i="23"/>
  <c r="H6" i="23"/>
  <c r="H5" i="23"/>
  <c r="H4" i="23"/>
  <c r="K3" i="12"/>
  <c r="B24" i="31"/>
  <c r="B23" i="31"/>
  <c r="B22" i="31"/>
  <c r="B21" i="31"/>
  <c r="B20" i="31"/>
  <c r="B19" i="31"/>
  <c r="B18" i="31"/>
  <c r="B17" i="31"/>
  <c r="B16" i="31"/>
  <c r="B15" i="31"/>
  <c r="B14" i="31"/>
  <c r="H4" i="31"/>
  <c r="J8" i="28" l="1"/>
  <c r="I8" i="28"/>
  <c r="H8" i="28"/>
  <c r="J7" i="28"/>
  <c r="I7" i="28"/>
  <c r="H7" i="28"/>
  <c r="J6" i="28"/>
  <c r="I6" i="28"/>
  <c r="H6" i="28"/>
  <c r="J5" i="28"/>
  <c r="I5" i="28"/>
  <c r="H5" i="28"/>
  <c r="E8" i="28"/>
  <c r="D8" i="28"/>
  <c r="C8" i="28"/>
  <c r="B8" i="28"/>
  <c r="E7" i="28"/>
  <c r="D7" i="28"/>
  <c r="C7" i="28"/>
  <c r="B7" i="28"/>
  <c r="E6" i="28"/>
  <c r="D6" i="28"/>
  <c r="C6" i="28"/>
  <c r="B6" i="28"/>
  <c r="E5" i="28"/>
  <c r="D5" i="28"/>
  <c r="C5" i="28"/>
  <c r="B5" i="28"/>
  <c r="E4" i="28"/>
  <c r="D4" i="28"/>
  <c r="C4" i="28"/>
  <c r="B4" i="28"/>
  <c r="B3" i="26"/>
  <c r="B3" i="25"/>
  <c r="B2" i="25"/>
  <c r="C6" i="23"/>
  <c r="G8" i="23" l="1"/>
  <c r="F8" i="23"/>
  <c r="E8" i="23"/>
  <c r="D8" i="23"/>
  <c r="C8" i="23"/>
  <c r="G7" i="23"/>
  <c r="F7" i="23"/>
  <c r="E7" i="23"/>
  <c r="D7" i="23"/>
  <c r="C7" i="23"/>
  <c r="G6" i="23"/>
  <c r="F6" i="23"/>
  <c r="E6" i="23"/>
  <c r="D6" i="23"/>
  <c r="G4" i="23"/>
  <c r="F4" i="23"/>
  <c r="E4" i="23"/>
  <c r="D4" i="23"/>
  <c r="C4" i="23"/>
  <c r="J40" i="13"/>
  <c r="B4" i="25" l="1"/>
  <c r="B6" i="25" s="1"/>
  <c r="B7" i="25" l="1"/>
  <c r="B5" i="25"/>
  <c r="B8" i="25" s="1"/>
  <c r="B27" i="5"/>
  <c r="K4" i="21" l="1"/>
  <c r="E4" i="31"/>
  <c r="O4" i="21"/>
  <c r="J4" i="15" l="1"/>
  <c r="F8" i="14" l="1"/>
  <c r="F5" i="14"/>
  <c r="E2" i="14"/>
  <c r="C545" i="17" l="1"/>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2" i="17"/>
  <c r="B3" i="17"/>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2" i="17"/>
  <c r="J9" i="15" l="1"/>
  <c r="J8" i="15"/>
  <c r="J7" i="15"/>
  <c r="J5" i="15"/>
  <c r="G3"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263" i="15"/>
  <c r="G264" i="15"/>
  <c r="G265" i="15"/>
  <c r="G266" i="15"/>
  <c r="G267" i="15"/>
  <c r="G268" i="15"/>
  <c r="G269" i="15"/>
  <c r="G270" i="15"/>
  <c r="G271" i="15"/>
  <c r="G272" i="15"/>
  <c r="G273" i="15"/>
  <c r="G274" i="15"/>
  <c r="G275" i="15"/>
  <c r="G276" i="15"/>
  <c r="G277" i="15"/>
  <c r="G278" i="15"/>
  <c r="G279" i="15"/>
  <c r="G280" i="15"/>
  <c r="G281" i="15"/>
  <c r="G282" i="15"/>
  <c r="G283" i="15"/>
  <c r="G284" i="15"/>
  <c r="G285" i="15"/>
  <c r="G286" i="15"/>
  <c r="G287" i="15"/>
  <c r="G288" i="15"/>
  <c r="G289" i="15"/>
  <c r="G290" i="15"/>
  <c r="G291" i="15"/>
  <c r="G292" i="15"/>
  <c r="G293" i="15"/>
  <c r="G294" i="15"/>
  <c r="G295" i="15"/>
  <c r="G296" i="15"/>
  <c r="G297" i="15"/>
  <c r="G298" i="15"/>
  <c r="G299" i="15"/>
  <c r="G300" i="15"/>
  <c r="G301" i="15"/>
  <c r="G302" i="15"/>
  <c r="G303" i="15"/>
  <c r="G304" i="15"/>
  <c r="G305" i="15"/>
  <c r="G306" i="15"/>
  <c r="G307" i="15"/>
  <c r="G308" i="15"/>
  <c r="G309" i="15"/>
  <c r="G310" i="15"/>
  <c r="G311" i="15"/>
  <c r="G312" i="15"/>
  <c r="G313" i="15"/>
  <c r="G314" i="15"/>
  <c r="G315" i="15"/>
  <c r="G316" i="15"/>
  <c r="G317" i="15"/>
  <c r="G318" i="15"/>
  <c r="G319" i="15"/>
  <c r="G320" i="15"/>
  <c r="G321" i="15"/>
  <c r="G322" i="15"/>
  <c r="G323" i="15"/>
  <c r="G324" i="15"/>
  <c r="G325" i="15"/>
  <c r="G326" i="15"/>
  <c r="G327" i="15"/>
  <c r="G328" i="15"/>
  <c r="G329" i="15"/>
  <c r="G330" i="15"/>
  <c r="G331" i="15"/>
  <c r="G332" i="15"/>
  <c r="G333" i="15"/>
  <c r="G334" i="15"/>
  <c r="G335" i="15"/>
  <c r="G336" i="15"/>
  <c r="G337" i="15"/>
  <c r="G338" i="15"/>
  <c r="G339" i="15"/>
  <c r="G340" i="15"/>
  <c r="G341" i="15"/>
  <c r="G342" i="15"/>
  <c r="G343" i="15"/>
  <c r="G344" i="15"/>
  <c r="G345" i="15"/>
  <c r="G346" i="15"/>
  <c r="G347" i="15"/>
  <c r="G348" i="15"/>
  <c r="G349" i="15"/>
  <c r="G350" i="15"/>
  <c r="G351" i="15"/>
  <c r="G352" i="15"/>
  <c r="G353" i="15"/>
  <c r="G354" i="15"/>
  <c r="G355" i="15"/>
  <c r="G356" i="15"/>
  <c r="G357" i="15"/>
  <c r="G358" i="15"/>
  <c r="G359" i="15"/>
  <c r="G360" i="15"/>
  <c r="G361" i="15"/>
  <c r="G362" i="15"/>
  <c r="G363" i="15"/>
  <c r="G364" i="15"/>
  <c r="G365" i="15"/>
  <c r="G366" i="15"/>
  <c r="G367" i="15"/>
  <c r="G368" i="15"/>
  <c r="G369" i="15"/>
  <c r="G370" i="15"/>
  <c r="G371" i="15"/>
  <c r="G372" i="15"/>
  <c r="G373" i="15"/>
  <c r="G374" i="15"/>
  <c r="G375" i="15"/>
  <c r="G376" i="15"/>
  <c r="G377" i="15"/>
  <c r="G378" i="15"/>
  <c r="G379" i="15"/>
  <c r="G380" i="15"/>
  <c r="G381" i="15"/>
  <c r="G382" i="15"/>
  <c r="G383" i="15"/>
  <c r="G384" i="15"/>
  <c r="G385" i="15"/>
  <c r="G386" i="15"/>
  <c r="G387" i="15"/>
  <c r="G388" i="15"/>
  <c r="G389" i="15"/>
  <c r="G390" i="15"/>
  <c r="G391" i="15"/>
  <c r="G392" i="15"/>
  <c r="G393" i="15"/>
  <c r="G394" i="15"/>
  <c r="G395" i="15"/>
  <c r="G396" i="15"/>
  <c r="G397" i="15"/>
  <c r="G398" i="15"/>
  <c r="G399" i="15"/>
  <c r="G400" i="15"/>
  <c r="G401" i="15"/>
  <c r="G402" i="15"/>
  <c r="G403" i="15"/>
  <c r="G404" i="15"/>
  <c r="G405" i="15"/>
  <c r="G406" i="15"/>
  <c r="G407" i="15"/>
  <c r="G408" i="15"/>
  <c r="G409" i="15"/>
  <c r="G410" i="15"/>
  <c r="G411" i="15"/>
  <c r="G412" i="15"/>
  <c r="G413" i="15"/>
  <c r="G414" i="15"/>
  <c r="G415" i="15"/>
  <c r="G416" i="15"/>
  <c r="G417" i="15"/>
  <c r="G418" i="15"/>
  <c r="G419" i="15"/>
  <c r="G420" i="15"/>
  <c r="G421" i="15"/>
  <c r="G422" i="15"/>
  <c r="G423" i="15"/>
  <c r="G424" i="15"/>
  <c r="G425" i="15"/>
  <c r="G426" i="15"/>
  <c r="G427" i="15"/>
  <c r="G428" i="15"/>
  <c r="G429" i="15"/>
  <c r="G430" i="15"/>
  <c r="G431" i="15"/>
  <c r="G432" i="15"/>
  <c r="G433" i="15"/>
  <c r="G434" i="15"/>
  <c r="G435" i="15"/>
  <c r="G436" i="15"/>
  <c r="G437" i="15"/>
  <c r="G438" i="15"/>
  <c r="G439" i="15"/>
  <c r="G440" i="15"/>
  <c r="G441" i="15"/>
  <c r="G442" i="15"/>
  <c r="G443" i="15"/>
  <c r="G444" i="15"/>
  <c r="G445" i="15"/>
  <c r="G446" i="15"/>
  <c r="G447" i="15"/>
  <c r="G448" i="15"/>
  <c r="G449" i="15"/>
  <c r="G450" i="15"/>
  <c r="G451" i="15"/>
  <c r="G452" i="15"/>
  <c r="G453" i="15"/>
  <c r="G454" i="15"/>
  <c r="G455" i="15"/>
  <c r="G456" i="15"/>
  <c r="G457" i="15"/>
  <c r="G458" i="15"/>
  <c r="G459" i="15"/>
  <c r="G460" i="15"/>
  <c r="G461" i="15"/>
  <c r="G462" i="15"/>
  <c r="G463" i="15"/>
  <c r="G464" i="15"/>
  <c r="G465" i="15"/>
  <c r="G466" i="15"/>
  <c r="G467" i="15"/>
  <c r="G468" i="15"/>
  <c r="G469" i="15"/>
  <c r="G470" i="15"/>
  <c r="G471" i="15"/>
  <c r="G472" i="15"/>
  <c r="G473" i="15"/>
  <c r="G474" i="15"/>
  <c r="G475" i="15"/>
  <c r="G476" i="15"/>
  <c r="G477" i="15"/>
  <c r="G478" i="15"/>
  <c r="G479" i="15"/>
  <c r="G480" i="15"/>
  <c r="G481" i="15"/>
  <c r="G482" i="15"/>
  <c r="G483" i="15"/>
  <c r="G484" i="15"/>
  <c r="G485" i="15"/>
  <c r="G486" i="15"/>
  <c r="G487" i="15"/>
  <c r="G488" i="15"/>
  <c r="G489" i="15"/>
  <c r="G490" i="15"/>
  <c r="G491" i="15"/>
  <c r="G492" i="15"/>
  <c r="G493" i="15"/>
  <c r="G494" i="15"/>
  <c r="G495" i="15"/>
  <c r="G496" i="15"/>
  <c r="G497" i="15"/>
  <c r="G498" i="15"/>
  <c r="G499" i="15"/>
  <c r="G500" i="15"/>
  <c r="G501" i="15"/>
  <c r="G502" i="15"/>
  <c r="G503" i="15"/>
  <c r="G504" i="15"/>
  <c r="G505" i="15"/>
  <c r="G506" i="15"/>
  <c r="G507" i="15"/>
  <c r="G508" i="15"/>
  <c r="G509" i="15"/>
  <c r="G510" i="15"/>
  <c r="G511" i="15"/>
  <c r="G512" i="15"/>
  <c r="G513" i="15"/>
  <c r="G514" i="15"/>
  <c r="G515" i="15"/>
  <c r="G516" i="15"/>
  <c r="G517" i="15"/>
  <c r="G518" i="15"/>
  <c r="G519" i="15"/>
  <c r="G520" i="15"/>
  <c r="G521" i="15"/>
  <c r="G522" i="15"/>
  <c r="G523" i="15"/>
  <c r="G524" i="15"/>
  <c r="G525" i="15"/>
  <c r="G526" i="15"/>
  <c r="G527" i="15"/>
  <c r="G528" i="15"/>
  <c r="G529" i="15"/>
  <c r="G530" i="15"/>
  <c r="G531" i="15"/>
  <c r="G532" i="15"/>
  <c r="G533" i="15"/>
  <c r="G534" i="15"/>
  <c r="G535" i="15"/>
  <c r="G536" i="15"/>
  <c r="G537" i="15"/>
  <c r="G538" i="15"/>
  <c r="G539" i="15"/>
  <c r="G540" i="15"/>
  <c r="G541" i="15"/>
  <c r="G542" i="15"/>
  <c r="G543" i="15"/>
  <c r="G544" i="15"/>
  <c r="G545" i="15"/>
  <c r="G546" i="15"/>
  <c r="G547" i="15"/>
  <c r="G548" i="15"/>
  <c r="G549" i="15"/>
  <c r="G550" i="15"/>
  <c r="G551" i="15"/>
  <c r="G552" i="15"/>
  <c r="G553" i="15"/>
  <c r="G554" i="15"/>
  <c r="G555" i="15"/>
  <c r="G556" i="15"/>
  <c r="G557" i="15"/>
  <c r="G558" i="15"/>
  <c r="G559" i="15"/>
  <c r="G560" i="15"/>
  <c r="G561" i="15"/>
  <c r="G562" i="15"/>
  <c r="G563" i="15"/>
  <c r="G564" i="15"/>
  <c r="G565" i="15"/>
  <c r="G566" i="15"/>
  <c r="G567" i="15"/>
  <c r="G568" i="15"/>
  <c r="G2" i="15"/>
  <c r="A3"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235" i="15"/>
  <c r="A236" i="15"/>
  <c r="A237" i="15"/>
  <c r="A238" i="15"/>
  <c r="A239" i="15"/>
  <c r="A240"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89" i="15"/>
  <c r="A290" i="15"/>
  <c r="A291" i="15"/>
  <c r="A292" i="15"/>
  <c r="A293" i="15"/>
  <c r="A294" i="15"/>
  <c r="A295" i="15"/>
  <c r="A296" i="15"/>
  <c r="A297"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0" i="15"/>
  <c r="A341" i="15"/>
  <c r="A342" i="15"/>
  <c r="A343" i="15"/>
  <c r="A344" i="15"/>
  <c r="A345" i="15"/>
  <c r="A346" i="15"/>
  <c r="A347" i="15"/>
  <c r="A348" i="15"/>
  <c r="A349" i="15"/>
  <c r="A350" i="15"/>
  <c r="A351" i="15"/>
  <c r="A352" i="15"/>
  <c r="A353" i="15"/>
  <c r="A354" i="15"/>
  <c r="A355" i="15"/>
  <c r="A356" i="15"/>
  <c r="A357" i="15"/>
  <c r="A358" i="15"/>
  <c r="A359"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99" i="15"/>
  <c r="A400" i="15"/>
  <c r="A401" i="15"/>
  <c r="A402" i="15"/>
  <c r="A403" i="15"/>
  <c r="A404" i="15"/>
  <c r="A405" i="15"/>
  <c r="A406" i="15"/>
  <c r="A407" i="15"/>
  <c r="A408" i="15"/>
  <c r="A409"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3"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5" i="15"/>
  <c r="A476" i="15"/>
  <c r="A477" i="15"/>
  <c r="A478" i="15"/>
  <c r="A479" i="15"/>
  <c r="A480" i="15"/>
  <c r="A481" i="15"/>
  <c r="A482" i="15"/>
  <c r="A483" i="15"/>
  <c r="A484" i="15"/>
  <c r="A485" i="15"/>
  <c r="A486" i="15"/>
  <c r="A487" i="15"/>
  <c r="A488" i="15"/>
  <c r="A489" i="15"/>
  <c r="A490" i="15"/>
  <c r="A491" i="15"/>
  <c r="A492" i="15"/>
  <c r="A493" i="15"/>
  <c r="A494" i="15"/>
  <c r="A495" i="15"/>
  <c r="A496" i="15"/>
  <c r="A497" i="15"/>
  <c r="A498" i="15"/>
  <c r="A499" i="15"/>
  <c r="A500" i="15"/>
  <c r="A501" i="15"/>
  <c r="A502" i="15"/>
  <c r="A503" i="15"/>
  <c r="A504" i="15"/>
  <c r="A505" i="15"/>
  <c r="A506" i="15"/>
  <c r="A507" i="15"/>
  <c r="A508" i="15"/>
  <c r="A509" i="15"/>
  <c r="A510" i="15"/>
  <c r="A511" i="15"/>
  <c r="A512" i="15"/>
  <c r="A513" i="15"/>
  <c r="A514" i="15"/>
  <c r="A515" i="15"/>
  <c r="A516" i="15"/>
  <c r="A517" i="15"/>
  <c r="A518" i="15"/>
  <c r="A519" i="15"/>
  <c r="A520" i="15"/>
  <c r="A521" i="15"/>
  <c r="A522" i="15"/>
  <c r="A523" i="15"/>
  <c r="A524" i="15"/>
  <c r="A525" i="15"/>
  <c r="A526" i="15"/>
  <c r="A527" i="15"/>
  <c r="A528" i="15"/>
  <c r="A529" i="15"/>
  <c r="A530" i="15"/>
  <c r="A531" i="15"/>
  <c r="A532" i="15"/>
  <c r="A533" i="15"/>
  <c r="A534" i="15"/>
  <c r="A535" i="15"/>
  <c r="A536" i="15"/>
  <c r="A537" i="15"/>
  <c r="A538" i="15"/>
  <c r="A539" i="15"/>
  <c r="A540" i="15"/>
  <c r="A541" i="15"/>
  <c r="A542" i="15"/>
  <c r="A543" i="15"/>
  <c r="A544" i="15"/>
  <c r="A545" i="15"/>
  <c r="A546" i="15"/>
  <c r="A547" i="15"/>
  <c r="A548" i="15"/>
  <c r="A549" i="15"/>
  <c r="A550" i="15"/>
  <c r="A551" i="15"/>
  <c r="A552" i="15"/>
  <c r="A553" i="15"/>
  <c r="A554" i="15"/>
  <c r="A555" i="15"/>
  <c r="A556" i="15"/>
  <c r="A557" i="15"/>
  <c r="A558" i="15"/>
  <c r="A559" i="15"/>
  <c r="A560" i="15"/>
  <c r="A561" i="15"/>
  <c r="A562" i="15"/>
  <c r="A563" i="15"/>
  <c r="A564" i="15"/>
  <c r="A565" i="15"/>
  <c r="A566" i="15"/>
  <c r="A567" i="15"/>
  <c r="A568" i="15"/>
  <c r="A2" i="15"/>
  <c r="F6" i="14" l="1"/>
  <c r="K6" i="13" l="1"/>
  <c r="K5" i="13"/>
  <c r="K4" i="13"/>
  <c r="K3" i="13"/>
  <c r="K7" i="13" s="1"/>
  <c r="J6" i="13"/>
  <c r="J5" i="13"/>
  <c r="J4" i="13"/>
  <c r="J3" i="13"/>
  <c r="L38" i="12"/>
  <c r="K38" i="12"/>
  <c r="K2" i="12"/>
  <c r="K37" i="12"/>
  <c r="K36" i="12"/>
  <c r="K35" i="12"/>
  <c r="K33" i="12"/>
  <c r="K34" i="12"/>
  <c r="K32" i="12"/>
  <c r="M37" i="12" l="1"/>
  <c r="M36" i="12"/>
  <c r="M35" i="12"/>
  <c r="M34" i="12"/>
  <c r="M33" i="12"/>
  <c r="M32" i="12"/>
  <c r="M38" i="12" s="1"/>
  <c r="H19" i="5"/>
  <c r="H16" i="5"/>
  <c r="B19" i="5"/>
  <c r="B16" i="5"/>
  <c r="H548" i="12" l="1"/>
  <c r="H505" i="12"/>
  <c r="H484" i="12"/>
  <c r="H441" i="12"/>
  <c r="H420" i="12"/>
  <c r="H377" i="12"/>
  <c r="H356" i="12"/>
  <c r="H313" i="12"/>
  <c r="H292" i="12"/>
  <c r="H249" i="12"/>
  <c r="H229" i="12"/>
  <c r="H213" i="12"/>
  <c r="H197" i="12"/>
  <c r="H181" i="12"/>
  <c r="H165" i="12"/>
  <c r="H149" i="12"/>
  <c r="H141" i="12"/>
  <c r="H135" i="12"/>
  <c r="H129" i="12"/>
  <c r="H125" i="12"/>
  <c r="H119" i="12"/>
  <c r="H113" i="12"/>
  <c r="H109" i="12"/>
  <c r="H103" i="12"/>
  <c r="H97" i="12"/>
  <c r="H93" i="12"/>
  <c r="H87" i="12"/>
  <c r="H81" i="12"/>
  <c r="H77" i="12"/>
  <c r="H71" i="12"/>
  <c r="H65" i="12"/>
  <c r="H61" i="12"/>
  <c r="H55" i="12"/>
  <c r="H49" i="12"/>
  <c r="H45" i="12"/>
  <c r="H39" i="12"/>
  <c r="H33" i="12"/>
  <c r="H29" i="12"/>
  <c r="H23" i="12"/>
  <c r="H21" i="12"/>
  <c r="H17" i="12"/>
  <c r="H13" i="12"/>
  <c r="H7" i="12"/>
  <c r="H5" i="12"/>
  <c r="H2" i="12"/>
  <c r="F3" i="12"/>
  <c r="H3" i="12" s="1"/>
  <c r="F4" i="12"/>
  <c r="H4" i="12" s="1"/>
  <c r="F5" i="12"/>
  <c r="F6" i="12"/>
  <c r="H6" i="12" s="1"/>
  <c r="F7" i="12"/>
  <c r="F8" i="12"/>
  <c r="H8" i="12" s="1"/>
  <c r="F9" i="12"/>
  <c r="H9" i="12" s="1"/>
  <c r="F10" i="12"/>
  <c r="H10" i="12" s="1"/>
  <c r="F11" i="12"/>
  <c r="H11" i="12" s="1"/>
  <c r="F12" i="12"/>
  <c r="H12" i="12" s="1"/>
  <c r="F13" i="12"/>
  <c r="F14" i="12"/>
  <c r="H14" i="12" s="1"/>
  <c r="F15" i="12"/>
  <c r="H15" i="12" s="1"/>
  <c r="F16" i="12"/>
  <c r="H16" i="12" s="1"/>
  <c r="F17" i="12"/>
  <c r="F18" i="12"/>
  <c r="H18" i="12" s="1"/>
  <c r="F19" i="12"/>
  <c r="H19" i="12" s="1"/>
  <c r="F20" i="12"/>
  <c r="H20" i="12" s="1"/>
  <c r="F21" i="12"/>
  <c r="F22" i="12"/>
  <c r="H22" i="12" s="1"/>
  <c r="F23" i="12"/>
  <c r="F24" i="12"/>
  <c r="H24" i="12" s="1"/>
  <c r="F25" i="12"/>
  <c r="H25" i="12" s="1"/>
  <c r="F26" i="12"/>
  <c r="H26" i="12" s="1"/>
  <c r="F27" i="12"/>
  <c r="H27" i="12" s="1"/>
  <c r="F28" i="12"/>
  <c r="H28" i="12" s="1"/>
  <c r="F29" i="12"/>
  <c r="F30" i="12"/>
  <c r="H30" i="12" s="1"/>
  <c r="F31" i="12"/>
  <c r="H31" i="12" s="1"/>
  <c r="F32" i="12"/>
  <c r="H32" i="12" s="1"/>
  <c r="F33" i="12"/>
  <c r="F34" i="12"/>
  <c r="H34" i="12" s="1"/>
  <c r="F35" i="12"/>
  <c r="H35" i="12" s="1"/>
  <c r="F36" i="12"/>
  <c r="H36" i="12" s="1"/>
  <c r="F37" i="12"/>
  <c r="H37" i="12" s="1"/>
  <c r="F38" i="12"/>
  <c r="H38" i="12" s="1"/>
  <c r="F39" i="12"/>
  <c r="F40" i="12"/>
  <c r="H40" i="12" s="1"/>
  <c r="F41" i="12"/>
  <c r="H41" i="12" s="1"/>
  <c r="F42" i="12"/>
  <c r="H42" i="12" s="1"/>
  <c r="F43" i="12"/>
  <c r="H43" i="12" s="1"/>
  <c r="F44" i="12"/>
  <c r="H44" i="12" s="1"/>
  <c r="F45" i="12"/>
  <c r="F46" i="12"/>
  <c r="H46" i="12" s="1"/>
  <c r="F47" i="12"/>
  <c r="H47" i="12" s="1"/>
  <c r="F48" i="12"/>
  <c r="H48" i="12" s="1"/>
  <c r="F49" i="12"/>
  <c r="F50" i="12"/>
  <c r="H50" i="12" s="1"/>
  <c r="F51" i="12"/>
  <c r="H51" i="12" s="1"/>
  <c r="F52" i="12"/>
  <c r="H52" i="12" s="1"/>
  <c r="F53" i="12"/>
  <c r="H53" i="12" s="1"/>
  <c r="F54" i="12"/>
  <c r="H54" i="12" s="1"/>
  <c r="F55" i="12"/>
  <c r="F56" i="12"/>
  <c r="H56" i="12" s="1"/>
  <c r="F57" i="12"/>
  <c r="H57" i="12" s="1"/>
  <c r="F58" i="12"/>
  <c r="H58" i="12" s="1"/>
  <c r="F59" i="12"/>
  <c r="H59" i="12" s="1"/>
  <c r="F60" i="12"/>
  <c r="H60" i="12" s="1"/>
  <c r="F61" i="12"/>
  <c r="F62" i="12"/>
  <c r="H62" i="12" s="1"/>
  <c r="F63" i="12"/>
  <c r="H63" i="12" s="1"/>
  <c r="F64" i="12"/>
  <c r="H64" i="12" s="1"/>
  <c r="F65" i="12"/>
  <c r="F66" i="12"/>
  <c r="H66" i="12" s="1"/>
  <c r="F67" i="12"/>
  <c r="H67" i="12" s="1"/>
  <c r="F68" i="12"/>
  <c r="H68" i="12" s="1"/>
  <c r="F69" i="12"/>
  <c r="H69" i="12" s="1"/>
  <c r="F70" i="12"/>
  <c r="H70" i="12" s="1"/>
  <c r="F71" i="12"/>
  <c r="F72" i="12"/>
  <c r="H72" i="12" s="1"/>
  <c r="F73" i="12"/>
  <c r="H73" i="12" s="1"/>
  <c r="F74" i="12"/>
  <c r="H74" i="12" s="1"/>
  <c r="F75" i="12"/>
  <c r="H75" i="12" s="1"/>
  <c r="F76" i="12"/>
  <c r="H76" i="12" s="1"/>
  <c r="F77" i="12"/>
  <c r="F78" i="12"/>
  <c r="H78" i="12" s="1"/>
  <c r="F79" i="12"/>
  <c r="H79" i="12" s="1"/>
  <c r="F80" i="12"/>
  <c r="H80" i="12" s="1"/>
  <c r="F81" i="12"/>
  <c r="F82" i="12"/>
  <c r="H82" i="12" s="1"/>
  <c r="F83" i="12"/>
  <c r="H83" i="12" s="1"/>
  <c r="F84" i="12"/>
  <c r="H84" i="12" s="1"/>
  <c r="F85" i="12"/>
  <c r="H85" i="12" s="1"/>
  <c r="F86" i="12"/>
  <c r="H86" i="12" s="1"/>
  <c r="F87" i="12"/>
  <c r="F88" i="12"/>
  <c r="H88" i="12" s="1"/>
  <c r="F89" i="12"/>
  <c r="H89" i="12" s="1"/>
  <c r="F90" i="12"/>
  <c r="H90" i="12" s="1"/>
  <c r="F91" i="12"/>
  <c r="H91" i="12" s="1"/>
  <c r="F92" i="12"/>
  <c r="H92" i="12" s="1"/>
  <c r="F93" i="12"/>
  <c r="F94" i="12"/>
  <c r="H94" i="12" s="1"/>
  <c r="F95" i="12"/>
  <c r="H95" i="12" s="1"/>
  <c r="F96" i="12"/>
  <c r="H96" i="12" s="1"/>
  <c r="F97" i="12"/>
  <c r="F98" i="12"/>
  <c r="H98" i="12" s="1"/>
  <c r="F99" i="12"/>
  <c r="H99" i="12" s="1"/>
  <c r="F100" i="12"/>
  <c r="H100" i="12" s="1"/>
  <c r="F101" i="12"/>
  <c r="H101" i="12" s="1"/>
  <c r="F102" i="12"/>
  <c r="H102" i="12" s="1"/>
  <c r="F103" i="12"/>
  <c r="F104" i="12"/>
  <c r="H104" i="12" s="1"/>
  <c r="F105" i="12"/>
  <c r="H105" i="12" s="1"/>
  <c r="F106" i="12"/>
  <c r="H106" i="12" s="1"/>
  <c r="F107" i="12"/>
  <c r="H107" i="12" s="1"/>
  <c r="F108" i="12"/>
  <c r="H108" i="12" s="1"/>
  <c r="F109" i="12"/>
  <c r="F110" i="12"/>
  <c r="H110" i="12" s="1"/>
  <c r="F111" i="12"/>
  <c r="H111" i="12" s="1"/>
  <c r="F112" i="12"/>
  <c r="H112" i="12" s="1"/>
  <c r="F113" i="12"/>
  <c r="F114" i="12"/>
  <c r="H114" i="12" s="1"/>
  <c r="F115" i="12"/>
  <c r="H115" i="12" s="1"/>
  <c r="F116" i="12"/>
  <c r="H116" i="12" s="1"/>
  <c r="F117" i="12"/>
  <c r="H117" i="12" s="1"/>
  <c r="F118" i="12"/>
  <c r="H118" i="12" s="1"/>
  <c r="F119" i="12"/>
  <c r="F120" i="12"/>
  <c r="H120" i="12" s="1"/>
  <c r="F121" i="12"/>
  <c r="H121" i="12" s="1"/>
  <c r="F122" i="12"/>
  <c r="H122" i="12" s="1"/>
  <c r="F123" i="12"/>
  <c r="H123" i="12" s="1"/>
  <c r="F124" i="12"/>
  <c r="H124" i="12" s="1"/>
  <c r="F125" i="12"/>
  <c r="F126" i="12"/>
  <c r="H126" i="12" s="1"/>
  <c r="F127" i="12"/>
  <c r="H127" i="12" s="1"/>
  <c r="F128" i="12"/>
  <c r="H128" i="12" s="1"/>
  <c r="F129" i="12"/>
  <c r="F130" i="12"/>
  <c r="H130" i="12" s="1"/>
  <c r="F131" i="12"/>
  <c r="H131" i="12" s="1"/>
  <c r="F132" i="12"/>
  <c r="H132" i="12" s="1"/>
  <c r="F133" i="12"/>
  <c r="H133" i="12" s="1"/>
  <c r="F134" i="12"/>
  <c r="H134" i="12" s="1"/>
  <c r="F135" i="12"/>
  <c r="F136" i="12"/>
  <c r="H136" i="12" s="1"/>
  <c r="F137" i="12"/>
  <c r="H137" i="12" s="1"/>
  <c r="F138" i="12"/>
  <c r="H138" i="12" s="1"/>
  <c r="F139" i="12"/>
  <c r="H139" i="12" s="1"/>
  <c r="F140" i="12"/>
  <c r="H140" i="12" s="1"/>
  <c r="F141" i="12"/>
  <c r="F142" i="12"/>
  <c r="H142" i="12" s="1"/>
  <c r="F143" i="12"/>
  <c r="H143" i="12" s="1"/>
  <c r="F144" i="12"/>
  <c r="H144" i="12" s="1"/>
  <c r="F145" i="12"/>
  <c r="H145" i="12" s="1"/>
  <c r="F146" i="12"/>
  <c r="H146" i="12" s="1"/>
  <c r="F147" i="12"/>
  <c r="H147" i="12" s="1"/>
  <c r="F148" i="12"/>
  <c r="H148" i="12" s="1"/>
  <c r="F149" i="12"/>
  <c r="F150" i="12"/>
  <c r="H150" i="12" s="1"/>
  <c r="F151" i="12"/>
  <c r="H151" i="12" s="1"/>
  <c r="F152" i="12"/>
  <c r="H152" i="12" s="1"/>
  <c r="F153" i="12"/>
  <c r="H153" i="12" s="1"/>
  <c r="F154" i="12"/>
  <c r="H154" i="12" s="1"/>
  <c r="F155" i="12"/>
  <c r="H155" i="12" s="1"/>
  <c r="F156" i="12"/>
  <c r="H156" i="12" s="1"/>
  <c r="F157" i="12"/>
  <c r="H157" i="12" s="1"/>
  <c r="F158" i="12"/>
  <c r="H158" i="12" s="1"/>
  <c r="F159" i="12"/>
  <c r="H159" i="12" s="1"/>
  <c r="F160" i="12"/>
  <c r="H160" i="12" s="1"/>
  <c r="F161" i="12"/>
  <c r="H161" i="12" s="1"/>
  <c r="F162" i="12"/>
  <c r="H162" i="12" s="1"/>
  <c r="F163" i="12"/>
  <c r="H163" i="12" s="1"/>
  <c r="F164" i="12"/>
  <c r="H164" i="12" s="1"/>
  <c r="F165" i="12"/>
  <c r="F166" i="12"/>
  <c r="H166" i="12" s="1"/>
  <c r="F167" i="12"/>
  <c r="H167" i="12" s="1"/>
  <c r="F168" i="12"/>
  <c r="H168" i="12" s="1"/>
  <c r="F169" i="12"/>
  <c r="H169" i="12" s="1"/>
  <c r="F170" i="12"/>
  <c r="H170" i="12" s="1"/>
  <c r="F171" i="12"/>
  <c r="H171" i="12" s="1"/>
  <c r="F172" i="12"/>
  <c r="H172" i="12" s="1"/>
  <c r="F173" i="12"/>
  <c r="H173" i="12" s="1"/>
  <c r="F174" i="12"/>
  <c r="H174" i="12" s="1"/>
  <c r="F175" i="12"/>
  <c r="H175" i="12" s="1"/>
  <c r="F176" i="12"/>
  <c r="H176" i="12" s="1"/>
  <c r="F177" i="12"/>
  <c r="H177" i="12" s="1"/>
  <c r="F178" i="12"/>
  <c r="H178" i="12" s="1"/>
  <c r="F179" i="12"/>
  <c r="H179" i="12" s="1"/>
  <c r="F180" i="12"/>
  <c r="H180" i="12" s="1"/>
  <c r="F181" i="12"/>
  <c r="F182" i="12"/>
  <c r="H182" i="12" s="1"/>
  <c r="F183" i="12"/>
  <c r="H183" i="12" s="1"/>
  <c r="F184" i="12"/>
  <c r="H184" i="12" s="1"/>
  <c r="F185" i="12"/>
  <c r="H185" i="12" s="1"/>
  <c r="F186" i="12"/>
  <c r="H186" i="12" s="1"/>
  <c r="F187" i="12"/>
  <c r="H187" i="12" s="1"/>
  <c r="F188" i="12"/>
  <c r="H188" i="12" s="1"/>
  <c r="F189" i="12"/>
  <c r="H189" i="12" s="1"/>
  <c r="F190" i="12"/>
  <c r="H190" i="12" s="1"/>
  <c r="F191" i="12"/>
  <c r="H191" i="12" s="1"/>
  <c r="F192" i="12"/>
  <c r="H192" i="12" s="1"/>
  <c r="F193" i="12"/>
  <c r="H193" i="12" s="1"/>
  <c r="F194" i="12"/>
  <c r="H194" i="12" s="1"/>
  <c r="F195" i="12"/>
  <c r="H195" i="12" s="1"/>
  <c r="F196" i="12"/>
  <c r="H196" i="12" s="1"/>
  <c r="F197" i="12"/>
  <c r="F198" i="12"/>
  <c r="H198" i="12" s="1"/>
  <c r="F199" i="12"/>
  <c r="H199" i="12" s="1"/>
  <c r="F200" i="12"/>
  <c r="H200" i="12" s="1"/>
  <c r="F201" i="12"/>
  <c r="H201" i="12" s="1"/>
  <c r="F202" i="12"/>
  <c r="H202" i="12" s="1"/>
  <c r="F203" i="12"/>
  <c r="H203" i="12" s="1"/>
  <c r="F204" i="12"/>
  <c r="H204" i="12" s="1"/>
  <c r="F205" i="12"/>
  <c r="H205" i="12" s="1"/>
  <c r="F206" i="12"/>
  <c r="H206" i="12" s="1"/>
  <c r="F207" i="12"/>
  <c r="H207" i="12" s="1"/>
  <c r="F208" i="12"/>
  <c r="H208" i="12" s="1"/>
  <c r="F209" i="12"/>
  <c r="H209" i="12" s="1"/>
  <c r="F210" i="12"/>
  <c r="H210" i="12" s="1"/>
  <c r="F211" i="12"/>
  <c r="H211" i="12" s="1"/>
  <c r="F212" i="12"/>
  <c r="H212" i="12" s="1"/>
  <c r="F213" i="12"/>
  <c r="F214" i="12"/>
  <c r="H214" i="12" s="1"/>
  <c r="F215" i="12"/>
  <c r="H215" i="12" s="1"/>
  <c r="F216" i="12"/>
  <c r="H216" i="12" s="1"/>
  <c r="F217" i="12"/>
  <c r="H217" i="12" s="1"/>
  <c r="F218" i="12"/>
  <c r="H218" i="12" s="1"/>
  <c r="F219" i="12"/>
  <c r="H219" i="12" s="1"/>
  <c r="F220" i="12"/>
  <c r="H220" i="12" s="1"/>
  <c r="F221" i="12"/>
  <c r="H221" i="12" s="1"/>
  <c r="F222" i="12"/>
  <c r="H222" i="12" s="1"/>
  <c r="F223" i="12"/>
  <c r="H223" i="12" s="1"/>
  <c r="F224" i="12"/>
  <c r="H224" i="12" s="1"/>
  <c r="F225" i="12"/>
  <c r="H225" i="12" s="1"/>
  <c r="F226" i="12"/>
  <c r="H226" i="12" s="1"/>
  <c r="F227" i="12"/>
  <c r="H227" i="12" s="1"/>
  <c r="F228" i="12"/>
  <c r="H228" i="12" s="1"/>
  <c r="F229" i="12"/>
  <c r="F230" i="12"/>
  <c r="H230" i="12" s="1"/>
  <c r="F231" i="12"/>
  <c r="H231" i="12" s="1"/>
  <c r="F232" i="12"/>
  <c r="H232" i="12" s="1"/>
  <c r="F233" i="12"/>
  <c r="H233" i="12" s="1"/>
  <c r="F234" i="12"/>
  <c r="H234" i="12" s="1"/>
  <c r="F235" i="12"/>
  <c r="H235" i="12" s="1"/>
  <c r="F236" i="12"/>
  <c r="H236" i="12" s="1"/>
  <c r="F237" i="12"/>
  <c r="H237" i="12" s="1"/>
  <c r="F238" i="12"/>
  <c r="H238" i="12" s="1"/>
  <c r="F239" i="12"/>
  <c r="H239" i="12" s="1"/>
  <c r="F240" i="12"/>
  <c r="H240" i="12" s="1"/>
  <c r="F241" i="12"/>
  <c r="H241" i="12" s="1"/>
  <c r="F242" i="12"/>
  <c r="H242" i="12" s="1"/>
  <c r="F243" i="12"/>
  <c r="H243" i="12" s="1"/>
  <c r="F244" i="12"/>
  <c r="H244" i="12" s="1"/>
  <c r="F245" i="12"/>
  <c r="H245" i="12" s="1"/>
  <c r="F246" i="12"/>
  <c r="H246" i="12" s="1"/>
  <c r="F247" i="12"/>
  <c r="H247" i="12" s="1"/>
  <c r="F248" i="12"/>
  <c r="H248" i="12" s="1"/>
  <c r="F249" i="12"/>
  <c r="F250" i="12"/>
  <c r="H250" i="12" s="1"/>
  <c r="F251" i="12"/>
  <c r="H251" i="12" s="1"/>
  <c r="F252" i="12"/>
  <c r="H252" i="12" s="1"/>
  <c r="F253" i="12"/>
  <c r="H253" i="12" s="1"/>
  <c r="F254" i="12"/>
  <c r="H254" i="12" s="1"/>
  <c r="F255" i="12"/>
  <c r="H255" i="12" s="1"/>
  <c r="F256" i="12"/>
  <c r="H256" i="12" s="1"/>
  <c r="F257" i="12"/>
  <c r="H257" i="12" s="1"/>
  <c r="F258" i="12"/>
  <c r="H258" i="12" s="1"/>
  <c r="F259" i="12"/>
  <c r="H259" i="12" s="1"/>
  <c r="F260" i="12"/>
  <c r="H260" i="12" s="1"/>
  <c r="F261" i="12"/>
  <c r="H261" i="12" s="1"/>
  <c r="F262" i="12"/>
  <c r="H262" i="12" s="1"/>
  <c r="F263" i="12"/>
  <c r="H263" i="12" s="1"/>
  <c r="F264" i="12"/>
  <c r="H264" i="12" s="1"/>
  <c r="F265" i="12"/>
  <c r="H265" i="12" s="1"/>
  <c r="F266" i="12"/>
  <c r="H266" i="12" s="1"/>
  <c r="F267" i="12"/>
  <c r="H267" i="12" s="1"/>
  <c r="F268" i="12"/>
  <c r="H268" i="12" s="1"/>
  <c r="F269" i="12"/>
  <c r="H269" i="12" s="1"/>
  <c r="F270" i="12"/>
  <c r="H270" i="12" s="1"/>
  <c r="F271" i="12"/>
  <c r="H271" i="12" s="1"/>
  <c r="F272" i="12"/>
  <c r="H272" i="12" s="1"/>
  <c r="F273" i="12"/>
  <c r="H273" i="12" s="1"/>
  <c r="F274" i="12"/>
  <c r="H274" i="12" s="1"/>
  <c r="F275" i="12"/>
  <c r="H275" i="12" s="1"/>
  <c r="F276" i="12"/>
  <c r="H276" i="12" s="1"/>
  <c r="F277" i="12"/>
  <c r="H277" i="12" s="1"/>
  <c r="F278" i="12"/>
  <c r="H278" i="12" s="1"/>
  <c r="F279" i="12"/>
  <c r="H279" i="12" s="1"/>
  <c r="F280" i="12"/>
  <c r="H280" i="12" s="1"/>
  <c r="F281" i="12"/>
  <c r="H281" i="12" s="1"/>
  <c r="F282" i="12"/>
  <c r="H282" i="12" s="1"/>
  <c r="F283" i="12"/>
  <c r="H283" i="12" s="1"/>
  <c r="F284" i="12"/>
  <c r="H284" i="12" s="1"/>
  <c r="F285" i="12"/>
  <c r="H285" i="12" s="1"/>
  <c r="F286" i="12"/>
  <c r="H286" i="12" s="1"/>
  <c r="F287" i="12"/>
  <c r="H287" i="12" s="1"/>
  <c r="F288" i="12"/>
  <c r="H288" i="12" s="1"/>
  <c r="F289" i="12"/>
  <c r="H289" i="12" s="1"/>
  <c r="F290" i="12"/>
  <c r="H290" i="12" s="1"/>
  <c r="F291" i="12"/>
  <c r="H291" i="12" s="1"/>
  <c r="F292" i="12"/>
  <c r="F293" i="12"/>
  <c r="H293" i="12" s="1"/>
  <c r="F294" i="12"/>
  <c r="H294" i="12" s="1"/>
  <c r="F295" i="12"/>
  <c r="H295" i="12" s="1"/>
  <c r="F296" i="12"/>
  <c r="H296" i="12" s="1"/>
  <c r="F297" i="12"/>
  <c r="H297" i="12" s="1"/>
  <c r="F298" i="12"/>
  <c r="H298" i="12" s="1"/>
  <c r="F299" i="12"/>
  <c r="H299" i="12" s="1"/>
  <c r="F300" i="12"/>
  <c r="H300" i="12" s="1"/>
  <c r="F301" i="12"/>
  <c r="H301" i="12" s="1"/>
  <c r="F302" i="12"/>
  <c r="H302" i="12" s="1"/>
  <c r="F303" i="12"/>
  <c r="H303" i="12" s="1"/>
  <c r="F304" i="12"/>
  <c r="H304" i="12" s="1"/>
  <c r="F305" i="12"/>
  <c r="H305" i="12" s="1"/>
  <c r="F306" i="12"/>
  <c r="H306" i="12" s="1"/>
  <c r="F307" i="12"/>
  <c r="H307" i="12" s="1"/>
  <c r="F308" i="12"/>
  <c r="H308" i="12" s="1"/>
  <c r="F309" i="12"/>
  <c r="H309" i="12" s="1"/>
  <c r="F310" i="12"/>
  <c r="H310" i="12" s="1"/>
  <c r="F311" i="12"/>
  <c r="H311" i="12" s="1"/>
  <c r="F312" i="12"/>
  <c r="H312" i="12" s="1"/>
  <c r="F313" i="12"/>
  <c r="F314" i="12"/>
  <c r="H314" i="12" s="1"/>
  <c r="F315" i="12"/>
  <c r="H315" i="12" s="1"/>
  <c r="F316" i="12"/>
  <c r="H316" i="12" s="1"/>
  <c r="F317" i="12"/>
  <c r="H317" i="12" s="1"/>
  <c r="F318" i="12"/>
  <c r="H318" i="12" s="1"/>
  <c r="F319" i="12"/>
  <c r="H319" i="12" s="1"/>
  <c r="F320" i="12"/>
  <c r="H320" i="12" s="1"/>
  <c r="F321" i="12"/>
  <c r="H321" i="12" s="1"/>
  <c r="F322" i="12"/>
  <c r="H322" i="12" s="1"/>
  <c r="F323" i="12"/>
  <c r="H323" i="12" s="1"/>
  <c r="F324" i="12"/>
  <c r="H324" i="12" s="1"/>
  <c r="F325" i="12"/>
  <c r="H325" i="12" s="1"/>
  <c r="F326" i="12"/>
  <c r="H326" i="12" s="1"/>
  <c r="F327" i="12"/>
  <c r="H327" i="12" s="1"/>
  <c r="F328" i="12"/>
  <c r="H328" i="12" s="1"/>
  <c r="F329" i="12"/>
  <c r="H329" i="12" s="1"/>
  <c r="F330" i="12"/>
  <c r="H330" i="12" s="1"/>
  <c r="F331" i="12"/>
  <c r="H331" i="12" s="1"/>
  <c r="F332" i="12"/>
  <c r="H332" i="12" s="1"/>
  <c r="F333" i="12"/>
  <c r="H333" i="12" s="1"/>
  <c r="F334" i="12"/>
  <c r="H334" i="12" s="1"/>
  <c r="F335" i="12"/>
  <c r="H335" i="12" s="1"/>
  <c r="F336" i="12"/>
  <c r="H336" i="12" s="1"/>
  <c r="F337" i="12"/>
  <c r="H337" i="12" s="1"/>
  <c r="F338" i="12"/>
  <c r="H338" i="12" s="1"/>
  <c r="F339" i="12"/>
  <c r="H339" i="12" s="1"/>
  <c r="F340" i="12"/>
  <c r="H340" i="12" s="1"/>
  <c r="F341" i="12"/>
  <c r="H341" i="12" s="1"/>
  <c r="F342" i="12"/>
  <c r="H342" i="12" s="1"/>
  <c r="F343" i="12"/>
  <c r="H343" i="12" s="1"/>
  <c r="F344" i="12"/>
  <c r="H344" i="12" s="1"/>
  <c r="F345" i="12"/>
  <c r="H345" i="12" s="1"/>
  <c r="F346" i="12"/>
  <c r="H346" i="12" s="1"/>
  <c r="F347" i="12"/>
  <c r="H347" i="12" s="1"/>
  <c r="F348" i="12"/>
  <c r="H348" i="12" s="1"/>
  <c r="F349" i="12"/>
  <c r="H349" i="12" s="1"/>
  <c r="F350" i="12"/>
  <c r="H350" i="12" s="1"/>
  <c r="F351" i="12"/>
  <c r="H351" i="12" s="1"/>
  <c r="F352" i="12"/>
  <c r="H352" i="12" s="1"/>
  <c r="F353" i="12"/>
  <c r="H353" i="12" s="1"/>
  <c r="F354" i="12"/>
  <c r="H354" i="12" s="1"/>
  <c r="F355" i="12"/>
  <c r="H355" i="12" s="1"/>
  <c r="F356" i="12"/>
  <c r="F357" i="12"/>
  <c r="H357" i="12" s="1"/>
  <c r="F358" i="12"/>
  <c r="H358" i="12" s="1"/>
  <c r="F359" i="12"/>
  <c r="H359" i="12" s="1"/>
  <c r="F360" i="12"/>
  <c r="H360" i="12" s="1"/>
  <c r="F361" i="12"/>
  <c r="H361" i="12" s="1"/>
  <c r="F362" i="12"/>
  <c r="H362" i="12" s="1"/>
  <c r="F363" i="12"/>
  <c r="H363" i="12" s="1"/>
  <c r="F364" i="12"/>
  <c r="H364" i="12" s="1"/>
  <c r="F365" i="12"/>
  <c r="H365" i="12" s="1"/>
  <c r="F366" i="12"/>
  <c r="H366" i="12" s="1"/>
  <c r="F367" i="12"/>
  <c r="H367" i="12" s="1"/>
  <c r="F368" i="12"/>
  <c r="H368" i="12" s="1"/>
  <c r="F369" i="12"/>
  <c r="H369" i="12" s="1"/>
  <c r="F370" i="12"/>
  <c r="H370" i="12" s="1"/>
  <c r="F371" i="12"/>
  <c r="H371" i="12" s="1"/>
  <c r="F372" i="12"/>
  <c r="H372" i="12" s="1"/>
  <c r="F373" i="12"/>
  <c r="H373" i="12" s="1"/>
  <c r="F374" i="12"/>
  <c r="H374" i="12" s="1"/>
  <c r="F375" i="12"/>
  <c r="H375" i="12" s="1"/>
  <c r="F376" i="12"/>
  <c r="H376" i="12" s="1"/>
  <c r="F377" i="12"/>
  <c r="F378" i="12"/>
  <c r="H378" i="12" s="1"/>
  <c r="F379" i="12"/>
  <c r="H379" i="12" s="1"/>
  <c r="F380" i="12"/>
  <c r="H380" i="12" s="1"/>
  <c r="F381" i="12"/>
  <c r="H381" i="12" s="1"/>
  <c r="F382" i="12"/>
  <c r="H382" i="12" s="1"/>
  <c r="F383" i="12"/>
  <c r="H383" i="12" s="1"/>
  <c r="F384" i="12"/>
  <c r="H384" i="12" s="1"/>
  <c r="F385" i="12"/>
  <c r="H385" i="12" s="1"/>
  <c r="F386" i="12"/>
  <c r="H386" i="12" s="1"/>
  <c r="F387" i="12"/>
  <c r="H387" i="12" s="1"/>
  <c r="F388" i="12"/>
  <c r="H388" i="12" s="1"/>
  <c r="F389" i="12"/>
  <c r="H389" i="12" s="1"/>
  <c r="F390" i="12"/>
  <c r="H390" i="12" s="1"/>
  <c r="F391" i="12"/>
  <c r="H391" i="12" s="1"/>
  <c r="F392" i="12"/>
  <c r="H392" i="12" s="1"/>
  <c r="F393" i="12"/>
  <c r="H393" i="12" s="1"/>
  <c r="F394" i="12"/>
  <c r="H394" i="12" s="1"/>
  <c r="F395" i="12"/>
  <c r="H395" i="12" s="1"/>
  <c r="F396" i="12"/>
  <c r="H396" i="12" s="1"/>
  <c r="F397" i="12"/>
  <c r="H397" i="12" s="1"/>
  <c r="F398" i="12"/>
  <c r="H398" i="12" s="1"/>
  <c r="F399" i="12"/>
  <c r="H399" i="12" s="1"/>
  <c r="F400" i="12"/>
  <c r="H400" i="12" s="1"/>
  <c r="F401" i="12"/>
  <c r="H401" i="12" s="1"/>
  <c r="F402" i="12"/>
  <c r="H402" i="12" s="1"/>
  <c r="F403" i="12"/>
  <c r="H403" i="12" s="1"/>
  <c r="F404" i="12"/>
  <c r="H404" i="12" s="1"/>
  <c r="F405" i="12"/>
  <c r="H405" i="12" s="1"/>
  <c r="F406" i="12"/>
  <c r="H406" i="12" s="1"/>
  <c r="F407" i="12"/>
  <c r="H407" i="12" s="1"/>
  <c r="F408" i="12"/>
  <c r="H408" i="12" s="1"/>
  <c r="F409" i="12"/>
  <c r="H409" i="12" s="1"/>
  <c r="F410" i="12"/>
  <c r="H410" i="12" s="1"/>
  <c r="F411" i="12"/>
  <c r="H411" i="12" s="1"/>
  <c r="F412" i="12"/>
  <c r="H412" i="12" s="1"/>
  <c r="F413" i="12"/>
  <c r="H413" i="12" s="1"/>
  <c r="F414" i="12"/>
  <c r="H414" i="12" s="1"/>
  <c r="F415" i="12"/>
  <c r="H415" i="12" s="1"/>
  <c r="F416" i="12"/>
  <c r="H416" i="12" s="1"/>
  <c r="F417" i="12"/>
  <c r="H417" i="12" s="1"/>
  <c r="F418" i="12"/>
  <c r="H418" i="12" s="1"/>
  <c r="F419" i="12"/>
  <c r="H419" i="12" s="1"/>
  <c r="F420" i="12"/>
  <c r="F421" i="12"/>
  <c r="H421" i="12" s="1"/>
  <c r="F422" i="12"/>
  <c r="H422" i="12" s="1"/>
  <c r="F423" i="12"/>
  <c r="H423" i="12" s="1"/>
  <c r="F424" i="12"/>
  <c r="H424" i="12" s="1"/>
  <c r="F425" i="12"/>
  <c r="H425" i="12" s="1"/>
  <c r="F426" i="12"/>
  <c r="H426" i="12" s="1"/>
  <c r="F427" i="12"/>
  <c r="H427" i="12" s="1"/>
  <c r="F428" i="12"/>
  <c r="H428" i="12" s="1"/>
  <c r="F429" i="12"/>
  <c r="H429" i="12" s="1"/>
  <c r="F430" i="12"/>
  <c r="H430" i="12" s="1"/>
  <c r="F431" i="12"/>
  <c r="H431" i="12" s="1"/>
  <c r="F432" i="12"/>
  <c r="H432" i="12" s="1"/>
  <c r="F433" i="12"/>
  <c r="H433" i="12" s="1"/>
  <c r="F434" i="12"/>
  <c r="H434" i="12" s="1"/>
  <c r="F435" i="12"/>
  <c r="H435" i="12" s="1"/>
  <c r="F436" i="12"/>
  <c r="H436" i="12" s="1"/>
  <c r="F437" i="12"/>
  <c r="H437" i="12" s="1"/>
  <c r="F438" i="12"/>
  <c r="H438" i="12" s="1"/>
  <c r="F439" i="12"/>
  <c r="H439" i="12" s="1"/>
  <c r="F440" i="12"/>
  <c r="H440" i="12" s="1"/>
  <c r="F441" i="12"/>
  <c r="F442" i="12"/>
  <c r="H442" i="12" s="1"/>
  <c r="F443" i="12"/>
  <c r="H443" i="12" s="1"/>
  <c r="F444" i="12"/>
  <c r="H444" i="12" s="1"/>
  <c r="F445" i="12"/>
  <c r="H445" i="12" s="1"/>
  <c r="F446" i="12"/>
  <c r="H446" i="12" s="1"/>
  <c r="F447" i="12"/>
  <c r="H447" i="12" s="1"/>
  <c r="F448" i="12"/>
  <c r="H448" i="12" s="1"/>
  <c r="F449" i="12"/>
  <c r="H449" i="12" s="1"/>
  <c r="F450" i="12"/>
  <c r="H450" i="12" s="1"/>
  <c r="F451" i="12"/>
  <c r="H451" i="12" s="1"/>
  <c r="F452" i="12"/>
  <c r="H452" i="12" s="1"/>
  <c r="F453" i="12"/>
  <c r="H453" i="12" s="1"/>
  <c r="F454" i="12"/>
  <c r="H454" i="12" s="1"/>
  <c r="F455" i="12"/>
  <c r="H455" i="12" s="1"/>
  <c r="F456" i="12"/>
  <c r="H456" i="12" s="1"/>
  <c r="F457" i="12"/>
  <c r="H457" i="12" s="1"/>
  <c r="F458" i="12"/>
  <c r="H458" i="12" s="1"/>
  <c r="F459" i="12"/>
  <c r="H459" i="12" s="1"/>
  <c r="F460" i="12"/>
  <c r="H460" i="12" s="1"/>
  <c r="F461" i="12"/>
  <c r="H461" i="12" s="1"/>
  <c r="F462" i="12"/>
  <c r="H462" i="12" s="1"/>
  <c r="F463" i="12"/>
  <c r="H463" i="12" s="1"/>
  <c r="F464" i="12"/>
  <c r="H464" i="12" s="1"/>
  <c r="F465" i="12"/>
  <c r="H465" i="12" s="1"/>
  <c r="F466" i="12"/>
  <c r="H466" i="12" s="1"/>
  <c r="F467" i="12"/>
  <c r="H467" i="12" s="1"/>
  <c r="F468" i="12"/>
  <c r="H468" i="12" s="1"/>
  <c r="F469" i="12"/>
  <c r="H469" i="12" s="1"/>
  <c r="F470" i="12"/>
  <c r="H470" i="12" s="1"/>
  <c r="F471" i="12"/>
  <c r="H471" i="12" s="1"/>
  <c r="F472" i="12"/>
  <c r="H472" i="12" s="1"/>
  <c r="F473" i="12"/>
  <c r="H473" i="12" s="1"/>
  <c r="F474" i="12"/>
  <c r="H474" i="12" s="1"/>
  <c r="F475" i="12"/>
  <c r="H475" i="12" s="1"/>
  <c r="F476" i="12"/>
  <c r="H476" i="12" s="1"/>
  <c r="F477" i="12"/>
  <c r="H477" i="12" s="1"/>
  <c r="F478" i="12"/>
  <c r="H478" i="12" s="1"/>
  <c r="F479" i="12"/>
  <c r="H479" i="12" s="1"/>
  <c r="F480" i="12"/>
  <c r="H480" i="12" s="1"/>
  <c r="F481" i="12"/>
  <c r="H481" i="12" s="1"/>
  <c r="F482" i="12"/>
  <c r="H482" i="12" s="1"/>
  <c r="F483" i="12"/>
  <c r="H483" i="12" s="1"/>
  <c r="F484" i="12"/>
  <c r="F485" i="12"/>
  <c r="H485" i="12" s="1"/>
  <c r="F486" i="12"/>
  <c r="H486" i="12" s="1"/>
  <c r="F487" i="12"/>
  <c r="H487" i="12" s="1"/>
  <c r="F488" i="12"/>
  <c r="H488" i="12" s="1"/>
  <c r="F489" i="12"/>
  <c r="H489" i="12" s="1"/>
  <c r="F490" i="12"/>
  <c r="H490" i="12" s="1"/>
  <c r="F491" i="12"/>
  <c r="H491" i="12" s="1"/>
  <c r="F492" i="12"/>
  <c r="H492" i="12" s="1"/>
  <c r="F493" i="12"/>
  <c r="H493" i="12" s="1"/>
  <c r="F494" i="12"/>
  <c r="H494" i="12" s="1"/>
  <c r="F495" i="12"/>
  <c r="H495" i="12" s="1"/>
  <c r="F496" i="12"/>
  <c r="H496" i="12" s="1"/>
  <c r="F497" i="12"/>
  <c r="H497" i="12" s="1"/>
  <c r="F498" i="12"/>
  <c r="H498" i="12" s="1"/>
  <c r="F499" i="12"/>
  <c r="H499" i="12" s="1"/>
  <c r="F500" i="12"/>
  <c r="H500" i="12" s="1"/>
  <c r="F501" i="12"/>
  <c r="H501" i="12" s="1"/>
  <c r="F502" i="12"/>
  <c r="H502" i="12" s="1"/>
  <c r="F503" i="12"/>
  <c r="H503" i="12" s="1"/>
  <c r="F504" i="12"/>
  <c r="H504" i="12" s="1"/>
  <c r="F505" i="12"/>
  <c r="F506" i="12"/>
  <c r="H506" i="12" s="1"/>
  <c r="F507" i="12"/>
  <c r="H507" i="12" s="1"/>
  <c r="F508" i="12"/>
  <c r="H508" i="12" s="1"/>
  <c r="F509" i="12"/>
  <c r="H509" i="12" s="1"/>
  <c r="F510" i="12"/>
  <c r="H510" i="12" s="1"/>
  <c r="F511" i="12"/>
  <c r="H511" i="12" s="1"/>
  <c r="F512" i="12"/>
  <c r="H512" i="12" s="1"/>
  <c r="F513" i="12"/>
  <c r="H513" i="12" s="1"/>
  <c r="F514" i="12"/>
  <c r="H514" i="12" s="1"/>
  <c r="F515" i="12"/>
  <c r="H515" i="12" s="1"/>
  <c r="F516" i="12"/>
  <c r="H516" i="12" s="1"/>
  <c r="F517" i="12"/>
  <c r="H517" i="12" s="1"/>
  <c r="F518" i="12"/>
  <c r="H518" i="12" s="1"/>
  <c r="F519" i="12"/>
  <c r="H519" i="12" s="1"/>
  <c r="F520" i="12"/>
  <c r="H520" i="12" s="1"/>
  <c r="F521" i="12"/>
  <c r="H521" i="12" s="1"/>
  <c r="F522" i="12"/>
  <c r="H522" i="12" s="1"/>
  <c r="F523" i="12"/>
  <c r="H523" i="12" s="1"/>
  <c r="F524" i="12"/>
  <c r="H524" i="12" s="1"/>
  <c r="F525" i="12"/>
  <c r="H525" i="12" s="1"/>
  <c r="F526" i="12"/>
  <c r="H526" i="12" s="1"/>
  <c r="F527" i="12"/>
  <c r="H527" i="12" s="1"/>
  <c r="F528" i="12"/>
  <c r="H528" i="12" s="1"/>
  <c r="F529" i="12"/>
  <c r="H529" i="12" s="1"/>
  <c r="F530" i="12"/>
  <c r="H530" i="12" s="1"/>
  <c r="F531" i="12"/>
  <c r="H531" i="12" s="1"/>
  <c r="F532" i="12"/>
  <c r="H532" i="12" s="1"/>
  <c r="F533" i="12"/>
  <c r="H533" i="12" s="1"/>
  <c r="F534" i="12"/>
  <c r="H534" i="12" s="1"/>
  <c r="F535" i="12"/>
  <c r="H535" i="12" s="1"/>
  <c r="F536" i="12"/>
  <c r="H536" i="12" s="1"/>
  <c r="F537" i="12"/>
  <c r="H537" i="12" s="1"/>
  <c r="F538" i="12"/>
  <c r="H538" i="12" s="1"/>
  <c r="F539" i="12"/>
  <c r="H539" i="12" s="1"/>
  <c r="F540" i="12"/>
  <c r="H540" i="12" s="1"/>
  <c r="F541" i="12"/>
  <c r="H541" i="12" s="1"/>
  <c r="F542" i="12"/>
  <c r="H542" i="12" s="1"/>
  <c r="F543" i="12"/>
  <c r="H543" i="12" s="1"/>
  <c r="F544" i="12"/>
  <c r="H544" i="12" s="1"/>
  <c r="F545" i="12"/>
  <c r="H545" i="12" s="1"/>
  <c r="F546" i="12"/>
  <c r="H546" i="12" s="1"/>
  <c r="F547" i="12"/>
  <c r="H547" i="12" s="1"/>
  <c r="F548" i="12"/>
  <c r="F549" i="12"/>
  <c r="H549" i="12" s="1"/>
  <c r="F550" i="12"/>
  <c r="H550" i="12" s="1"/>
  <c r="F551" i="12"/>
  <c r="H551" i="12" s="1"/>
  <c r="F552" i="12"/>
  <c r="H552" i="12" s="1"/>
  <c r="F553" i="12"/>
  <c r="H553" i="12" s="1"/>
  <c r="F554" i="12"/>
  <c r="H554" i="12" s="1"/>
  <c r="F555" i="12"/>
  <c r="H555" i="12" s="1"/>
  <c r="F556" i="12"/>
  <c r="H556" i="12" s="1"/>
  <c r="F557" i="12"/>
  <c r="H557" i="12" s="1"/>
  <c r="F558" i="12"/>
  <c r="H558" i="12" s="1"/>
  <c r="F559" i="12"/>
  <c r="H559" i="12" s="1"/>
  <c r="F560" i="12"/>
  <c r="H560" i="12" s="1"/>
  <c r="F561" i="12"/>
  <c r="H561" i="12" s="1"/>
  <c r="F562" i="12"/>
  <c r="H562" i="12" s="1"/>
  <c r="F563" i="12"/>
  <c r="H563" i="12" s="1"/>
  <c r="F564" i="12"/>
  <c r="H564" i="12" s="1"/>
  <c r="F565" i="12"/>
  <c r="H565" i="12" s="1"/>
  <c r="F566" i="12"/>
  <c r="H566" i="12" s="1"/>
  <c r="F567" i="12"/>
  <c r="H567" i="12" s="1"/>
  <c r="F568" i="12"/>
  <c r="H568" i="12" s="1"/>
  <c r="F2" i="12"/>
  <c r="J24" i="11" l="1"/>
  <c r="J23" i="11"/>
  <c r="J22" i="11"/>
  <c r="J21" i="11"/>
  <c r="J20" i="11"/>
  <c r="J19" i="11"/>
  <c r="J18"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3" i="11"/>
  <c r="C4" i="11"/>
  <c r="C5" i="11"/>
  <c r="C6" i="11"/>
  <c r="C7" i="11"/>
  <c r="C8" i="11"/>
  <c r="C9" i="11"/>
  <c r="C10" i="11"/>
  <c r="C11" i="11"/>
  <c r="I23" i="11" s="1"/>
  <c r="C12" i="11"/>
  <c r="C13" i="11"/>
  <c r="C14" i="11"/>
  <c r="C15" i="11"/>
  <c r="C16" i="11"/>
  <c r="C2" i="11"/>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2"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3" i="9"/>
  <c r="H4" i="9"/>
  <c r="H5" i="9"/>
  <c r="H6" i="9"/>
  <c r="H7" i="9"/>
  <c r="H8" i="9"/>
  <c r="H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2" i="9"/>
  <c r="I19" i="11" l="1"/>
  <c r="I21" i="11"/>
  <c r="I22" i="11"/>
  <c r="B2" i="22"/>
  <c r="B27" i="10"/>
  <c r="B28" i="10"/>
  <c r="B3" i="22"/>
  <c r="B5" i="22"/>
  <c r="B30" i="10"/>
  <c r="B29" i="10"/>
  <c r="B4" i="22"/>
  <c r="I20" i="11"/>
  <c r="I11" i="11"/>
  <c r="I24" i="11"/>
  <c r="I4" i="11"/>
  <c r="I6" i="11"/>
  <c r="I8" i="11"/>
  <c r="I12" i="11"/>
  <c r="I3" i="11"/>
  <c r="G4" i="21" s="1"/>
  <c r="I5" i="11"/>
  <c r="I7" i="11"/>
  <c r="I18" i="11"/>
  <c r="H22" i="5"/>
  <c r="H21" i="5"/>
  <c r="H20" i="5"/>
  <c r="H18" i="5"/>
  <c r="H17" i="5"/>
  <c r="H10" i="5"/>
  <c r="H15" i="5"/>
  <c r="H14" i="5"/>
  <c r="H13" i="5"/>
  <c r="H12" i="5"/>
  <c r="H11" i="5"/>
  <c r="H9" i="5"/>
  <c r="H8" i="5"/>
  <c r="H7" i="5"/>
  <c r="H6" i="5"/>
  <c r="B14" i="5"/>
  <c r="B13" i="5"/>
  <c r="B9" i="5"/>
  <c r="B22" i="5"/>
  <c r="B21" i="5"/>
  <c r="B20" i="5"/>
  <c r="B18" i="5"/>
  <c r="B17" i="5"/>
  <c r="B15" i="5"/>
  <c r="B12" i="5"/>
  <c r="B11" i="5"/>
  <c r="B10" i="5"/>
  <c r="B8" i="5"/>
  <c r="B7" i="5"/>
  <c r="B6" i="5"/>
  <c r="G22" i="5" l="1"/>
  <c r="G21" i="5"/>
  <c r="G20" i="5"/>
  <c r="G19" i="5"/>
  <c r="G18" i="5"/>
  <c r="G17" i="5"/>
  <c r="G16" i="5"/>
  <c r="G15" i="5"/>
  <c r="G14" i="5"/>
  <c r="G13" i="5"/>
  <c r="G12" i="5"/>
  <c r="G11" i="5"/>
  <c r="G10" i="5"/>
  <c r="C15" i="5"/>
  <c r="C17" i="5"/>
  <c r="C18" i="5"/>
  <c r="C21" i="5"/>
  <c r="C22" i="5"/>
  <c r="C20" i="5"/>
  <c r="C19" i="5"/>
  <c r="C16" i="5"/>
  <c r="C14" i="5"/>
  <c r="C13" i="5"/>
  <c r="C12" i="5"/>
  <c r="C11" i="5"/>
  <c r="C10" i="5"/>
  <c r="D22" i="5"/>
  <c r="D21" i="5"/>
  <c r="D20" i="5"/>
  <c r="D19" i="5"/>
  <c r="D18" i="5"/>
  <c r="D17" i="5"/>
  <c r="D16" i="5"/>
  <c r="D15" i="5"/>
  <c r="D14" i="5"/>
  <c r="D13" i="5"/>
  <c r="D12" i="5"/>
  <c r="F17" i="5"/>
  <c r="F16" i="5"/>
  <c r="F15" i="5"/>
  <c r="F14" i="5"/>
  <c r="F13" i="5"/>
  <c r="F12" i="5"/>
  <c r="F11" i="5"/>
  <c r="F18" i="5"/>
  <c r="F19" i="5"/>
  <c r="F20" i="5"/>
  <c r="F21" i="5"/>
  <c r="F22" i="5"/>
  <c r="E22" i="5"/>
  <c r="E21" i="5"/>
  <c r="E20" i="5"/>
  <c r="E19" i="5"/>
  <c r="E18" i="5"/>
  <c r="E17" i="5"/>
  <c r="E16" i="5"/>
  <c r="E15" i="5"/>
  <c r="E14" i="5"/>
  <c r="E13" i="5"/>
  <c r="E12" i="5"/>
  <c r="E11" i="5"/>
  <c r="D11" i="5"/>
  <c r="D10" i="5"/>
  <c r="F10" i="5"/>
  <c r="E10" i="5"/>
</calcChain>
</file>

<file path=xl/sharedStrings.xml><?xml version="1.0" encoding="utf-8"?>
<sst xmlns="http://schemas.openxmlformats.org/spreadsheetml/2006/main" count="19210" uniqueCount="1892">
  <si>
    <t>Timestamp</t>
  </si>
  <si>
    <t xml:space="preserve">1) Name </t>
  </si>
  <si>
    <t>2) Age (eg. 21,22,18,etc)</t>
  </si>
  <si>
    <t xml:space="preserve">3) Gender </t>
  </si>
  <si>
    <t xml:space="preserve">4) Area of residence </t>
  </si>
  <si>
    <t xml:space="preserve">5) occupation </t>
  </si>
  <si>
    <t xml:space="preserve">6) Monthly income </t>
  </si>
  <si>
    <t xml:space="preserve">7) Total family members </t>
  </si>
  <si>
    <t xml:space="preserve">8) No. of vehicles in family </t>
  </si>
  <si>
    <t xml:space="preserve">9) Type of vehicle </t>
  </si>
  <si>
    <t>10) Type of fuel required for it.  [Bike ]</t>
  </si>
  <si>
    <t>10) Type of fuel required for it.  [Scooty ]</t>
  </si>
  <si>
    <t>10) Type of fuel required for it.  [Car ]</t>
  </si>
  <si>
    <t>10) Type of fuel required for it.  [Commercial ]</t>
  </si>
  <si>
    <t>10) Type of fuel required for it.  [electric vehicle ]</t>
  </si>
  <si>
    <t xml:space="preserve">A] Bike details 
11)  Age of bike </t>
  </si>
  <si>
    <t xml:space="preserve">12) Daily distance travelled by bike </t>
  </si>
  <si>
    <t xml:space="preserve">13)Fuel required monthly </t>
  </si>
  <si>
    <t>B] Scooty details 
14)Age of  Scooty</t>
  </si>
  <si>
    <t xml:space="preserve">15)Daily distance travelled by Scooty </t>
  </si>
  <si>
    <t xml:space="preserve">16)Fuel required monthly </t>
  </si>
  <si>
    <t>C] Car details 
17)Age of Car</t>
  </si>
  <si>
    <t xml:space="preserve">18)Daily distance travelled by Car </t>
  </si>
  <si>
    <t xml:space="preserve">19)Fuel required monthly </t>
  </si>
  <si>
    <t>D. Commercial Vehicle Details
20)Age</t>
  </si>
  <si>
    <t>21)Daily distance travelled</t>
  </si>
  <si>
    <t xml:space="preserve">22) Fuel required monthly </t>
  </si>
  <si>
    <t xml:space="preserve">E. Electric Vehicle Details
23)Electricity consumption (kWh/month)
</t>
  </si>
  <si>
    <t>24)Daily distance travelled</t>
  </si>
  <si>
    <t>25)Age of EV</t>
  </si>
  <si>
    <t xml:space="preserve">26)Total monthly fuel expense of your household (₹)
</t>
  </si>
  <si>
    <t>27)Preferred fuel station brand</t>
  </si>
  <si>
    <t>28) Reason for choosing this brand</t>
  </si>
  <si>
    <t>29)Distance from home to workplace/college (km)</t>
  </si>
  <si>
    <t>30)Main purpose of using your vehicle</t>
  </si>
  <si>
    <t xml:space="preserve">31)How often do you use public transport?
</t>
  </si>
  <si>
    <t xml:space="preserve">32) Which type of public transport do you use?
</t>
  </si>
  <si>
    <t xml:space="preserve">33)Would you consider buying an Electric Vehicle (EV)?
</t>
  </si>
  <si>
    <t xml:space="preserve">34)If YES or MAYBE, what is your reason?
</t>
  </si>
  <si>
    <t>35)If NO, what is your reason?</t>
  </si>
  <si>
    <t>35. Any suggestions about fuel rates or transportation ?</t>
  </si>
  <si>
    <t xml:space="preserve">Ankita Baburao Gawade </t>
  </si>
  <si>
    <t>Female</t>
  </si>
  <si>
    <t>Rural</t>
  </si>
  <si>
    <t>Agriculture</t>
  </si>
  <si>
    <t>30,000-50,000</t>
  </si>
  <si>
    <t>bikes</t>
  </si>
  <si>
    <t>Petrol</t>
  </si>
  <si>
    <t>20litre</t>
  </si>
  <si>
    <t>Indian oil</t>
  </si>
  <si>
    <t>10km</t>
  </si>
  <si>
    <t>Work</t>
  </si>
  <si>
    <t>private</t>
  </si>
  <si>
    <t>Cng</t>
  </si>
  <si>
    <t>Daily</t>
  </si>
  <si>
    <t>Bike</t>
  </si>
  <si>
    <t>Good</t>
  </si>
  <si>
    <t xml:space="preserve">Apeksha Sachin Ahiwale </t>
  </si>
  <si>
    <t>Urban</t>
  </si>
  <si>
    <t xml:space="preserve">Student </t>
  </si>
  <si>
    <t>50,000-70,000</t>
  </si>
  <si>
    <t>bikes, Scooty</t>
  </si>
  <si>
    <t xml:space="preserve">500 - 600 rupees </t>
  </si>
  <si>
    <t>Bharat petroleum</t>
  </si>
  <si>
    <t>50km</t>
  </si>
  <si>
    <t>20km</t>
  </si>
  <si>
    <t>School / Colleges</t>
  </si>
  <si>
    <t xml:space="preserve">Petrol </t>
  </si>
  <si>
    <t>No</t>
  </si>
  <si>
    <t>Often</t>
  </si>
  <si>
    <t xml:space="preserve">Scooty </t>
  </si>
  <si>
    <t xml:space="preserve">Should be decreased.... the rate must be less so people can easily transport </t>
  </si>
  <si>
    <t>Rahul Patil</t>
  </si>
  <si>
    <t>Male</t>
  </si>
  <si>
    <t>private sector</t>
  </si>
  <si>
    <t>bikes, Four wheeler</t>
  </si>
  <si>
    <t>15 L</t>
  </si>
  <si>
    <t xml:space="preserve">45 L </t>
  </si>
  <si>
    <t xml:space="preserve">10 KM </t>
  </si>
  <si>
    <t xml:space="preserve">20 KM </t>
  </si>
  <si>
    <t xml:space="preserve">4 YEAR </t>
  </si>
  <si>
    <t xml:space="preserve">3 YEAR </t>
  </si>
  <si>
    <t>Travel</t>
  </si>
  <si>
    <t xml:space="preserve">8 KM </t>
  </si>
  <si>
    <t xml:space="preserve">yes </t>
  </si>
  <si>
    <t>Rarely</t>
  </si>
  <si>
    <t xml:space="preserve">Bike </t>
  </si>
  <si>
    <t xml:space="preserve"> “Government should reduce petrol tax.”</t>
  </si>
  <si>
    <t>Savita Kale</t>
  </si>
  <si>
    <t>10,000-30,000</t>
  </si>
  <si>
    <t xml:space="preserve">6 KM </t>
  </si>
  <si>
    <t xml:space="preserve">6 YEARS </t>
  </si>
  <si>
    <t xml:space="preserve">Market and field work </t>
  </si>
  <si>
    <t xml:space="preserve">5 KM </t>
  </si>
  <si>
    <t xml:space="preserve">petrol </t>
  </si>
  <si>
    <t xml:space="preserve">no </t>
  </si>
  <si>
    <t>Weekly</t>
  </si>
  <si>
    <t xml:space="preserve">bike </t>
  </si>
  <si>
    <t xml:space="preserve">petrol rate should be 80rs </t>
  </si>
  <si>
    <t xml:space="preserve">Shivani </t>
  </si>
  <si>
    <t>Scooty</t>
  </si>
  <si>
    <t xml:space="preserve">10 km </t>
  </si>
  <si>
    <t xml:space="preserve">7 years </t>
  </si>
  <si>
    <t xml:space="preserve">3 km </t>
  </si>
  <si>
    <t xml:space="preserve">No </t>
  </si>
  <si>
    <t xml:space="preserve">Rarely </t>
  </si>
  <si>
    <t xml:space="preserve">Concession for women </t>
  </si>
  <si>
    <t xml:space="preserve">Siddhant kumbhar </t>
  </si>
  <si>
    <t xml:space="preserve">College student </t>
  </si>
  <si>
    <t>70,000-1,00,000</t>
  </si>
  <si>
    <t xml:space="preserve">15 L </t>
  </si>
  <si>
    <t xml:space="preserve">10 L </t>
  </si>
  <si>
    <t xml:space="preserve">9 km </t>
  </si>
  <si>
    <t xml:space="preserve">7 km </t>
  </si>
  <si>
    <t xml:space="preserve">15 years </t>
  </si>
  <si>
    <t xml:space="preserve">8  years </t>
  </si>
  <si>
    <t xml:space="preserve">Lower the rate of petrol </t>
  </si>
  <si>
    <t xml:space="preserve">Nikita Rajpurohit </t>
  </si>
  <si>
    <t xml:space="preserve">4.5 years </t>
  </si>
  <si>
    <t xml:space="preserve">2 km </t>
  </si>
  <si>
    <t xml:space="preserve">Rates are fine but petrol should be of good quality </t>
  </si>
  <si>
    <t xml:space="preserve">Tejashree Bankar </t>
  </si>
  <si>
    <t xml:space="preserve">30 L </t>
  </si>
  <si>
    <t xml:space="preserve">30 km </t>
  </si>
  <si>
    <t xml:space="preserve">13 years </t>
  </si>
  <si>
    <t xml:space="preserve">13 km </t>
  </si>
  <si>
    <t xml:space="preserve">Rate should be less </t>
  </si>
  <si>
    <t xml:space="preserve">Suhani balip </t>
  </si>
  <si>
    <t xml:space="preserve"> 30 km </t>
  </si>
  <si>
    <t xml:space="preserve">2 years </t>
  </si>
  <si>
    <t xml:space="preserve">Sometimes </t>
  </si>
  <si>
    <t xml:space="preserve">Should be less </t>
  </si>
  <si>
    <t xml:space="preserve">Ankita Gaikwad </t>
  </si>
  <si>
    <t xml:space="preserve">10  km </t>
  </si>
  <si>
    <t xml:space="preserve">20 years </t>
  </si>
  <si>
    <t xml:space="preserve">Yes </t>
  </si>
  <si>
    <t xml:space="preserve">Rate should be minimised </t>
  </si>
  <si>
    <t>Subhash Jadhav</t>
  </si>
  <si>
    <t>Government  Sector</t>
  </si>
  <si>
    <t>15 liter</t>
  </si>
  <si>
    <t>40 km</t>
  </si>
  <si>
    <t>14 years</t>
  </si>
  <si>
    <t>10 km</t>
  </si>
  <si>
    <t xml:space="preserve">Dipti sanjay shirtode </t>
  </si>
  <si>
    <t>Housewife</t>
  </si>
  <si>
    <t>15km</t>
  </si>
  <si>
    <t>15 km</t>
  </si>
  <si>
    <t xml:space="preserve">5year </t>
  </si>
  <si>
    <t>6year</t>
  </si>
  <si>
    <t xml:space="preserve">4 years </t>
  </si>
  <si>
    <t>20 km</t>
  </si>
  <si>
    <t xml:space="preserve">Scooty four wheeler </t>
  </si>
  <si>
    <t>Yes</t>
  </si>
  <si>
    <t xml:space="preserve">105 litres for petrol </t>
  </si>
  <si>
    <t xml:space="preserve"> Mane anjali sunil </t>
  </si>
  <si>
    <t>above 1,00,000</t>
  </si>
  <si>
    <t>bikes, Scooty, Four wheeler</t>
  </si>
  <si>
    <t>CNG</t>
  </si>
  <si>
    <t>5000litar</t>
  </si>
  <si>
    <t>HP</t>
  </si>
  <si>
    <t>10kimi</t>
  </si>
  <si>
    <t>20kimi</t>
  </si>
  <si>
    <t>२०kimi</t>
  </si>
  <si>
    <t>5varsha</t>
  </si>
  <si>
    <t>3varash</t>
  </si>
  <si>
    <t>5varasha</t>
  </si>
  <si>
    <t>for dropping and picking up children</t>
  </si>
  <si>
    <t>2kimi</t>
  </si>
  <si>
    <t>public transport</t>
  </si>
  <si>
    <t>सीएजी</t>
  </si>
  <si>
    <t xml:space="preserve">Amar dhumal </t>
  </si>
  <si>
    <t xml:space="preserve">Mumbai </t>
  </si>
  <si>
    <t>business</t>
  </si>
  <si>
    <t>130 .120km</t>
  </si>
  <si>
    <t xml:space="preserve">60km </t>
  </si>
  <si>
    <t xml:space="preserve">300km </t>
  </si>
  <si>
    <t xml:space="preserve">CNG </t>
  </si>
  <si>
    <t>30 km</t>
  </si>
  <si>
    <t xml:space="preserve">5 years </t>
  </si>
  <si>
    <t>20 to 30km</t>
  </si>
  <si>
    <t xml:space="preserve">Scooty or four wheeler </t>
  </si>
  <si>
    <t>Shaikh khushiya siraj</t>
  </si>
  <si>
    <t>below 10,000</t>
  </si>
  <si>
    <t xml:space="preserve">Dhembare Dnyaneshwari Nivas </t>
  </si>
  <si>
    <t xml:space="preserve">Electric </t>
  </si>
  <si>
    <t xml:space="preserve">Jagtap Sonu Dattatray </t>
  </si>
  <si>
    <t xml:space="preserve">bikes, Four wheeler, Tractor </t>
  </si>
  <si>
    <t>Petrol, diesel, CNG</t>
  </si>
  <si>
    <t xml:space="preserve">10 lit </t>
  </si>
  <si>
    <t>200kg</t>
  </si>
  <si>
    <t>500km</t>
  </si>
  <si>
    <t>9 years old</t>
  </si>
  <si>
    <t xml:space="preserve">3 years </t>
  </si>
  <si>
    <t xml:space="preserve">All </t>
  </si>
  <si>
    <t>Yes cng</t>
  </si>
  <si>
    <t xml:space="preserve">Sanidhya sanjay suryavanshi </t>
  </si>
  <si>
    <t>1 year</t>
  </si>
  <si>
    <t xml:space="preserve">Baramati to someshwar </t>
  </si>
  <si>
    <t xml:space="preserve">Indian fuel </t>
  </si>
  <si>
    <t>Sahil Mane</t>
  </si>
  <si>
    <t>13 year</t>
  </si>
  <si>
    <t>4 year</t>
  </si>
  <si>
    <t>3 year</t>
  </si>
  <si>
    <t>500 m</t>
  </si>
  <si>
    <t>Nothing</t>
  </si>
  <si>
    <t>Yes I can</t>
  </si>
  <si>
    <t>No use</t>
  </si>
  <si>
    <t xml:space="preserve">Mulik Aaradhana Shamrao </t>
  </si>
  <si>
    <t>10 lit</t>
  </si>
  <si>
    <t xml:space="preserve">इलेक्ट्रिक </t>
  </si>
  <si>
    <t>60 rupees</t>
  </si>
  <si>
    <t>Snehal Somnath Kumbhar</t>
  </si>
  <si>
    <t>25km</t>
  </si>
  <si>
    <t>10 year</t>
  </si>
  <si>
    <t>Ho</t>
  </si>
  <si>
    <t>Two wheeler</t>
  </si>
  <si>
    <t>इंधनाचे दर मापक असावेत</t>
  </si>
  <si>
    <t xml:space="preserve">Dhagare Vrushali Jayram </t>
  </si>
  <si>
    <t>Student</t>
  </si>
  <si>
    <t>Jio</t>
  </si>
  <si>
    <t>5km</t>
  </si>
  <si>
    <t>-</t>
  </si>
  <si>
    <t xml:space="preserve">Might be in future </t>
  </si>
  <si>
    <t xml:space="preserve">Public transport </t>
  </si>
  <si>
    <t>NA</t>
  </si>
  <si>
    <t xml:space="preserve">Samruddhi Mangesh Gaikwad </t>
  </si>
  <si>
    <t>2-4km</t>
  </si>
  <si>
    <t>6years</t>
  </si>
  <si>
    <t>Jotiba  holam</t>
  </si>
  <si>
    <t>8 liter</t>
  </si>
  <si>
    <t>No four wheeler</t>
  </si>
  <si>
    <t>16 km</t>
  </si>
  <si>
    <t xml:space="preserve">Not daily </t>
  </si>
  <si>
    <t>Both work and college</t>
  </si>
  <si>
    <t>8 km</t>
  </si>
  <si>
    <t>Fuel prices change every day at 6 am, so it is important to check today's rates.</t>
  </si>
  <si>
    <t>Rajesh Patil</t>
  </si>
  <si>
    <t>12 L</t>
  </si>
  <si>
    <t>30 L</t>
  </si>
  <si>
    <t>7 km</t>
  </si>
  <si>
    <t xml:space="preserve">6 years </t>
  </si>
  <si>
    <t xml:space="preserve">4 km </t>
  </si>
  <si>
    <t>Yes, willing to switch to Electric Vehicle (EV)</t>
  </si>
  <si>
    <t xml:space="preserve">Occasionally </t>
  </si>
  <si>
    <t>Fuel rates should be more stable and government should reduce prices to make daily travel affordable for middle-class families</t>
  </si>
  <si>
    <t>Akash Patil.</t>
  </si>
  <si>
    <t>bikes, car</t>
  </si>
  <si>
    <t>4 Years</t>
  </si>
  <si>
    <t>25 km</t>
  </si>
  <si>
    <t>18 liters</t>
  </si>
  <si>
    <t>3 Years</t>
  </si>
  <si>
    <t>55liters</t>
  </si>
  <si>
    <t>Indian Oil</t>
  </si>
  <si>
    <t>Fuel quality</t>
  </si>
  <si>
    <t>12 km</t>
  </si>
  <si>
    <t>Office</t>
  </si>
  <si>
    <t>Bus</t>
  </si>
  <si>
    <t>Maybe</t>
  </si>
  <si>
    <t>Low running cost</t>
  </si>
  <si>
    <t>Lack of charging stations</t>
  </si>
  <si>
    <t>Fuel prices should be stable and charging stations increased.</t>
  </si>
  <si>
    <t xml:space="preserve">Supriya Jadhav </t>
  </si>
  <si>
    <t>6 years</t>
  </si>
  <si>
    <t>15-20km</t>
  </si>
  <si>
    <t xml:space="preserve">17-18 litres </t>
  </si>
  <si>
    <t>Bus, Auto</t>
  </si>
  <si>
    <t>Eco-friendly, Rising petrol/diesel prices, New technology</t>
  </si>
  <si>
    <t>Government must maintain the prices of fuel and support to eco friendly vehicles like EV ...and also pay more attention on public transportation it could be much better..</t>
  </si>
  <si>
    <t>Ghadge Rutuja.</t>
  </si>
  <si>
    <t>Scooty, car</t>
  </si>
  <si>
    <t>3 years</t>
  </si>
  <si>
    <t>15 liters</t>
  </si>
  <si>
    <t>2 years</t>
  </si>
  <si>
    <t>35 km</t>
  </si>
  <si>
    <t>35 kg CNG</t>
  </si>
  <si>
    <t>6,500₹</t>
  </si>
  <si>
    <t>Shell</t>
  </si>
  <si>
    <t>Monthly</t>
  </si>
  <si>
    <t>Rising petrol/diesel prices</t>
  </si>
  <si>
    <t>Long charging time</t>
  </si>
  <si>
    <t>Improve CNG availability.</t>
  </si>
  <si>
    <t xml:space="preserve">Suhani Himmat Mane </t>
  </si>
  <si>
    <t>11km</t>
  </si>
  <si>
    <t>30 litre</t>
  </si>
  <si>
    <t>Closer to home</t>
  </si>
  <si>
    <t>College</t>
  </si>
  <si>
    <t>Eco-friendly</t>
  </si>
  <si>
    <t>Lack of charging stations, Long charging time</t>
  </si>
  <si>
    <t xml:space="preserve">Rate must be affordable for everyone </t>
  </si>
  <si>
    <t>Vijay pawar</t>
  </si>
  <si>
    <t>bikes, Commercial vehicle</t>
  </si>
  <si>
    <t>Diesel</t>
  </si>
  <si>
    <t>7years</t>
  </si>
  <si>
    <t>75L</t>
  </si>
  <si>
    <t>100L</t>
  </si>
  <si>
    <t>Price</t>
  </si>
  <si>
    <t>Agriculture-related</t>
  </si>
  <si>
    <t>Low running cost, Rising petrol/diesel prices</t>
  </si>
  <si>
    <t>Reduce Disel rates for farmers</t>
  </si>
  <si>
    <t xml:space="preserve">Sakshi Gejage </t>
  </si>
  <si>
    <t xml:space="preserve">1 year </t>
  </si>
  <si>
    <t>10 liter</t>
  </si>
  <si>
    <t>14 km</t>
  </si>
  <si>
    <t>Not confident in EV technology</t>
  </si>
  <si>
    <t xml:space="preserve">Rushikesh Balaso Shinde </t>
  </si>
  <si>
    <t>Fuel quality, Better service, Trust/Brand image</t>
  </si>
  <si>
    <t>School pickup/drop</t>
  </si>
  <si>
    <t>I don’t use public transport</t>
  </si>
  <si>
    <t>Mahesh Shinde    28</t>
  </si>
  <si>
    <t>bikes, car, Commercial vehicle</t>
  </si>
  <si>
    <t>5 yrs.</t>
  </si>
  <si>
    <t>8 liters</t>
  </si>
  <si>
    <t>6 yrs.</t>
  </si>
  <si>
    <t>45 litres</t>
  </si>
  <si>
    <t>7 yrs.</t>
  </si>
  <si>
    <t>60 litres</t>
  </si>
  <si>
    <t>₹10,000</t>
  </si>
  <si>
    <t>Better service</t>
  </si>
  <si>
    <t>Private Bus</t>
  </si>
  <si>
    <t>Diesel prices should reduce for farmers.</t>
  </si>
  <si>
    <t xml:space="preserve">Snehal Jadhav </t>
  </si>
  <si>
    <t xml:space="preserve">10 litres </t>
  </si>
  <si>
    <t>1,200₹</t>
  </si>
  <si>
    <t>BPCL</t>
  </si>
  <si>
    <t>6 km</t>
  </si>
  <si>
    <t>Shared Rickshaw</t>
  </si>
  <si>
    <t xml:space="preserve">Public buses should increase frequency. </t>
  </si>
  <si>
    <t>Anuja Aru</t>
  </si>
  <si>
    <t>10kms</t>
  </si>
  <si>
    <t>20l</t>
  </si>
  <si>
    <t>13years</t>
  </si>
  <si>
    <t>45kms</t>
  </si>
  <si>
    <t>70l</t>
  </si>
  <si>
    <t>10k</t>
  </si>
  <si>
    <t>21kms</t>
  </si>
  <si>
    <t>Auto</t>
  </si>
  <si>
    <t>Lack of charging stations, Not confident in EV technology</t>
  </si>
  <si>
    <t>Fuel rates would be less</t>
  </si>
  <si>
    <t>Kolekar Prathamesh</t>
  </si>
  <si>
    <t>daily wages</t>
  </si>
  <si>
    <t>8 yrs.</t>
  </si>
  <si>
    <t xml:space="preserve">28 litres </t>
  </si>
  <si>
    <t>3,000₹</t>
  </si>
  <si>
    <t>18 km</t>
  </si>
  <si>
    <t>Market/Shopping</t>
  </si>
  <si>
    <t>Reduce petrol prices.</t>
  </si>
  <si>
    <t>Neha jadhav</t>
  </si>
  <si>
    <t>3years</t>
  </si>
  <si>
    <t>12L</t>
  </si>
  <si>
    <t>7km</t>
  </si>
  <si>
    <t>Increase woman friendly transport options</t>
  </si>
  <si>
    <t>Salunkhe Rohit</t>
  </si>
  <si>
    <t>car, Electric Vehicle</t>
  </si>
  <si>
    <t>Electric</t>
  </si>
  <si>
    <t>3 yrs.</t>
  </si>
  <si>
    <t>40 km.</t>
  </si>
  <si>
    <t xml:space="preserve">60 liters </t>
  </si>
  <si>
    <t xml:space="preserve">60 kWh/month </t>
  </si>
  <si>
    <t>1 yrs.</t>
  </si>
  <si>
    <t>₹9,500</t>
  </si>
  <si>
    <t>Reliance</t>
  </si>
  <si>
    <t>Trust/Brand image</t>
  </si>
  <si>
    <t>Never</t>
  </si>
  <si>
    <t>New technology</t>
  </si>
  <si>
    <t xml:space="preserve">More EV charging stations needed. </t>
  </si>
  <si>
    <t xml:space="preserve">Mane Vaishanvi </t>
  </si>
  <si>
    <t xml:space="preserve">8 litres </t>
  </si>
  <si>
    <t>5 km</t>
  </si>
  <si>
    <t>Affordable maintenance</t>
  </si>
  <si>
    <t xml:space="preserve">Improve road quality in village. </t>
  </si>
  <si>
    <t>Sanket Nalwade</t>
  </si>
  <si>
    <t xml:space="preserve">70 litres </t>
  </si>
  <si>
    <t>8,000₹</t>
  </si>
  <si>
    <t>Low range</t>
  </si>
  <si>
    <t>Reduce diesel taxes.</t>
  </si>
  <si>
    <t xml:space="preserve">Komal Deshmukh </t>
  </si>
  <si>
    <t xml:space="preserve">12 litres </t>
  </si>
  <si>
    <t>4 yrs.</t>
  </si>
  <si>
    <t xml:space="preserve">55 litres </t>
  </si>
  <si>
    <t>6,800₹</t>
  </si>
  <si>
    <t>Fuel prices should be reduced.</t>
  </si>
  <si>
    <t>Pratik Jadhav</t>
  </si>
  <si>
    <t>5year</t>
  </si>
  <si>
    <t>7L</t>
  </si>
  <si>
    <t>2years</t>
  </si>
  <si>
    <t>45km</t>
  </si>
  <si>
    <t>70L</t>
  </si>
  <si>
    <t>18km</t>
  </si>
  <si>
    <t>Cut petrol taxes</t>
  </si>
  <si>
    <t>Pawar Yash</t>
  </si>
  <si>
    <t>bikes, Scooty, car</t>
  </si>
  <si>
    <t xml:space="preserve">13 litres </t>
  </si>
  <si>
    <t>2 yrs.</t>
  </si>
  <si>
    <t>12km</t>
  </si>
  <si>
    <t xml:space="preserve">9 litres </t>
  </si>
  <si>
    <t>5 yrs</t>
  </si>
  <si>
    <t xml:space="preserve">65 litres </t>
  </si>
  <si>
    <t>₹9,000</t>
  </si>
  <si>
    <t>Encourage EV subsidies.</t>
  </si>
  <si>
    <t xml:space="preserve">Ashiwini Shinde </t>
  </si>
  <si>
    <t>1year</t>
  </si>
  <si>
    <t>Government subsidy</t>
  </si>
  <si>
    <t>Reduce student bus pass cost</t>
  </si>
  <si>
    <t>Prathmesh Baravkar</t>
  </si>
  <si>
    <t>3km</t>
  </si>
  <si>
    <t>6l</t>
  </si>
  <si>
    <t>8km</t>
  </si>
  <si>
    <t>14l</t>
  </si>
  <si>
    <t>25l</t>
  </si>
  <si>
    <t>9km</t>
  </si>
  <si>
    <t>Bus, Shared Rickshaw</t>
  </si>
  <si>
    <t>Rahul Kamble</t>
  </si>
  <si>
    <t xml:space="preserve">22 km </t>
  </si>
  <si>
    <t>18 L</t>
  </si>
  <si>
    <t>2,300 Rs</t>
  </si>
  <si>
    <t xml:space="preserve">Provide more EV charging stations.
</t>
  </si>
  <si>
    <t>Pooja More</t>
  </si>
  <si>
    <t xml:space="preserve">student </t>
  </si>
  <si>
    <t xml:space="preserve">15 km </t>
  </si>
  <si>
    <t xml:space="preserve">1,200  Rs </t>
  </si>
  <si>
    <t xml:space="preserve">6 km </t>
  </si>
  <si>
    <t xml:space="preserve">Bus frequency should improve.
</t>
  </si>
  <si>
    <t>Dhananjay Mane</t>
  </si>
  <si>
    <t>bikes, Commercial vehicle, Tractor</t>
  </si>
  <si>
    <t>10years</t>
  </si>
  <si>
    <t>10L</t>
  </si>
  <si>
    <t>8years</t>
  </si>
  <si>
    <t>35km</t>
  </si>
  <si>
    <t>80L</t>
  </si>
  <si>
    <t>Fuel rates should be farmer friendly</t>
  </si>
  <si>
    <t>Riya Deshmukh</t>
  </si>
  <si>
    <t>car</t>
  </si>
  <si>
    <t>30km</t>
  </si>
  <si>
    <t>50L</t>
  </si>
  <si>
    <t>Shubham Ghule</t>
  </si>
  <si>
    <t>bikes, car, Electric Vehicle</t>
  </si>
  <si>
    <t xml:space="preserve">8 km </t>
  </si>
  <si>
    <t>6 L</t>
  </si>
  <si>
    <t xml:space="preserve">35 km </t>
  </si>
  <si>
    <t xml:space="preserve">55 L </t>
  </si>
  <si>
    <t>45 kWh</t>
  </si>
  <si>
    <t xml:space="preserve">20 km </t>
  </si>
  <si>
    <t>1 years</t>
  </si>
  <si>
    <t>8,800 Rs</t>
  </si>
  <si>
    <t xml:space="preserve">14 km </t>
  </si>
  <si>
    <t xml:space="preserve">EV subsidy should increase.
</t>
  </si>
  <si>
    <t>Omkar Salgude</t>
  </si>
  <si>
    <t>24L</t>
  </si>
  <si>
    <t>14km</t>
  </si>
  <si>
    <t>Other</t>
  </si>
  <si>
    <t>Gayatri Chavan</t>
  </si>
  <si>
    <t xml:space="preserve">12 km </t>
  </si>
  <si>
    <t xml:space="preserve">9 L </t>
  </si>
  <si>
    <t xml:space="preserve">8 L </t>
  </si>
  <si>
    <t>3,000 Rs</t>
  </si>
  <si>
    <t xml:space="preserve"> Petrol should be under ₹100.
</t>
  </si>
  <si>
    <t>Amruta Pawar</t>
  </si>
  <si>
    <t>5years</t>
  </si>
  <si>
    <t>9L</t>
  </si>
  <si>
    <t>40L</t>
  </si>
  <si>
    <t>High price</t>
  </si>
  <si>
    <t>Improve roads</t>
  </si>
  <si>
    <t>Ajinkya Nikam</t>
  </si>
  <si>
    <t xml:space="preserve">7 L </t>
  </si>
  <si>
    <t xml:space="preserve">50 km </t>
  </si>
  <si>
    <t>70 L</t>
  </si>
  <si>
    <t xml:space="preserve">9,700 Rs </t>
  </si>
  <si>
    <t>Train</t>
  </si>
  <si>
    <t xml:space="preserve">Improve traffic discipline.
</t>
  </si>
  <si>
    <t>Madhuri Pawar</t>
  </si>
  <si>
    <t xml:space="preserve">18 km </t>
  </si>
  <si>
    <t xml:space="preserve">12 L </t>
  </si>
  <si>
    <t xml:space="preserve">10 years </t>
  </si>
  <si>
    <t xml:space="preserve">25 km </t>
  </si>
  <si>
    <t>65 L</t>
  </si>
  <si>
    <t>₹8,200</t>
  </si>
  <si>
    <t xml:space="preserve">Diesel rates should be reduced for farmers.
</t>
  </si>
  <si>
    <t>Soham Jagtap</t>
  </si>
  <si>
    <t>2 yrs</t>
  </si>
  <si>
    <t xml:space="preserve"> 30 km</t>
  </si>
  <si>
    <t xml:space="preserve"> 20 L</t>
  </si>
  <si>
    <t xml:space="preserve"> ₹2,400</t>
  </si>
  <si>
    <t xml:space="preserve">More cycle tracks needed.
</t>
  </si>
  <si>
    <t>Swapnil Kadam</t>
  </si>
  <si>
    <t>8 yrs</t>
  </si>
  <si>
    <t xml:space="preserve"> 40 km</t>
  </si>
  <si>
    <t>26 L</t>
  </si>
  <si>
    <t xml:space="preserve"> ₹2,900</t>
  </si>
  <si>
    <t xml:space="preserve"> 12 km</t>
  </si>
  <si>
    <t xml:space="preserve">Roads should be repaired.
</t>
  </si>
  <si>
    <t>Santosh khande</t>
  </si>
  <si>
    <t>4years</t>
  </si>
  <si>
    <t>16L</t>
  </si>
  <si>
    <t>6L</t>
  </si>
  <si>
    <t>40km</t>
  </si>
  <si>
    <t>60L</t>
  </si>
  <si>
    <t>Rohini Salunke</t>
  </si>
  <si>
    <t>3 yrs</t>
  </si>
  <si>
    <t xml:space="preserve"> 25 km</t>
  </si>
  <si>
    <t>45 L</t>
  </si>
  <si>
    <t>₹5,200</t>
  </si>
  <si>
    <t>9 km</t>
  </si>
  <si>
    <t xml:space="preserve">Parking facilities should be improved.
</t>
  </si>
  <si>
    <t>Kiran Bhalekar</t>
  </si>
  <si>
    <t>65L</t>
  </si>
  <si>
    <t>Nitin Kolekar</t>
  </si>
  <si>
    <t>9 yrs</t>
  </si>
  <si>
    <t>14 L</t>
  </si>
  <si>
    <t>12 yrs</t>
  </si>
  <si>
    <t xml:space="preserve"> 18 km</t>
  </si>
  <si>
    <t xml:space="preserve"> 55 L</t>
  </si>
  <si>
    <t>₹7,000</t>
  </si>
  <si>
    <t xml:space="preserve">Fuel rates must be reduced for rural areas.
</t>
  </si>
  <si>
    <t>Shashikant Jadhav</t>
  </si>
  <si>
    <t>9 years</t>
  </si>
  <si>
    <t>12 litres</t>
  </si>
  <si>
    <t>4 years</t>
  </si>
  <si>
    <t>24 litres</t>
  </si>
  <si>
    <t xml:space="preserve"> ₹5,500</t>
  </si>
  <si>
    <t xml:space="preserve">Increase rural petrol pumps
</t>
  </si>
  <si>
    <t>Kavita Satpute</t>
  </si>
  <si>
    <t xml:space="preserve"> 7 litres</t>
  </si>
  <si>
    <t>₹900</t>
  </si>
  <si>
    <t>4 km</t>
  </si>
  <si>
    <t xml:space="preserve">Provide subsidy on EV scooters
</t>
  </si>
  <si>
    <t>Krishna Pawar</t>
  </si>
  <si>
    <t xml:space="preserve">7 years  </t>
  </si>
  <si>
    <t xml:space="preserve">32 km </t>
  </si>
  <si>
    <t xml:space="preserve">42 L </t>
  </si>
  <si>
    <t xml:space="preserve">Diesel should be subsidized for farmers
</t>
  </si>
  <si>
    <t>Rucha Phadke</t>
  </si>
  <si>
    <t xml:space="preserve">5 L </t>
  </si>
  <si>
    <t>₹650</t>
  </si>
  <si>
    <t xml:space="preserve">5 km </t>
  </si>
  <si>
    <t xml:space="preserve">Increase student bus passes
</t>
  </si>
  <si>
    <t>Sagar Ghatage</t>
  </si>
  <si>
    <t xml:space="preserve"> 8 years</t>
  </si>
  <si>
    <t>5 years</t>
  </si>
  <si>
    <t>22 km</t>
  </si>
  <si>
    <t xml:space="preserve">26 L </t>
  </si>
  <si>
    <t xml:space="preserve">45 km </t>
  </si>
  <si>
    <t>₹12,000</t>
  </si>
  <si>
    <t xml:space="preserve"> Improve road conditions
</t>
  </si>
  <si>
    <t>Prajakta More</t>
  </si>
  <si>
    <t xml:space="preserve">16 km </t>
  </si>
  <si>
    <t xml:space="preserve">20 L </t>
  </si>
  <si>
    <t>₹2,400</t>
  </si>
  <si>
    <t xml:space="preserve">Build more EV charging points
</t>
  </si>
  <si>
    <t>Akshay Kharat</t>
  </si>
  <si>
    <t xml:space="preserve">14 L </t>
  </si>
  <si>
    <t>₹1,500</t>
  </si>
  <si>
    <t xml:space="preserve"> Provide bike EV subsidies
</t>
  </si>
  <si>
    <t>Suvarna Sawant</t>
  </si>
  <si>
    <t xml:space="preserve">4 L </t>
  </si>
  <si>
    <t>₹500</t>
  </si>
  <si>
    <t>Household work</t>
  </si>
  <si>
    <t xml:space="preserve">Reduce petrol tax
</t>
  </si>
  <si>
    <t>Omkar Nikam</t>
  </si>
  <si>
    <t xml:space="preserve"> ₹5,800</t>
  </si>
  <si>
    <t>Business</t>
  </si>
  <si>
    <t xml:space="preserve">EV cars should be cheaper
</t>
  </si>
  <si>
    <t xml:space="preserve"> Mitali Khot</t>
  </si>
  <si>
    <t>student</t>
  </si>
  <si>
    <t>₹850</t>
  </si>
  <si>
    <t xml:space="preserve">Reduce fuel prices for students
</t>
  </si>
  <si>
    <t>Shinde Ritesh</t>
  </si>
  <si>
    <t xml:space="preserve">14 litres </t>
  </si>
  <si>
    <t>1,400₹</t>
  </si>
  <si>
    <t xml:space="preserve">Reduce petrol rates for rural areas </t>
  </si>
  <si>
    <t>Vaishali Zende</t>
  </si>
  <si>
    <t>3yrs</t>
  </si>
  <si>
    <t xml:space="preserve">7 litres </t>
  </si>
  <si>
    <t>6 yrs</t>
  </si>
  <si>
    <t xml:space="preserve">20 litres </t>
  </si>
  <si>
    <t>₹3,200</t>
  </si>
  <si>
    <t>Increase EV charging stations.</t>
  </si>
  <si>
    <t>Dnyaneshwar Pawar</t>
  </si>
  <si>
    <t>7 yrs</t>
  </si>
  <si>
    <t xml:space="preserve">16 litres </t>
  </si>
  <si>
    <t xml:space="preserve">5 yrs </t>
  </si>
  <si>
    <t xml:space="preserve">45 litres </t>
  </si>
  <si>
    <t>₹6,800</t>
  </si>
  <si>
    <t xml:space="preserve">Diesel prices should be reduced. </t>
  </si>
  <si>
    <t>Smita Lohar</t>
  </si>
  <si>
    <t>4 yrs</t>
  </si>
  <si>
    <t xml:space="preserve">6 litres </t>
  </si>
  <si>
    <t>₹700</t>
  </si>
  <si>
    <t>4km</t>
  </si>
  <si>
    <t>Bus frequency should increase.</t>
  </si>
  <si>
    <t xml:space="preserve">Ganesh Deshmukh </t>
  </si>
  <si>
    <t>10 yrs</t>
  </si>
  <si>
    <t>₹11,000</t>
  </si>
  <si>
    <t>13 km</t>
  </si>
  <si>
    <t>Reduce GST on fuel.</t>
  </si>
  <si>
    <t>Kadam Nisha</t>
  </si>
  <si>
    <t xml:space="preserve">Provide student discount on fuel. </t>
  </si>
  <si>
    <t>Balaju Thorat</t>
  </si>
  <si>
    <t xml:space="preserve">18 litres </t>
  </si>
  <si>
    <t>₹4,500</t>
  </si>
  <si>
    <t xml:space="preserve">Build more highways. </t>
  </si>
  <si>
    <t xml:space="preserve">Srushti Arjun Yadav </t>
  </si>
  <si>
    <t>LPG</t>
  </si>
  <si>
    <t xml:space="preserve">4 year </t>
  </si>
  <si>
    <t xml:space="preserve">2 year </t>
  </si>
  <si>
    <t>2 year</t>
  </si>
  <si>
    <t xml:space="preserve">Snehal Kambale </t>
  </si>
  <si>
    <t xml:space="preserve">22 litres </t>
  </si>
  <si>
    <t>₹2,700</t>
  </si>
  <si>
    <t xml:space="preserve">Encourage carpooling </t>
  </si>
  <si>
    <t>Pratik More</t>
  </si>
  <si>
    <t>28 km</t>
  </si>
  <si>
    <t xml:space="preserve">38 litres </t>
  </si>
  <si>
    <t>₹5000</t>
  </si>
  <si>
    <t xml:space="preserve">Lower diesel prices </t>
  </si>
  <si>
    <t xml:space="preserve">Puja Bhosale </t>
  </si>
  <si>
    <t>1years.</t>
  </si>
  <si>
    <t>₹750</t>
  </si>
  <si>
    <t xml:space="preserve">Make fuel prices stable </t>
  </si>
  <si>
    <t xml:space="preserve">Mansi santosh algude </t>
  </si>
  <si>
    <t xml:space="preserve">10 liter </t>
  </si>
  <si>
    <t xml:space="preserve">Raju Mane </t>
  </si>
  <si>
    <t>₹ 1,200</t>
  </si>
  <si>
    <t xml:space="preserve">1 years </t>
  </si>
  <si>
    <t>₹ 4000</t>
  </si>
  <si>
    <t xml:space="preserve">1 km </t>
  </si>
  <si>
    <t xml:space="preserve">Work </t>
  </si>
  <si>
    <t xml:space="preserve">Petrol price should be below 100 ₹ </t>
  </si>
  <si>
    <t>Khalate vaishnavi sanjay</t>
  </si>
  <si>
    <t>Kunal Bhongale</t>
  </si>
  <si>
    <t>06</t>
  </si>
  <si>
    <t>Akanksha</t>
  </si>
  <si>
    <t>Fuel quality, Better service</t>
  </si>
  <si>
    <t xml:space="preserve">Suyash Danawale </t>
  </si>
  <si>
    <t>Swapnil Suryakant Jadhav</t>
  </si>
  <si>
    <t>5 year's</t>
  </si>
  <si>
    <t>20-25 km</t>
  </si>
  <si>
    <t>60 to 70 litre</t>
  </si>
  <si>
    <t>10 to 15 km</t>
  </si>
  <si>
    <t>High price, Lack of charging stations</t>
  </si>
  <si>
    <t xml:space="preserve">Fule Price are so high. 
</t>
  </si>
  <si>
    <t>Ashok Landge</t>
  </si>
  <si>
    <t xml:space="preserve">8 years </t>
  </si>
  <si>
    <t xml:space="preserve">40 km </t>
  </si>
  <si>
    <t>₹7,500</t>
  </si>
  <si>
    <t xml:space="preserve">Reduce diesel price for farmers
</t>
  </si>
  <si>
    <t xml:space="preserve"> Shraddha Pise</t>
  </si>
  <si>
    <t xml:space="preserve">11 km </t>
  </si>
  <si>
    <t xml:space="preserve">More EV stations needed
</t>
  </si>
  <si>
    <t>Nitin Mane</t>
  </si>
  <si>
    <t xml:space="preserve">22 L </t>
  </si>
  <si>
    <t>₹5,500</t>
  </si>
  <si>
    <t>Mayuri Bhadane</t>
  </si>
  <si>
    <t xml:space="preserve">6 L </t>
  </si>
  <si>
    <t xml:space="preserve"> More buses for students
</t>
  </si>
  <si>
    <t>Dilip Kharade</t>
  </si>
  <si>
    <t xml:space="preserve">11 years </t>
  </si>
  <si>
    <t>₹1,200</t>
  </si>
  <si>
    <t xml:space="preserve">Subsidy for farmers
</t>
  </si>
  <si>
    <t>Neha More</t>
  </si>
  <si>
    <t xml:space="preserve">24 L </t>
  </si>
  <si>
    <t xml:space="preserve">EV parking areas needed
</t>
  </si>
  <si>
    <t>Tushar Gaikwad</t>
  </si>
  <si>
    <t xml:space="preserve">19 L </t>
  </si>
  <si>
    <t>₹4,800</t>
  </si>
  <si>
    <t xml:space="preserve">Reduce petrol price
</t>
  </si>
  <si>
    <t>Swapnali Chavan</t>
  </si>
  <si>
    <t xml:space="preserve">Make EV bikes cheaper
</t>
  </si>
  <si>
    <t>Ajay Salunkhe</t>
  </si>
  <si>
    <t>car, Commercial vehicle</t>
  </si>
  <si>
    <t>25 litres</t>
  </si>
  <si>
    <t>8 years</t>
  </si>
  <si>
    <t xml:space="preserve"> 45 km</t>
  </si>
  <si>
    <t>65 litres</t>
  </si>
  <si>
    <t xml:space="preserve"> Improve diesel quality
</t>
  </si>
  <si>
    <t>Monika Sawant</t>
  </si>
  <si>
    <t xml:space="preserve"> 3 years</t>
  </si>
  <si>
    <t xml:space="preserve"> 16 km</t>
  </si>
  <si>
    <t>19 litres</t>
  </si>
  <si>
    <t xml:space="preserve"> ₹2,300</t>
  </si>
  <si>
    <t xml:space="preserve"> 8 km</t>
  </si>
  <si>
    <t xml:space="preserve"> Increase EV charging points
</t>
  </si>
  <si>
    <t xml:space="preserve">Tatya Mane </t>
  </si>
  <si>
    <t>₹2,000</t>
  </si>
  <si>
    <t xml:space="preserve">work </t>
  </si>
  <si>
    <t>Maintenance concerns</t>
  </si>
  <si>
    <t xml:space="preserve">reduce petrol price </t>
  </si>
  <si>
    <t>Rohan Jagtap</t>
  </si>
  <si>
    <t xml:space="preserve">40 L </t>
  </si>
  <si>
    <t>₹5,000</t>
  </si>
  <si>
    <t>Low running cost, Eco-friendly</t>
  </si>
  <si>
    <t xml:space="preserve">Government should maintain stable prices.
</t>
  </si>
  <si>
    <t xml:space="preserve"> Sneha Shinde</t>
  </si>
  <si>
    <t xml:space="preserve"> 10 km</t>
  </si>
  <si>
    <t>6 liters</t>
  </si>
  <si>
    <t>₹1,000</t>
  </si>
  <si>
    <t xml:space="preserve"> Fuel rates should be reduced for students.
</t>
  </si>
  <si>
    <t>Sunil Khandagale</t>
  </si>
  <si>
    <t xml:space="preserve"> 7 liters</t>
  </si>
  <si>
    <t>7 years</t>
  </si>
  <si>
    <t>70 liters</t>
  </si>
  <si>
    <t xml:space="preserve"> ₹9,500</t>
  </si>
  <si>
    <t xml:space="preserve"> Diesel prices should be stable.
</t>
  </si>
  <si>
    <t>Anuja Pawar</t>
  </si>
  <si>
    <t>4 liters</t>
  </si>
  <si>
    <t xml:space="preserve"> 2 years</t>
  </si>
  <si>
    <t xml:space="preserve"> 20 km</t>
  </si>
  <si>
    <t>5 liters</t>
  </si>
  <si>
    <t xml:space="preserve"> ₹4,800</t>
  </si>
  <si>
    <t xml:space="preserve"> 9 km</t>
  </si>
  <si>
    <t xml:space="preserve">Need more EV charging stations.
</t>
  </si>
  <si>
    <t>Rahul Gaikwad</t>
  </si>
  <si>
    <t>50 liters</t>
  </si>
  <si>
    <t>80 liters</t>
  </si>
  <si>
    <t>₹14,000</t>
  </si>
  <si>
    <t xml:space="preserve">Fuel rates should decrease for business owners.
</t>
  </si>
  <si>
    <t xml:space="preserve"> Vaishnavi Lokhande</t>
  </si>
  <si>
    <t xml:space="preserve">Petrol should be cheaper.
</t>
  </si>
  <si>
    <t>Pratik Mane</t>
  </si>
  <si>
    <t>12 liter</t>
  </si>
  <si>
    <t>11 km</t>
  </si>
  <si>
    <t>Low running cost, Government subsidy</t>
  </si>
  <si>
    <t xml:space="preserve">Need concession in fuel for students.
</t>
  </si>
  <si>
    <t>Shubham Dhandare</t>
  </si>
  <si>
    <t>7 liters</t>
  </si>
  <si>
    <t>work</t>
  </si>
  <si>
    <t xml:space="preserve">Government should control fuel price rise.
</t>
  </si>
  <si>
    <t>Tanmay Kulkarni</t>
  </si>
  <si>
    <t>18 km/</t>
  </si>
  <si>
    <t>30 liters/</t>
  </si>
  <si>
    <t>Eco-friendly, New technology</t>
  </si>
  <si>
    <t xml:space="preserve"> More EV charging needed.
</t>
  </si>
  <si>
    <t>Payal Salunkhe</t>
  </si>
  <si>
    <t xml:space="preserve"> 6 km</t>
  </si>
  <si>
    <t>5 liters/</t>
  </si>
  <si>
    <t xml:space="preserve">Student discount should be there.
</t>
  </si>
  <si>
    <t>Mahesh Fulpagare</t>
  </si>
  <si>
    <t>. 40</t>
  </si>
  <si>
    <t>9 liters</t>
  </si>
  <si>
    <t>10 years</t>
  </si>
  <si>
    <t>50 km</t>
  </si>
  <si>
    <t>90 liters/</t>
  </si>
  <si>
    <t xml:space="preserve"> Petrol &amp; diesel must be stable for farmers.
</t>
  </si>
  <si>
    <t xml:space="preserve">Samiksha Santosh sabale </t>
  </si>
  <si>
    <t xml:space="preserve"> Pravin Kadam </t>
  </si>
  <si>
    <t>9 litres</t>
  </si>
  <si>
    <t>21 litres</t>
  </si>
  <si>
    <t>₹4,200</t>
  </si>
  <si>
    <t xml:space="preserve"> 7 km</t>
  </si>
  <si>
    <t xml:space="preserve">Petrol should be ₹85
</t>
  </si>
  <si>
    <t>Kavita Yadav</t>
  </si>
  <si>
    <t xml:space="preserve"> 20 litres</t>
  </si>
  <si>
    <t>₹2,600</t>
  </si>
  <si>
    <t xml:space="preserve"> More EV charging stations
</t>
  </si>
  <si>
    <t>Sandeep Jagtap</t>
  </si>
  <si>
    <t>11 years</t>
  </si>
  <si>
    <t>10 litres</t>
  </si>
  <si>
    <t xml:space="preserve"> ₹1,100</t>
  </si>
  <si>
    <t xml:space="preserve">Subsidy for farmers transportation
</t>
  </si>
  <si>
    <t>Aarti Shrirame</t>
  </si>
  <si>
    <t>5 litres</t>
  </si>
  <si>
    <t>Auto, Shared Rickshaw</t>
  </si>
  <si>
    <t xml:space="preserve">More buses in morning hours
</t>
  </si>
  <si>
    <t>Shubham Pawar</t>
  </si>
  <si>
    <t>8 litres</t>
  </si>
  <si>
    <t>18 litres</t>
  </si>
  <si>
    <t xml:space="preserve"> ₹3,600</t>
  </si>
  <si>
    <t xml:space="preserve">EV services should improve
</t>
  </si>
  <si>
    <t>Vaibhav Jagdale</t>
  </si>
  <si>
    <t xml:space="preserve">11 litres </t>
  </si>
  <si>
    <t>₹1,300</t>
  </si>
  <si>
    <t>Petrol should be below ₹80.</t>
  </si>
  <si>
    <t>Rutuja Khomane</t>
  </si>
  <si>
    <t>5litres</t>
  </si>
  <si>
    <t xml:space="preserve">Sagar bhosale </t>
  </si>
  <si>
    <t xml:space="preserve">17 litres </t>
  </si>
  <si>
    <t>₹3,800</t>
  </si>
  <si>
    <t xml:space="preserve">More CNG stations needed. </t>
  </si>
  <si>
    <t>Snehal Pawar</t>
  </si>
  <si>
    <t>Petrol rates should reduce</t>
  </si>
  <si>
    <t>Priya Shinde</t>
  </si>
  <si>
    <t>₹2,300</t>
  </si>
  <si>
    <t xml:space="preserve">EV charging points needed. </t>
  </si>
  <si>
    <t xml:space="preserve">Omkar Jadhav </t>
  </si>
  <si>
    <t>13km</t>
  </si>
  <si>
    <t>Nidhi Lokhande</t>
  </si>
  <si>
    <t>5L</t>
  </si>
  <si>
    <t>Shashikant Nilam</t>
  </si>
  <si>
    <t>11L</t>
  </si>
  <si>
    <t>12years</t>
  </si>
  <si>
    <t>45Km</t>
  </si>
  <si>
    <t xml:space="preserve">Mahesh Kambale </t>
  </si>
  <si>
    <t xml:space="preserve">13 liters </t>
  </si>
  <si>
    <t>11years</t>
  </si>
  <si>
    <t>₹9000</t>
  </si>
  <si>
    <t>Diesel should be cheaper for transporters.</t>
  </si>
  <si>
    <t>Pooja Chorage</t>
  </si>
  <si>
    <t>14Km</t>
  </si>
  <si>
    <t>19L</t>
  </si>
  <si>
    <t>Manoj Pawar</t>
  </si>
  <si>
    <t>10yeats</t>
  </si>
  <si>
    <t>40Km</t>
  </si>
  <si>
    <t>55L</t>
  </si>
  <si>
    <t>Diesel prices control needed</t>
  </si>
  <si>
    <t>Riya Kshatriya</t>
  </si>
  <si>
    <t>1Year</t>
  </si>
  <si>
    <t>10Km</t>
  </si>
  <si>
    <t>Sachin Babar</t>
  </si>
  <si>
    <t>12Km</t>
  </si>
  <si>
    <t>3year</t>
  </si>
  <si>
    <t>17km</t>
  </si>
  <si>
    <t>21L</t>
  </si>
  <si>
    <t>Parth Patil</t>
  </si>
  <si>
    <t>22 litres</t>
  </si>
  <si>
    <t xml:space="preserve">Reduce petrol prices. </t>
  </si>
  <si>
    <t>Renuka Pawar</t>
  </si>
  <si>
    <t>6km</t>
  </si>
  <si>
    <t>Dattatray Dhumal</t>
  </si>
  <si>
    <t>9years</t>
  </si>
  <si>
    <t>22L</t>
  </si>
  <si>
    <t>Mohan Salunkhe</t>
  </si>
  <si>
    <t>7 litres</t>
  </si>
  <si>
    <t>65 l</t>
  </si>
  <si>
    <t>Diesel rate should be stable</t>
  </si>
  <si>
    <t>Meenal Patankar</t>
  </si>
  <si>
    <t>9Km</t>
  </si>
  <si>
    <t>Shradha Pawar</t>
  </si>
  <si>
    <t>₹1100</t>
  </si>
  <si>
    <t xml:space="preserve">Improve public transport </t>
  </si>
  <si>
    <t>Kiran More</t>
  </si>
  <si>
    <t>15 Km</t>
  </si>
  <si>
    <t>Siddhant Thite</t>
  </si>
  <si>
    <t>7 L</t>
  </si>
  <si>
    <t>22km</t>
  </si>
  <si>
    <t>27 L</t>
  </si>
  <si>
    <t>9,500₹</t>
  </si>
  <si>
    <t>Smita Khopade</t>
  </si>
  <si>
    <t>4year</t>
  </si>
  <si>
    <t>16Km</t>
  </si>
  <si>
    <t>20L</t>
  </si>
  <si>
    <t xml:space="preserve">Anuja Sawant </t>
  </si>
  <si>
    <t>700₹</t>
  </si>
  <si>
    <t>Make EVs cheaper</t>
  </si>
  <si>
    <t>Viraj Deshmukh</t>
  </si>
  <si>
    <t>4yeat</t>
  </si>
  <si>
    <t>2year</t>
  </si>
  <si>
    <t>22Km</t>
  </si>
  <si>
    <t>26L</t>
  </si>
  <si>
    <t>45kwh/month</t>
  </si>
  <si>
    <t>Pranali Ghagade</t>
  </si>
  <si>
    <t xml:space="preserve">2year </t>
  </si>
  <si>
    <t>8Km</t>
  </si>
  <si>
    <t>Nitin Ghadge</t>
  </si>
  <si>
    <t>5 L</t>
  </si>
  <si>
    <t>32 L</t>
  </si>
  <si>
    <t>₹ 5,200</t>
  </si>
  <si>
    <t xml:space="preserve">More rural changing points </t>
  </si>
  <si>
    <t xml:space="preserve">Perna Jagtap </t>
  </si>
  <si>
    <t>No preference</t>
  </si>
  <si>
    <t xml:space="preserve">Reduce students transport fares </t>
  </si>
  <si>
    <t xml:space="preserve">Ganesh Nalwade </t>
  </si>
  <si>
    <t>40kwh</t>
  </si>
  <si>
    <t xml:space="preserve">More EV fast chargers </t>
  </si>
  <si>
    <t>Tejas Lokhande</t>
  </si>
  <si>
    <t>₹1,400</t>
  </si>
  <si>
    <t>Stabilize rates</t>
  </si>
  <si>
    <t>Aarohi Mane</t>
  </si>
  <si>
    <t>₹600</t>
  </si>
  <si>
    <t>Fuel rates should be reduced for middle class.</t>
  </si>
  <si>
    <t>Jaya Salunkhe</t>
  </si>
  <si>
    <t xml:space="preserve">9 years </t>
  </si>
  <si>
    <t xml:space="preserve"> 750 Rs </t>
  </si>
  <si>
    <t xml:space="preserve">Petrol price should decrease
</t>
  </si>
  <si>
    <t>Sangram mane</t>
  </si>
  <si>
    <t xml:space="preserve">Kiran Mane </t>
  </si>
  <si>
    <t>5 year</t>
  </si>
  <si>
    <t xml:space="preserve">Increase Ev charging point </t>
  </si>
  <si>
    <t xml:space="preserve">किशोर धुमाळ </t>
  </si>
  <si>
    <t xml:space="preserve">Electrical mentence </t>
  </si>
  <si>
    <t>Sagar pol</t>
  </si>
  <si>
    <t>18Km</t>
  </si>
  <si>
    <t>30Km</t>
  </si>
  <si>
    <t>34L</t>
  </si>
  <si>
    <t>Meera Shinde</t>
  </si>
  <si>
    <t>5l</t>
  </si>
  <si>
    <t>5Km</t>
  </si>
  <si>
    <t>Swapnil Bhalerao</t>
  </si>
  <si>
    <t>12l</t>
  </si>
  <si>
    <t>235km</t>
  </si>
  <si>
    <t>38l</t>
  </si>
  <si>
    <t>16km</t>
  </si>
  <si>
    <t>Aishwarya Pawar</t>
  </si>
  <si>
    <t>Mahadev Jadhav</t>
  </si>
  <si>
    <t>Shruti Mohite</t>
  </si>
  <si>
    <t>4L</t>
  </si>
  <si>
    <t>Nikhil Tupe</t>
  </si>
  <si>
    <t>42L</t>
  </si>
  <si>
    <t>45kwh</t>
  </si>
  <si>
    <t>Rutuja Shinde</t>
  </si>
  <si>
    <t>Rahul Bhosale</t>
  </si>
  <si>
    <t>8L</t>
  </si>
  <si>
    <t>Pranita Patil</t>
  </si>
  <si>
    <t xml:space="preserve">7L, </t>
  </si>
  <si>
    <t>More charging points in the city</t>
  </si>
  <si>
    <t xml:space="preserve">Rohit Shedge </t>
  </si>
  <si>
    <t xml:space="preserve">9 liters </t>
  </si>
  <si>
    <t xml:space="preserve">32 liters </t>
  </si>
  <si>
    <t xml:space="preserve">Petrol rate should be controlled. </t>
  </si>
  <si>
    <t>Kalyani Bhise</t>
  </si>
  <si>
    <t>1yrs</t>
  </si>
  <si>
    <t>Students concessions on fuel</t>
  </si>
  <si>
    <t>Devidas More</t>
  </si>
  <si>
    <t>₹6,400</t>
  </si>
  <si>
    <t>Diesel prices should be reduced.</t>
  </si>
  <si>
    <t>Snehal Jadhav</t>
  </si>
  <si>
    <t>₹800</t>
  </si>
  <si>
    <t xml:space="preserve">More EV stations. </t>
  </si>
  <si>
    <t>Vishal Yadav</t>
  </si>
  <si>
    <t>8 L</t>
  </si>
  <si>
    <t>₹4,900</t>
  </si>
  <si>
    <t>17 km</t>
  </si>
  <si>
    <t>Government must control daily rate changes.</t>
  </si>
  <si>
    <t>Rutuja Mane</t>
  </si>
  <si>
    <t>₹720</t>
  </si>
  <si>
    <t>More affordable EVs.</t>
  </si>
  <si>
    <t>Tanmay Shinde</t>
  </si>
  <si>
    <t>11 L</t>
  </si>
  <si>
    <t>38 L.</t>
  </si>
  <si>
    <t>35 kWh</t>
  </si>
  <si>
    <t>1 yrs</t>
  </si>
  <si>
    <t>₹9,900</t>
  </si>
  <si>
    <t xml:space="preserve">More fastest chargers needed </t>
  </si>
  <si>
    <t>Sakshi Nikam</t>
  </si>
  <si>
    <t xml:space="preserve">Lower EV cost of students </t>
  </si>
  <si>
    <t>Ajinkya Nalge</t>
  </si>
  <si>
    <t xml:space="preserve">6 yrs </t>
  </si>
  <si>
    <t>₹990</t>
  </si>
  <si>
    <t xml:space="preserve">More subsidy for low income peoples </t>
  </si>
  <si>
    <t xml:space="preserve">Poonam Bhosale </t>
  </si>
  <si>
    <t xml:space="preserve">Reduce petrol rates for women </t>
  </si>
  <si>
    <t>Dnyanada Nimbalkar</t>
  </si>
  <si>
    <t>10 L</t>
  </si>
  <si>
    <t>Amrin shaikh</t>
  </si>
  <si>
    <t>Pradnya Gaikwad</t>
  </si>
  <si>
    <t xml:space="preserve">Prachi Katkar </t>
  </si>
  <si>
    <t xml:space="preserve">Assistant Professor </t>
  </si>
  <si>
    <t xml:space="preserve">Below 5 km </t>
  </si>
  <si>
    <t xml:space="preserve">3-5 litres </t>
  </si>
  <si>
    <t xml:space="preserve">5- 6 km </t>
  </si>
  <si>
    <t xml:space="preserve">5-10 liters </t>
  </si>
  <si>
    <t xml:space="preserve">10 - 150 km </t>
  </si>
  <si>
    <t xml:space="preserve">100-200 liters </t>
  </si>
  <si>
    <t>10k to 15k</t>
  </si>
  <si>
    <t>Fuel quality, Closer to home, Trust/Brand image, Business</t>
  </si>
  <si>
    <t>Bus, Auto, Private Bus</t>
  </si>
  <si>
    <t>Kunal Salunkhe</t>
  </si>
  <si>
    <t>₹4200</t>
  </si>
  <si>
    <t xml:space="preserve">Pooja Chavan </t>
  </si>
  <si>
    <t>Amit Shinde</t>
  </si>
  <si>
    <t>Nikhil Dhumal</t>
  </si>
  <si>
    <t>Prajakta zende</t>
  </si>
  <si>
    <t>Laxman kadam</t>
  </si>
  <si>
    <t>Anuja giri</t>
  </si>
  <si>
    <t>Sunil kshirsagar</t>
  </si>
  <si>
    <t>Pranali Landge</t>
  </si>
  <si>
    <t>Aaditya ghadge</t>
  </si>
  <si>
    <t>Rohini chavhan</t>
  </si>
  <si>
    <t>Balasaheb Mane</t>
  </si>
  <si>
    <t>Minal salunkhe</t>
  </si>
  <si>
    <t>Prathamesh shinde</t>
  </si>
  <si>
    <t>Samiksha patankar</t>
  </si>
  <si>
    <t>Rohit salunkhe</t>
  </si>
  <si>
    <t>Kajal bhosale</t>
  </si>
  <si>
    <t>Shubham pawar</t>
  </si>
  <si>
    <t>Aishwarya chorage</t>
  </si>
  <si>
    <t>Manoj Gorde</t>
  </si>
  <si>
    <t xml:space="preserve">Trupti mane </t>
  </si>
  <si>
    <t>Nikhil lokhande</t>
  </si>
  <si>
    <t>Rutuja tupe</t>
  </si>
  <si>
    <t>Rushikesh Pawar</t>
  </si>
  <si>
    <t>Shakuntala Jadhav</t>
  </si>
  <si>
    <t>Raviraj Mane</t>
  </si>
  <si>
    <t>Vidya Pawar</t>
  </si>
  <si>
    <t>Samir Kokate</t>
  </si>
  <si>
    <t>Tanvi Khutade</t>
  </si>
  <si>
    <t>Sagar Babar</t>
  </si>
  <si>
    <t>Sandesh Shirsagar</t>
  </si>
  <si>
    <t xml:space="preserve">Kirti Ghorapade </t>
  </si>
  <si>
    <t xml:space="preserve">Ajinkya Nalwade </t>
  </si>
  <si>
    <t>Commercial vehicle</t>
  </si>
  <si>
    <t>Maya Thombare</t>
  </si>
  <si>
    <t>Ruturaj Pavar</t>
  </si>
  <si>
    <t>Better service, Business</t>
  </si>
  <si>
    <t>Ramesh Khatal</t>
  </si>
  <si>
    <t>Vaishanvi Pol</t>
  </si>
  <si>
    <t>Dhanjay Mhaske</t>
  </si>
  <si>
    <t>Priyanka Gole</t>
  </si>
  <si>
    <t xml:space="preserve">Riya Ghadge </t>
  </si>
  <si>
    <t>Shubham Pol</t>
  </si>
  <si>
    <t>Lack of charging stations, Low range</t>
  </si>
  <si>
    <t>Jagtap Dhanashri Bhagwan</t>
  </si>
  <si>
    <t>5 ltr</t>
  </si>
  <si>
    <t>1500rs</t>
  </si>
  <si>
    <t>Sagar Gole</t>
  </si>
  <si>
    <t>3000 to 3500</t>
  </si>
  <si>
    <t>Need to use ethanol fuel</t>
  </si>
  <si>
    <t xml:space="preserve">Kamble pratiksha dayanad </t>
  </si>
  <si>
    <t xml:space="preserve">Yadav shreya </t>
  </si>
  <si>
    <t>20 l</t>
  </si>
  <si>
    <t>Roman diksha nana</t>
  </si>
  <si>
    <t>1km</t>
  </si>
  <si>
    <t xml:space="preserve">Gaikwad pallavi Rajendra </t>
  </si>
  <si>
    <t>Dr. Sandhya Amol Jagtap</t>
  </si>
  <si>
    <t>120KM</t>
  </si>
  <si>
    <t>90 ltr</t>
  </si>
  <si>
    <t>1 KM</t>
  </si>
  <si>
    <t>15 Ltr</t>
  </si>
  <si>
    <t>Fuel quality, Closer to home, Better service</t>
  </si>
  <si>
    <t>100 Mtr</t>
  </si>
  <si>
    <t>It's convinient</t>
  </si>
  <si>
    <t xml:space="preserve">Saste Kshitija Rajaram </t>
  </si>
  <si>
    <t xml:space="preserve">Rohan sable </t>
  </si>
  <si>
    <t xml:space="preserve">30 lit </t>
  </si>
  <si>
    <t xml:space="preserve">19 lit </t>
  </si>
  <si>
    <t xml:space="preserve">5500 rs </t>
  </si>
  <si>
    <t>no suggestions</t>
  </si>
  <si>
    <t>Pratiksha Bhujbal</t>
  </si>
  <si>
    <t>Fuel quality, Closer to home</t>
  </si>
  <si>
    <t xml:space="preserve">Bhosale pratiksha vikas </t>
  </si>
  <si>
    <t xml:space="preserve">Akanksha Subhash Jadhav </t>
  </si>
  <si>
    <t xml:space="preserve">Pratik Ghegade </t>
  </si>
  <si>
    <t xml:space="preserve">1 month </t>
  </si>
  <si>
    <t>Na</t>
  </si>
  <si>
    <t>Affordable maintenance, Rising petrol/diesel prices</t>
  </si>
  <si>
    <t>Chetan</t>
  </si>
  <si>
    <t>Active 4g</t>
  </si>
  <si>
    <t>12 kiter</t>
  </si>
  <si>
    <t xml:space="preserve">Gayatri Dhumal </t>
  </si>
  <si>
    <t>Bus, Shared Rickshaw, Private Bus</t>
  </si>
  <si>
    <t>Eco-friendly, Rising petrol/diesel prices</t>
  </si>
  <si>
    <t>Shital Koli</t>
  </si>
  <si>
    <t>Fuel quality, Closer to home, Trust/Brand image</t>
  </si>
  <si>
    <t>Low running cost, Eco-friendly, Rising petrol/diesel prices</t>
  </si>
  <si>
    <t xml:space="preserve">Kumbhar  Navanath Narayan </t>
  </si>
  <si>
    <t xml:space="preserve">5 litre </t>
  </si>
  <si>
    <t>2litre</t>
  </si>
  <si>
    <t>2km</t>
  </si>
  <si>
    <t>High price, Maintenance concerns</t>
  </si>
  <si>
    <t xml:space="preserve">Dhembare Sakshi Jalindar </t>
  </si>
  <si>
    <t>10 time</t>
  </si>
  <si>
    <t xml:space="preserve">Nale jayashree </t>
  </si>
  <si>
    <t xml:space="preserve">Nilam Madane </t>
  </si>
  <si>
    <t>yes</t>
  </si>
  <si>
    <t>Fuel quality, Closer to home, Price, Better service, Trust/Brand image</t>
  </si>
  <si>
    <t>Low running cost, Affordable maintenance, Eco-friendly, Government subsidy, Rising petrol/diesel prices, New technology</t>
  </si>
  <si>
    <t xml:space="preserve">Shinde nita dattatray </t>
  </si>
  <si>
    <t xml:space="preserve">3 year </t>
  </si>
  <si>
    <t>Sawant sadhana nanaso</t>
  </si>
  <si>
    <t>Shendage Sunita Dattatray.</t>
  </si>
  <si>
    <t>15 years.</t>
  </si>
  <si>
    <t xml:space="preserve">Dhekale Hemant Vijay </t>
  </si>
  <si>
    <t xml:space="preserve">Roman Diksha Nana </t>
  </si>
  <si>
    <t>L</t>
  </si>
  <si>
    <t>10kg</t>
  </si>
  <si>
    <t>Bus, Auto, Private Bus, Train</t>
  </si>
  <si>
    <t>High price, Lack of charging stations, Low range, Maintenance concerns</t>
  </si>
  <si>
    <t xml:space="preserve">Savali Vikram Sorate </t>
  </si>
  <si>
    <t>Amit patil</t>
  </si>
  <si>
    <t>Sunita more</t>
  </si>
  <si>
    <t>Rohit Khedkar</t>
  </si>
  <si>
    <t>Priya Bhosale</t>
  </si>
  <si>
    <t>Better service, Trust/Brand image</t>
  </si>
  <si>
    <t>Sachin Mane</t>
  </si>
  <si>
    <t>Priyanka Jadhav</t>
  </si>
  <si>
    <t>Akshay Bhise</t>
  </si>
  <si>
    <t>Sneha paril</t>
  </si>
  <si>
    <t>Mahesh Mane</t>
  </si>
  <si>
    <t>Rutuja More</t>
  </si>
  <si>
    <t>Sagar Pawar</t>
  </si>
  <si>
    <t>Kriti Jagatap</t>
  </si>
  <si>
    <t>Rohit Salunkhe</t>
  </si>
  <si>
    <t>Prajakta Khade</t>
  </si>
  <si>
    <t xml:space="preserve">Rahul Jadhav </t>
  </si>
  <si>
    <t>Pooja Deshmukh</t>
  </si>
  <si>
    <t>Suresh More</t>
  </si>
  <si>
    <t>Neha kulkarni</t>
  </si>
  <si>
    <t>Eco-friendly, Government subsidy</t>
  </si>
  <si>
    <t>Dattatray shinde</t>
  </si>
  <si>
    <t>Anjali Patil</t>
  </si>
  <si>
    <t>Affordable maintenance, Eco-friendly</t>
  </si>
  <si>
    <t>Pravin Kadam</t>
  </si>
  <si>
    <t>Kalyani Sawant</t>
  </si>
  <si>
    <t>Shrikant Bhosale</t>
  </si>
  <si>
    <t>Mayur jagtap</t>
  </si>
  <si>
    <t>Akash Mane</t>
  </si>
  <si>
    <t>Snehal Paril</t>
  </si>
  <si>
    <t>Bus, Train</t>
  </si>
  <si>
    <t>Nilesh Bhosale</t>
  </si>
  <si>
    <t>Rutuja Jadhav</t>
  </si>
  <si>
    <t>Mahesh Shinde</t>
  </si>
  <si>
    <t xml:space="preserve">Pankaj More </t>
  </si>
  <si>
    <t>Komal Pawar</t>
  </si>
  <si>
    <t>Omkar Sawant</t>
  </si>
  <si>
    <t>bikes, Electric Vehicle</t>
  </si>
  <si>
    <t>Santosh Jagtap</t>
  </si>
  <si>
    <t>Shraddha Kulkarni</t>
  </si>
  <si>
    <t>Sagar Mane</t>
  </si>
  <si>
    <t>Vaishali Patil</t>
  </si>
  <si>
    <t>Rohit Jadhav</t>
  </si>
  <si>
    <t>Nikhil Sawant</t>
  </si>
  <si>
    <t>Amol Deshmukh</t>
  </si>
  <si>
    <t>Kavita Jagtap</t>
  </si>
  <si>
    <t>Prakash Bhosle</t>
  </si>
  <si>
    <t>Tejswini Kulkarni</t>
  </si>
  <si>
    <t>Ashok Patil</t>
  </si>
  <si>
    <t>Ramesh Jagtap</t>
  </si>
  <si>
    <t>Aarti Pawar</t>
  </si>
  <si>
    <t>Vikas Shinde</t>
  </si>
  <si>
    <t>Sheetal Kulkarni</t>
  </si>
  <si>
    <t>Trust/Brand image, Business</t>
  </si>
  <si>
    <t>Ganesh more</t>
  </si>
  <si>
    <t>Pooja Bhosale</t>
  </si>
  <si>
    <t>Sanjay Patil</t>
  </si>
  <si>
    <t>Meenal Jadhav</t>
  </si>
  <si>
    <t>Pratap Shinde</t>
  </si>
  <si>
    <t>High price, Lack of charging stations, Low range</t>
  </si>
  <si>
    <t>Sneha Mane</t>
  </si>
  <si>
    <t>Ajinkya Patil</t>
  </si>
  <si>
    <t>Radhika Shinde</t>
  </si>
  <si>
    <t>Shubham More</t>
  </si>
  <si>
    <t>Sunil Jadhav</t>
  </si>
  <si>
    <t>Priti Dhumal</t>
  </si>
  <si>
    <t>Kiran Gaikwad</t>
  </si>
  <si>
    <t>Nandini Patil</t>
  </si>
  <si>
    <t>Vinay Bhosale</t>
  </si>
  <si>
    <t>Aishwarya Mane</t>
  </si>
  <si>
    <t>Manoj Jadhav</t>
  </si>
  <si>
    <t>Harshad Pawar</t>
  </si>
  <si>
    <t>Shital Jadhav</t>
  </si>
  <si>
    <t>Mahadev Shinde</t>
  </si>
  <si>
    <t>Riya kadam</t>
  </si>
  <si>
    <t>Pranit Kadam</t>
  </si>
  <si>
    <t>Yogesh Patil</t>
  </si>
  <si>
    <t>Sonali Sawant</t>
  </si>
  <si>
    <t>Anil Bhosale</t>
  </si>
  <si>
    <t>Poona kenjale</t>
  </si>
  <si>
    <t xml:space="preserve">Ranjit saste, </t>
  </si>
  <si>
    <t>Nitin kadam</t>
  </si>
  <si>
    <t>Sneha Jadhav</t>
  </si>
  <si>
    <t>Ramesh Bhosale</t>
  </si>
  <si>
    <t>Kavita kadam</t>
  </si>
  <si>
    <t>Suresh Jagtap</t>
  </si>
  <si>
    <t>Priti pawar</t>
  </si>
  <si>
    <t>Sanjay Jadhav</t>
  </si>
  <si>
    <t>Rohit Mane</t>
  </si>
  <si>
    <t>Vaishnavi gaikwad</t>
  </si>
  <si>
    <t>Uday Jadhav</t>
  </si>
  <si>
    <t>Kiran pawar</t>
  </si>
  <si>
    <t>Neha Jadhav</t>
  </si>
  <si>
    <t>Bapurao Kadam</t>
  </si>
  <si>
    <t>Pratiksha Nikalaje</t>
  </si>
  <si>
    <t>Ramesh Jadhav</t>
  </si>
  <si>
    <t>Aarti Kadam</t>
  </si>
  <si>
    <t>Vishal jadhav</t>
  </si>
  <si>
    <t>Sahil mane</t>
  </si>
  <si>
    <t>Sunita pawar</t>
  </si>
  <si>
    <t xml:space="preserve">Mahesh kadam </t>
  </si>
  <si>
    <t>Sanjaykumar sawant</t>
  </si>
  <si>
    <t>Snehal Kadam</t>
  </si>
  <si>
    <t>Sagar pawat</t>
  </si>
  <si>
    <t>Poonam jadhav</t>
  </si>
  <si>
    <t>Ganesh Jadhav</t>
  </si>
  <si>
    <t>Tejas pawar</t>
  </si>
  <si>
    <t xml:space="preserve">Rutuja Phadatare </t>
  </si>
  <si>
    <t>Nilesh Jadhav</t>
  </si>
  <si>
    <t>Rohit pawar</t>
  </si>
  <si>
    <t>Neelam jadhav</t>
  </si>
  <si>
    <t>Ankita Baburao Gawade</t>
  </si>
  <si>
    <t>Rajendra shinde</t>
  </si>
  <si>
    <t>Komal Jadhav</t>
  </si>
  <si>
    <t>Pravin gaikwad</t>
  </si>
  <si>
    <t>Aishwarya kadam</t>
  </si>
  <si>
    <t>Sanjay Jagtap</t>
  </si>
  <si>
    <t>Long travel</t>
  </si>
  <si>
    <t>Meena shinde</t>
  </si>
  <si>
    <t>Ajinkya mane</t>
  </si>
  <si>
    <t>Lata pawar</t>
  </si>
  <si>
    <t>Amol shinde</t>
  </si>
  <si>
    <t>Shraddha jadhav</t>
  </si>
  <si>
    <t>Dattatray jadhav</t>
  </si>
  <si>
    <t>Purva mane</t>
  </si>
  <si>
    <t>Mahendra Jadhav</t>
  </si>
  <si>
    <t>Tanvi kadam</t>
  </si>
  <si>
    <t>Ramesh pawar</t>
  </si>
  <si>
    <t>Shubham Jadhav</t>
  </si>
  <si>
    <t>Seema jadhav</t>
  </si>
  <si>
    <t>Aniket Mane</t>
  </si>
  <si>
    <t>Komal kadam</t>
  </si>
  <si>
    <t>Raghunath more</t>
  </si>
  <si>
    <t>Swapnil kulkarni</t>
  </si>
  <si>
    <t>Ashwini pawar</t>
  </si>
  <si>
    <t>Pratik mane</t>
  </si>
  <si>
    <t>Hemant shinde</t>
  </si>
  <si>
    <t>Maintenance concerns, Not confident in EV technology</t>
  </si>
  <si>
    <t>Isha kadam</t>
  </si>
  <si>
    <t>Tukaram jadhav</t>
  </si>
  <si>
    <t>Akash kadam</t>
  </si>
  <si>
    <t>Suyash mane</t>
  </si>
  <si>
    <t>Priya jagtap</t>
  </si>
  <si>
    <t>Madhav pawar</t>
  </si>
  <si>
    <t>Riya kulkarni</t>
  </si>
  <si>
    <t>Balasaheb shinde</t>
  </si>
  <si>
    <t>Samir patil</t>
  </si>
  <si>
    <t>Nandini More</t>
  </si>
  <si>
    <t>Saurabh kadam</t>
  </si>
  <si>
    <t>Rohini shinde</t>
  </si>
  <si>
    <t>Prathamesh jadhav</t>
  </si>
  <si>
    <t>Rohini mane</t>
  </si>
  <si>
    <t>Prasad jadhav</t>
  </si>
  <si>
    <t>Mahesh nikalaje</t>
  </si>
  <si>
    <t>Sneha kulkarni</t>
  </si>
  <si>
    <t>Shakar More</t>
  </si>
  <si>
    <t>Kiran nale</t>
  </si>
  <si>
    <t>Savita jadhav</t>
  </si>
  <si>
    <t>Nikhil desai</t>
  </si>
  <si>
    <t>Pankaj shinde</t>
  </si>
  <si>
    <t>Aishwarya patil</t>
  </si>
  <si>
    <t>Manali jadhav</t>
  </si>
  <si>
    <t>Saurabh jadhav</t>
  </si>
  <si>
    <t>Sarthak jadhav</t>
  </si>
  <si>
    <t>Devraj jadhav</t>
  </si>
  <si>
    <t>Sangita jadhav</t>
  </si>
  <si>
    <t xml:space="preserve">Vinay jadhav </t>
  </si>
  <si>
    <t>Tushar jadhav</t>
  </si>
  <si>
    <t>Kundalik jadhav</t>
  </si>
  <si>
    <t>Vishal pawar</t>
  </si>
  <si>
    <t>Kalyani Jadhav</t>
  </si>
  <si>
    <t>Datta shinde</t>
  </si>
  <si>
    <t>Snehal patil</t>
  </si>
  <si>
    <t>Vishnu more</t>
  </si>
  <si>
    <t>20 yrs</t>
  </si>
  <si>
    <t>Di</t>
  </si>
  <si>
    <t>Ramesh More</t>
  </si>
  <si>
    <t>Abhishek kulkarni</t>
  </si>
  <si>
    <t>Vaishali jadhav</t>
  </si>
  <si>
    <t>Shailesh patil</t>
  </si>
  <si>
    <t>Neelam madane</t>
  </si>
  <si>
    <t>Ketan mane</t>
  </si>
  <si>
    <t>Prashant shinde</t>
  </si>
  <si>
    <t>Ashwini shinde</t>
  </si>
  <si>
    <t>Sanjay more</t>
  </si>
  <si>
    <t>Rohini jadhav</t>
  </si>
  <si>
    <t>Mahendra patil</t>
  </si>
  <si>
    <t>Kiran Guttedar</t>
  </si>
  <si>
    <t>Akash jagatap</t>
  </si>
  <si>
    <t>Lack of charging stations, Maintenance concerns</t>
  </si>
  <si>
    <t>Shubham. Kadma</t>
  </si>
  <si>
    <t>Rekha shinde</t>
  </si>
  <si>
    <t>Rahul mane</t>
  </si>
  <si>
    <t>Pranali jadhav</t>
  </si>
  <si>
    <t>Dnyaneshwar shinde</t>
  </si>
  <si>
    <t>Neha patil</t>
  </si>
  <si>
    <t>Satish madne</t>
  </si>
  <si>
    <t>Sunita jagtap</t>
  </si>
  <si>
    <t>Nitin patil</t>
  </si>
  <si>
    <t>Alka mane</t>
  </si>
  <si>
    <t>Swapnil shende</t>
  </si>
  <si>
    <t>Sulochna pawar</t>
  </si>
  <si>
    <t xml:space="preserve">Amol Jadhav </t>
  </si>
  <si>
    <t>Sujata More</t>
  </si>
  <si>
    <t>Sanket Patil</t>
  </si>
  <si>
    <t>Price, Better service</t>
  </si>
  <si>
    <t xml:space="preserve">Ramesh Shinde </t>
  </si>
  <si>
    <t>Meena Pawar</t>
  </si>
  <si>
    <t>Yogesh Jagtap</t>
  </si>
  <si>
    <t>Kavita Shitole</t>
  </si>
  <si>
    <t xml:space="preserve">Pratik Kulkarni </t>
  </si>
  <si>
    <t>Government subsidy, Rising petrol/diesel prices, New technology</t>
  </si>
  <si>
    <t>Sheetal Patil</t>
  </si>
  <si>
    <t>Prefer not to say</t>
  </si>
  <si>
    <t>Vishnu More</t>
  </si>
  <si>
    <t>3oooo</t>
  </si>
  <si>
    <t>Suresh Pawar</t>
  </si>
  <si>
    <t>4 L</t>
  </si>
  <si>
    <t>15 yrs</t>
  </si>
  <si>
    <t xml:space="preserve"> ₹8,800</t>
  </si>
  <si>
    <t xml:space="preserve"> Subsidy for farmers
</t>
  </si>
  <si>
    <t>₹520</t>
  </si>
  <si>
    <t>3 km</t>
  </si>
  <si>
    <t xml:space="preserve">EV awareness programs
</t>
  </si>
  <si>
    <t xml:space="preserve"> Milind Jadhav</t>
  </si>
  <si>
    <t xml:space="preserve"> 7 yrs</t>
  </si>
  <si>
    <t xml:space="preserve"> 5 yrs</t>
  </si>
  <si>
    <t>23 km</t>
  </si>
  <si>
    <t xml:space="preserve"> 21 L</t>
  </si>
  <si>
    <t xml:space="preserve">₹3,700 </t>
  </si>
  <si>
    <t xml:space="preserve"> Improve traffic management
</t>
  </si>
  <si>
    <t>Sunil Shinde</t>
  </si>
  <si>
    <t xml:space="preserve"> 19 yrs</t>
  </si>
  <si>
    <t xml:space="preserve"> 55 km</t>
  </si>
  <si>
    <t>90 L</t>
  </si>
  <si>
    <t>₹9,200</t>
  </si>
  <si>
    <t xml:space="preserve"> Reduce diesel price
</t>
  </si>
  <si>
    <t>Surendra pawar</t>
  </si>
  <si>
    <t>Priya Jadhav</t>
  </si>
  <si>
    <t>Mayur patil</t>
  </si>
  <si>
    <t>Dilip shinde</t>
  </si>
  <si>
    <t>Sonali kulkarni</t>
  </si>
  <si>
    <t>Mangala Jagtap</t>
  </si>
  <si>
    <t>Swapnil nale</t>
  </si>
  <si>
    <t>Raju Kamble</t>
  </si>
  <si>
    <t>Kiran Sutar</t>
  </si>
  <si>
    <t>Shital jadhav</t>
  </si>
  <si>
    <t>Rohan pawar</t>
  </si>
  <si>
    <t>Aaba Shinde</t>
  </si>
  <si>
    <t>Aarti Sutar</t>
  </si>
  <si>
    <t>Aniket Sutar</t>
  </si>
  <si>
    <t>Lata Sutar</t>
  </si>
  <si>
    <t>Pratik Sutar</t>
  </si>
  <si>
    <t>Vijay Shindage</t>
  </si>
  <si>
    <t>Pankaj Sutar</t>
  </si>
  <si>
    <t>Ramesh Kadam</t>
  </si>
  <si>
    <t>Low running cost, Eco-friendly, Government subsidy</t>
  </si>
  <si>
    <t xml:space="preserve">Pooja Kulkarni </t>
  </si>
  <si>
    <t>Santosh More</t>
  </si>
  <si>
    <t>Auto, Private Bus, I don’t use public transport</t>
  </si>
  <si>
    <t>Fuel quality, Trust/Brand image</t>
  </si>
  <si>
    <t xml:space="preserve">Ashok Jadhav </t>
  </si>
  <si>
    <t>Low running cost, Affordable maintenance, Eco-friendly</t>
  </si>
  <si>
    <t xml:space="preserve">Kavita Shinde </t>
  </si>
  <si>
    <t>Omkar Desai</t>
  </si>
  <si>
    <t>Mahesh Lokhande</t>
  </si>
  <si>
    <t xml:space="preserve">Aditya Kulkarni </t>
  </si>
  <si>
    <t>Pravin Chavan</t>
  </si>
  <si>
    <t>Snehal Patil</t>
  </si>
  <si>
    <t xml:space="preserve">Shubham  Jadhav </t>
  </si>
  <si>
    <t>Nitin Sawant</t>
  </si>
  <si>
    <t>Tejaswini More</t>
  </si>
  <si>
    <t xml:space="preserve">Rahul Bhosale </t>
  </si>
  <si>
    <t xml:space="preserve">Sunita Jagtap </t>
  </si>
  <si>
    <t xml:space="preserve">Akshay Deshmukh </t>
  </si>
  <si>
    <t>Ganesh Thorat</t>
  </si>
  <si>
    <t xml:space="preserve">Rohini Kulkarni </t>
  </si>
  <si>
    <t>Low running cost, Affordable maintenance</t>
  </si>
  <si>
    <t xml:space="preserve">Pooja Shinde </t>
  </si>
  <si>
    <t>Kunal Patil</t>
  </si>
  <si>
    <t>Chandrakant More</t>
  </si>
  <si>
    <t xml:space="preserve">Seema Kulkarni </t>
  </si>
  <si>
    <t xml:space="preserve">Sanket Deshmukh </t>
  </si>
  <si>
    <t xml:space="preserve">Sunanda Jadhav </t>
  </si>
  <si>
    <t>Harshal Patil</t>
  </si>
  <si>
    <t>Pandurang Kamble</t>
  </si>
  <si>
    <t>Nikhil Mane</t>
  </si>
  <si>
    <t xml:space="preserve">Shruti Jadhav </t>
  </si>
  <si>
    <t>Prathamesh More</t>
  </si>
  <si>
    <t>Akshat Jadhav</t>
  </si>
  <si>
    <t xml:space="preserve">Rajendra Shinde </t>
  </si>
  <si>
    <t xml:space="preserve">Manisha Kulkarni </t>
  </si>
  <si>
    <t xml:space="preserve">Ritesh Deshmukh </t>
  </si>
  <si>
    <t xml:space="preserve">Anuradha Jagtap </t>
  </si>
  <si>
    <t>Sandeep Patil</t>
  </si>
  <si>
    <t xml:space="preserve">Baban Kamble </t>
  </si>
  <si>
    <t>Shreyas Mane</t>
  </si>
  <si>
    <t>Sakhu tembare</t>
  </si>
  <si>
    <t>Nishant more</t>
  </si>
  <si>
    <t>Ganesh Shinde</t>
  </si>
  <si>
    <t>Pranita patil</t>
  </si>
  <si>
    <t>Mahesh kharade</t>
  </si>
  <si>
    <t>Rohan Kulkarni</t>
  </si>
  <si>
    <t>Tejas Sawant</t>
  </si>
  <si>
    <t>Alka Deshmukh</t>
  </si>
  <si>
    <t>Santosh Gaikwad</t>
  </si>
  <si>
    <t>Swapnil Mane</t>
  </si>
  <si>
    <t xml:space="preserve">Ashwini Jadhav </t>
  </si>
  <si>
    <t xml:space="preserve">Dattatray Bhosale </t>
  </si>
  <si>
    <t xml:space="preserve">Harshal Dhumal </t>
  </si>
  <si>
    <t>Kalpana Patil</t>
  </si>
  <si>
    <t xml:space="preserve">Sushant Gaikwad </t>
  </si>
  <si>
    <t>Atharva Patil</t>
  </si>
  <si>
    <t>Shailesh Kulkarni</t>
  </si>
  <si>
    <t xml:space="preserve">Mayur Shinde </t>
  </si>
  <si>
    <t xml:space="preserve">Vaishali Deshmukh </t>
  </si>
  <si>
    <t>Rohini Deshmukh</t>
  </si>
  <si>
    <t>Ashok Pawar</t>
  </si>
  <si>
    <t>Aarti More</t>
  </si>
  <si>
    <t xml:space="preserve">Pravin Kambale </t>
  </si>
  <si>
    <t>Nitin Gaikwad</t>
  </si>
  <si>
    <t>5,</t>
  </si>
  <si>
    <t>Priti Kulkarni</t>
  </si>
  <si>
    <t>Prakash Shinde</t>
  </si>
  <si>
    <t>Aniket Patwardhan</t>
  </si>
  <si>
    <t>Electric Vehicle</t>
  </si>
  <si>
    <t>Sonali Jadhav</t>
  </si>
  <si>
    <t>Aryan Deshpande</t>
  </si>
  <si>
    <t>Mahendra Patil</t>
  </si>
  <si>
    <t>Shradha More</t>
  </si>
  <si>
    <t>Prashant Jadhav</t>
  </si>
  <si>
    <t>Neha Kulkarni</t>
  </si>
  <si>
    <t>Ramesh Shinde</t>
  </si>
  <si>
    <t>Suvarna Patil</t>
  </si>
  <si>
    <t>Yogesh More</t>
  </si>
  <si>
    <t>Madhuri Jagtap</t>
  </si>
  <si>
    <t>Kunal Pawar</t>
  </si>
  <si>
    <t>Vijay Kulkarni</t>
  </si>
  <si>
    <t>Shubham Patil</t>
  </si>
  <si>
    <t>Amol Bhosale</t>
  </si>
  <si>
    <t>Surekha Pawar</t>
  </si>
  <si>
    <t>Rohit Kadam</t>
  </si>
  <si>
    <t>Anjali Shinde</t>
  </si>
  <si>
    <t>Rahul Deshmukh</t>
  </si>
  <si>
    <t>Prasad Jadhav</t>
  </si>
  <si>
    <t>Sandeep Chavan</t>
  </si>
  <si>
    <t>Riya Pawar</t>
  </si>
  <si>
    <t>Milind Desai</t>
  </si>
  <si>
    <t xml:space="preserve">Nandini Kulkarni </t>
  </si>
  <si>
    <t xml:space="preserve">Vikas Jadhav </t>
  </si>
  <si>
    <t>Eco-friendly, Government subsidy, Rising petrol/diesel prices</t>
  </si>
  <si>
    <t>Kavita Mane</t>
  </si>
  <si>
    <t>Sameer Patil</t>
  </si>
  <si>
    <t xml:space="preserve">Shital Gaikwad </t>
  </si>
  <si>
    <t>Closer to home, Price</t>
  </si>
  <si>
    <t>Mohan Shinde</t>
  </si>
  <si>
    <t>Aditya Bhagat</t>
  </si>
  <si>
    <t xml:space="preserve">Aarya Sagar zanzane </t>
  </si>
  <si>
    <t xml:space="preserve">Kharat Pranjali Raju </t>
  </si>
  <si>
    <t>Bus, Auto, Shared Rickshaw</t>
  </si>
  <si>
    <t>Gaikwad purva dhanaji</t>
  </si>
  <si>
    <t xml:space="preserve">25345 kilometres </t>
  </si>
  <si>
    <t>22 litre</t>
  </si>
  <si>
    <t>Fuel rates may be very high</t>
  </si>
  <si>
    <t xml:space="preserve">Vrushali  Hanmant Yele </t>
  </si>
  <si>
    <t xml:space="preserve">3 month </t>
  </si>
  <si>
    <t>4 k/m</t>
  </si>
  <si>
    <t xml:space="preserve">22 liter </t>
  </si>
  <si>
    <t>7 k/m</t>
  </si>
  <si>
    <t>Mandhare Shrutika Vilas</t>
  </si>
  <si>
    <t>22 liter</t>
  </si>
  <si>
    <t xml:space="preserve">Fuel rates may be reduced </t>
  </si>
  <si>
    <t>Shaikh sabatanjila mahamad ramjan</t>
  </si>
  <si>
    <t xml:space="preserve">Saniya hajrat mulla </t>
  </si>
  <si>
    <t xml:space="preserve">Sakshi Phadtare </t>
  </si>
  <si>
    <t xml:space="preserve">Omkar Phadtare </t>
  </si>
  <si>
    <t xml:space="preserve">Shantanu shendkar </t>
  </si>
  <si>
    <t>Aditya Kulkarni</t>
  </si>
  <si>
    <t>Mohan wagh</t>
  </si>
  <si>
    <t>Shital Gaikwad</t>
  </si>
  <si>
    <t>Harshad madne</t>
  </si>
  <si>
    <t>Shanta shende</t>
  </si>
  <si>
    <t>Government subsidy, New technology</t>
  </si>
  <si>
    <t>Aarav bhosale</t>
  </si>
  <si>
    <t xml:space="preserve">Ashish patil </t>
  </si>
  <si>
    <t xml:space="preserve">1,560 rs </t>
  </si>
  <si>
    <t xml:space="preserve">Reduce petrol price </t>
  </si>
  <si>
    <t xml:space="preserve">Kavita Mane </t>
  </si>
  <si>
    <t>520 rs</t>
  </si>
  <si>
    <t xml:space="preserve">Improve local roads </t>
  </si>
  <si>
    <t>Tejas waghmare</t>
  </si>
  <si>
    <t>Pankaj Nikalje</t>
  </si>
  <si>
    <t>Sai kadam</t>
  </si>
  <si>
    <t xml:space="preserve"> Age </t>
  </si>
  <si>
    <t xml:space="preserve">Gender </t>
  </si>
  <si>
    <t xml:space="preserve">consider_ev
</t>
  </si>
  <si>
    <t xml:space="preserve">Monthly_income </t>
  </si>
  <si>
    <t xml:space="preserve">Total_family _members </t>
  </si>
  <si>
    <t xml:space="preserve">No._of_vehicles_in_family </t>
  </si>
  <si>
    <t xml:space="preserve"> Type_vehicle </t>
  </si>
  <si>
    <t xml:space="preserve">fuel_required_Bike </t>
  </si>
  <si>
    <t xml:space="preserve">fuel_required_Scooty </t>
  </si>
  <si>
    <t xml:space="preserve">fuel_required_Car </t>
  </si>
  <si>
    <t xml:space="preserve">fuel_required_Commercial </t>
  </si>
  <si>
    <t xml:space="preserve">Age_bike </t>
  </si>
  <si>
    <t xml:space="preserve">Daily_distance_travelled_bike </t>
  </si>
  <si>
    <t>Age_Scooty</t>
  </si>
  <si>
    <t xml:space="preserve">Daily_distance_travelled_Scooty </t>
  </si>
  <si>
    <t xml:space="preserve"> Age_Car</t>
  </si>
  <si>
    <t xml:space="preserve">Daily_distance_travelled_Car </t>
  </si>
  <si>
    <t xml:space="preserve">
Age_commercial</t>
  </si>
  <si>
    <t>Daily_distance_travelled_commercial</t>
  </si>
  <si>
    <t xml:space="preserve">Total_monthly_fuel_expense 
</t>
  </si>
  <si>
    <t>Preferred_fuel_brand</t>
  </si>
  <si>
    <t>Distance_home_ workplacr</t>
  </si>
  <si>
    <t>Main_purpose_vehicle</t>
  </si>
  <si>
    <t xml:space="preserve">How_often_use_PT
</t>
  </si>
  <si>
    <t xml:space="preserve">type_PT
</t>
  </si>
  <si>
    <t>Colunm</t>
  </si>
  <si>
    <t>Min</t>
  </si>
  <si>
    <t>max</t>
  </si>
  <si>
    <t>Average</t>
  </si>
  <si>
    <t>median</t>
  </si>
  <si>
    <t>MODE</t>
  </si>
  <si>
    <t>year</t>
  </si>
  <si>
    <t>km</t>
  </si>
  <si>
    <t>rs</t>
  </si>
  <si>
    <t>yrs</t>
  </si>
  <si>
    <t>lit</t>
  </si>
  <si>
    <t>fuel_monthly_bikes</t>
  </si>
  <si>
    <t>Fuel_required_monthly_scooty</t>
  </si>
  <si>
    <t>Fuel_required_monthly_car</t>
  </si>
  <si>
    <t>Fuel_required_monthly_commercial</t>
  </si>
  <si>
    <t>bike</t>
  </si>
  <si>
    <t>fuel_monthly_bike</t>
  </si>
  <si>
    <t>count</t>
  </si>
  <si>
    <t>bike, Commercial vehicle</t>
  </si>
  <si>
    <t>(clean data)blank</t>
  </si>
  <si>
    <t>Row Labels</t>
  </si>
  <si>
    <t>Grand Total</t>
  </si>
  <si>
    <t>Avg_Bike_Fuel(L/month)</t>
  </si>
  <si>
    <t>Avg_Scooty_Fuel_(L/month)</t>
  </si>
  <si>
    <t>Avg_Car_Fuel(L/month)</t>
  </si>
  <si>
    <t>Ave_Commercial_Fuel(L/month)</t>
  </si>
  <si>
    <t>Has_Bike</t>
  </si>
  <si>
    <t>Has_Scooty</t>
  </si>
  <si>
    <t>Has_Car</t>
  </si>
  <si>
    <t>Has_Commercial</t>
  </si>
  <si>
    <t>Has_EV</t>
  </si>
  <si>
    <t>PIVOT TABLE</t>
  </si>
  <si>
    <t>Bike owners</t>
  </si>
  <si>
    <t>Car owners</t>
  </si>
  <si>
    <t>Commercial Vehicle owners</t>
  </si>
  <si>
    <t>Scooty owners</t>
  </si>
  <si>
    <t>Avg_Fuel(L/month)</t>
  </si>
  <si>
    <t>Vehicle_Type</t>
  </si>
  <si>
    <t xml:space="preserve">Sum of Total_monthly_fuel_expense 
</t>
  </si>
  <si>
    <t>Per_Capita_Fuel</t>
  </si>
  <si>
    <t>Summary Table</t>
  </si>
  <si>
    <t>Statistic</t>
  </si>
  <si>
    <t>Result</t>
  </si>
  <si>
    <t>Average Per Capita</t>
  </si>
  <si>
    <t>Median Per Capita</t>
  </si>
  <si>
    <t>Minimum</t>
  </si>
  <si>
    <t>Maximum</t>
  </si>
  <si>
    <t>Std Deviation</t>
  </si>
  <si>
    <t>Cound(Valid rows)</t>
  </si>
  <si>
    <t>Male Average Per Capita</t>
  </si>
  <si>
    <t>Female Average Per Capita</t>
  </si>
  <si>
    <t>Per Capita Fuel by Gender</t>
  </si>
  <si>
    <t>Per Capita Fuel by Income</t>
  </si>
  <si>
    <t>Income Group</t>
  </si>
  <si>
    <t>Overall Average</t>
  </si>
  <si>
    <t>Bin</t>
  </si>
  <si>
    <t>More</t>
  </si>
  <si>
    <t>Frequency</t>
  </si>
  <si>
    <t>Histogram</t>
  </si>
  <si>
    <t>Midpoint to use</t>
  </si>
  <si>
    <t xml:space="preserve">Income_Numeric </t>
  </si>
  <si>
    <t>Correlation(Income vs Total Expense)</t>
  </si>
  <si>
    <t>Count</t>
  </si>
  <si>
    <t>Avg Monthly Fuel</t>
  </si>
  <si>
    <t>Avg Per Capita</t>
  </si>
  <si>
    <t>Correlation</t>
  </si>
  <si>
    <t>Num_Vehicle</t>
  </si>
  <si>
    <t>Avg_Fuel_Monthly</t>
  </si>
  <si>
    <t>1 Vehicle</t>
  </si>
  <si>
    <t>2 Vehicle</t>
  </si>
  <si>
    <t>3 Vehicle</t>
  </si>
  <si>
    <t>4 Vehicle</t>
  </si>
  <si>
    <t>Anova: Single Factor</t>
  </si>
  <si>
    <t>SUMMARY</t>
  </si>
  <si>
    <t>Groups</t>
  </si>
  <si>
    <t>Sum</t>
  </si>
  <si>
    <t>Variance</t>
  </si>
  <si>
    <t>ANOVA</t>
  </si>
  <si>
    <t>Source of Variation</t>
  </si>
  <si>
    <t>SS</t>
  </si>
  <si>
    <t>df</t>
  </si>
  <si>
    <t>MS</t>
  </si>
  <si>
    <t>F</t>
  </si>
  <si>
    <t>P-value</t>
  </si>
  <si>
    <t>F crit</t>
  </si>
  <si>
    <t>Between Groups</t>
  </si>
  <si>
    <t>Within Groups</t>
  </si>
  <si>
    <t>Total</t>
  </si>
  <si>
    <t>Avg_Fuel_Monthly in Rs.</t>
  </si>
  <si>
    <t>Male_Expenses</t>
  </si>
  <si>
    <t>Female_Expenses</t>
  </si>
  <si>
    <t>Male Avg Fuel Expenses</t>
  </si>
  <si>
    <t>Female Avg Fuel Expenses</t>
  </si>
  <si>
    <t>t-test</t>
  </si>
  <si>
    <t>T-test,p-value</t>
  </si>
  <si>
    <t>Decision</t>
  </si>
  <si>
    <t>Total_Vehicle_Fuel</t>
  </si>
  <si>
    <t>Per_Capita_Fuel_Expense</t>
  </si>
  <si>
    <t>Per_Capita_Vehicle_Fuel</t>
  </si>
  <si>
    <t>SUMMARY OUTPUT</t>
  </si>
  <si>
    <t>Regression Statistics</t>
  </si>
  <si>
    <t>Multiple R</t>
  </si>
  <si>
    <t>R Square</t>
  </si>
  <si>
    <t>Adjusted R Square</t>
  </si>
  <si>
    <t>Standard Error</t>
  </si>
  <si>
    <t>Observations</t>
  </si>
  <si>
    <t>Regression</t>
  </si>
  <si>
    <t>Residual</t>
  </si>
  <si>
    <t>Intercept</t>
  </si>
  <si>
    <t>Significance F</t>
  </si>
  <si>
    <t>Coefficients</t>
  </si>
  <si>
    <t>t Stat</t>
  </si>
  <si>
    <t>Lower 95%</t>
  </si>
  <si>
    <t>Upper 95%</t>
  </si>
  <si>
    <t>Lower 95.0%</t>
  </si>
  <si>
    <t>Upper 95.0%</t>
  </si>
  <si>
    <t>RESIDUAL OUTPUT</t>
  </si>
  <si>
    <t>Observation</t>
  </si>
  <si>
    <t xml:space="preserve">Predicted Total_monthly_fuel_expense 
</t>
  </si>
  <si>
    <t>Residuals</t>
  </si>
  <si>
    <t>Has_2-Wheeler</t>
  </si>
  <si>
    <t>Has_4-Wheeler</t>
  </si>
  <si>
    <t>Predicted Per_Capita_Vehicle_Fuel</t>
  </si>
  <si>
    <t>Standard Residuals</t>
  </si>
  <si>
    <t>Below10k</t>
  </si>
  <si>
    <t>10k-30k</t>
  </si>
  <si>
    <t>30k-50k</t>
  </si>
  <si>
    <t>50k-70k</t>
  </si>
  <si>
    <t>above 1L</t>
  </si>
  <si>
    <t>70k-1L</t>
  </si>
  <si>
    <t xml:space="preserve">Summary </t>
  </si>
  <si>
    <t>Income group</t>
  </si>
  <si>
    <t>Avg_monthly_fuel_expense</t>
  </si>
  <si>
    <t xml:space="preserve">Average of Total_monthly_fuel_expense </t>
  </si>
  <si>
    <t xml:space="preserve">Count of Total_monthly_fuel_expense </t>
  </si>
  <si>
    <t>Fuel Consumption Analysis - Phaltan Survey 2025</t>
  </si>
  <si>
    <t>Total Respndents</t>
  </si>
  <si>
    <t>Avg Monthly Fuel Expense</t>
  </si>
  <si>
    <t>Average of Avg Monthly Fuel Expense</t>
  </si>
  <si>
    <t>Avg Monthly Fuel Expense per Household</t>
  </si>
  <si>
    <t>Avg Monthly Fuel Expense (₹) per person</t>
  </si>
  <si>
    <t>Avg Monthly Fuel Expense (₹) per households</t>
  </si>
  <si>
    <t>Income Fuel Correlation (r)                moderate positive</t>
  </si>
  <si>
    <t>Vehicle type</t>
  </si>
  <si>
    <t>counts</t>
  </si>
  <si>
    <t>Car</t>
  </si>
  <si>
    <t>Commercial Vehicle</t>
  </si>
  <si>
    <t>Sum of Has_Bike</t>
  </si>
  <si>
    <t>Sum of Has_Car</t>
  </si>
  <si>
    <t>Sum of Has_Scooty</t>
  </si>
  <si>
    <t>Sum of Has_Commercial</t>
  </si>
  <si>
    <t>(blank)</t>
  </si>
  <si>
    <t xml:space="preserve">Count of Total_monthly_fuel_expense 
</t>
  </si>
  <si>
    <t>Summary for Box Plot</t>
  </si>
  <si>
    <t>Q1</t>
  </si>
  <si>
    <t>Median</t>
  </si>
  <si>
    <t>Q3</t>
  </si>
  <si>
    <t>Max</t>
  </si>
  <si>
    <t>Segment heights for Box Plot</t>
  </si>
  <si>
    <t>Invisible</t>
  </si>
  <si>
    <t>Lower Whisker</t>
  </si>
  <si>
    <t>Upper Whisker</t>
  </si>
  <si>
    <t>IQR Lower</t>
  </si>
  <si>
    <t>IQR Upper</t>
  </si>
  <si>
    <t>IQR</t>
  </si>
  <si>
    <t>Summary sheet for outliers - calculate fences</t>
  </si>
  <si>
    <t>Lower fence</t>
  </si>
  <si>
    <t>Upper fence</t>
  </si>
  <si>
    <t>High outliers</t>
  </si>
  <si>
    <t>Low outliers</t>
  </si>
  <si>
    <t>Is_Outliers</t>
  </si>
  <si>
    <t>Effect Size n^2(Eda-squared)</t>
  </si>
  <si>
    <t>vehicle ownership explains 44.5% of fuel expenditure variance.</t>
  </si>
  <si>
    <t>Discriptive Statistics Table</t>
  </si>
  <si>
    <t>Variable</t>
  </si>
  <si>
    <t>Num_Vehicles</t>
  </si>
  <si>
    <t>Family_Members</t>
  </si>
  <si>
    <t>Home_Work_Distance</t>
  </si>
  <si>
    <t>N</t>
  </si>
  <si>
    <t>Mean</t>
  </si>
  <si>
    <t>SD</t>
  </si>
  <si>
    <t>Total_Fuel_Expense</t>
  </si>
  <si>
    <t>Distance_home_ workplace</t>
  </si>
  <si>
    <t xml:space="preserve">Num_vehicles_in_family </t>
  </si>
  <si>
    <t>Correlation Matrix</t>
  </si>
  <si>
    <t>ᾐ2</t>
  </si>
  <si>
    <t>Income Group Explains 27.12% of fuel expenditure variance</t>
  </si>
  <si>
    <t>T-test p-value(Male vs Female)</t>
  </si>
  <si>
    <t>Total Respondents</t>
  </si>
  <si>
    <r>
      <t>Avg Monthly Fuel(</t>
    </r>
    <r>
      <rPr>
        <sz val="12"/>
        <color theme="0"/>
        <rFont val="Calibri"/>
        <family val="2"/>
      </rPr>
      <t>₹</t>
    </r>
    <r>
      <rPr>
        <sz val="12"/>
        <color theme="0"/>
        <rFont val="Times New Roman"/>
        <family val="1"/>
      </rPr>
      <t>)</t>
    </r>
  </si>
  <si>
    <r>
      <t>Avg Per Capita(</t>
    </r>
    <r>
      <rPr>
        <sz val="12"/>
        <color theme="0"/>
        <rFont val="Calibri"/>
        <family val="2"/>
      </rPr>
      <t>₹</t>
    </r>
    <r>
      <rPr>
        <sz val="12"/>
        <color theme="0"/>
        <rFont val="Times New Roman"/>
        <family val="1"/>
      </rPr>
      <t>)</t>
    </r>
  </si>
  <si>
    <t>Metric</t>
  </si>
  <si>
    <t>Value</t>
  </si>
  <si>
    <t>Interpretation</t>
  </si>
  <si>
    <t>Pearson Correlation (Income vs Fuel)</t>
  </si>
  <si>
    <t>Moderate positive relationship</t>
  </si>
  <si>
    <t>ANOVA F-statistic (Vehicle Owernship)</t>
  </si>
  <si>
    <t>Highly significant</t>
  </si>
  <si>
    <t>ANOVA p-value (Vehicle Ownership)</t>
  </si>
  <si>
    <t>Vehicle ownership drives fuel use</t>
  </si>
  <si>
    <t>ANOVA F-statistic (Income Groups)</t>
  </si>
  <si>
    <t>Significant across income groups</t>
  </si>
  <si>
    <t>ANOVA p-value (Income Groups)</t>
  </si>
  <si>
    <t>Income significantly affects fuel</t>
  </si>
  <si>
    <t>T-test (Gender difference)</t>
  </si>
  <si>
    <t>Males spend 3x more than females</t>
  </si>
  <si>
    <r>
      <t>Multiple Regression Adj.R</t>
    </r>
    <r>
      <rPr>
        <vertAlign val="superscript"/>
        <sz val="10"/>
        <color rgb="FF000000"/>
        <rFont val="Times New Roman"/>
        <family val="1"/>
      </rPr>
      <t>2</t>
    </r>
  </si>
  <si>
    <t>4 variables explain 51.76% variance</t>
  </si>
  <si>
    <r>
      <t xml:space="preserve">Effect Size </t>
    </r>
    <r>
      <rPr>
        <sz val="10"/>
        <color rgb="FF000000"/>
        <rFont val="Calibri"/>
        <family val="2"/>
      </rPr>
      <t>ῃ</t>
    </r>
    <r>
      <rPr>
        <vertAlign val="superscript"/>
        <sz val="10"/>
        <color rgb="FF000000"/>
        <rFont val="Times New Roman"/>
        <family val="1"/>
      </rPr>
      <t xml:space="preserve">2 </t>
    </r>
    <r>
      <rPr>
        <sz val="10"/>
        <color rgb="FF000000"/>
        <rFont val="Times New Roman"/>
        <family val="1"/>
      </rPr>
      <t xml:space="preserve"> (Vehicle Ownership)</t>
    </r>
  </si>
  <si>
    <t>Large effect</t>
  </si>
  <si>
    <r>
      <t xml:space="preserve">Effect Size </t>
    </r>
    <r>
      <rPr>
        <sz val="10"/>
        <color rgb="FF000000"/>
        <rFont val="Calibri"/>
        <family val="2"/>
      </rPr>
      <t>ῃ</t>
    </r>
    <r>
      <rPr>
        <vertAlign val="superscript"/>
        <sz val="10"/>
        <color rgb="FF000000"/>
        <rFont val="Times New Roman"/>
        <family val="1"/>
      </rPr>
      <t xml:space="preserve">2 </t>
    </r>
    <r>
      <rPr>
        <sz val="10"/>
        <color rgb="FF000000"/>
        <rFont val="Times New Roman"/>
        <family val="1"/>
      </rPr>
      <t xml:space="preserve"> (Income Groups)</t>
    </r>
  </si>
  <si>
    <t>Moderate -large effect</t>
  </si>
  <si>
    <t>Male avg fuel expense</t>
  </si>
  <si>
    <t>Female avg Fuel expense</t>
  </si>
  <si>
    <t>Sheet Index</t>
  </si>
  <si>
    <t>Key Results Table</t>
  </si>
  <si>
    <t>Sheet Name</t>
  </si>
  <si>
    <t>Contents</t>
  </si>
  <si>
    <t>Form Responses</t>
  </si>
  <si>
    <t>Raw survey data - 597 original responses</t>
  </si>
  <si>
    <t>clean_data</t>
  </si>
  <si>
    <t>Cleaned dataset - 568 rows, 30 columns</t>
  </si>
  <si>
    <t>Clean_Data_Summary</t>
  </si>
  <si>
    <t xml:space="preserve">IQR method - 35 high outliers identified </t>
  </si>
  <si>
    <t>Descriptive_Statistics</t>
  </si>
  <si>
    <t>Mean, median, SD, min, max, skewness fpr 5 variables</t>
  </si>
  <si>
    <t>Pie_Chart</t>
  </si>
  <si>
    <t>Box_plot</t>
  </si>
  <si>
    <t>Pivot_Charts</t>
  </si>
  <si>
    <t>Fuel_Data_Used_Avg_Fuel(l)</t>
  </si>
  <si>
    <t>Avg_Fuel(LMonth)</t>
  </si>
  <si>
    <t>Avg_Fuel_Expense</t>
  </si>
  <si>
    <t>Per_Capita_Expense</t>
  </si>
  <si>
    <t>Correlation_Matrix</t>
  </si>
  <si>
    <t>ANOVA1</t>
  </si>
  <si>
    <t>T-test</t>
  </si>
  <si>
    <t>per_capita_fuel</t>
  </si>
  <si>
    <t>Regression1</t>
  </si>
  <si>
    <t>Regression2</t>
  </si>
  <si>
    <t>Dashboard</t>
  </si>
  <si>
    <t>Interactive dashboard with KPI cards and slicers</t>
  </si>
  <si>
    <t>Multiple regression - Per Capita Vehicle Fuel (R=0.735)</t>
  </si>
  <si>
    <r>
      <t>Multiple Regression - Per Capita Total Fuel Expense( Adj.R</t>
    </r>
    <r>
      <rPr>
        <vertAlign val="superscript"/>
        <sz val="10"/>
        <color rgb="FF000000"/>
        <rFont val="Times New Roman"/>
        <family val="1"/>
      </rPr>
      <t xml:space="preserve">2 </t>
    </r>
    <r>
      <rPr>
        <sz val="10"/>
        <color rgb="FF000000"/>
        <rFont val="Times New Roman"/>
        <family val="1"/>
      </rPr>
      <t>= 0.52)</t>
    </r>
  </si>
  <si>
    <r>
      <t xml:space="preserve">Gender T-test (Male </t>
    </r>
    <r>
      <rPr>
        <sz val="10"/>
        <color rgb="FF000000"/>
        <rFont val="Calibri"/>
        <family val="2"/>
      </rPr>
      <t>₹4,731 vs Female ₹1,530)</t>
    </r>
  </si>
  <si>
    <t>ANOVA2</t>
  </si>
  <si>
    <t>Income Groups ANOVA (F=41.79, p=1.39E-36)</t>
  </si>
  <si>
    <t>Vehicle ownership ANOVA (F=150.81, p=9.98E-72)</t>
  </si>
  <si>
    <t>5*5 Pearson correlation matrix</t>
  </si>
  <si>
    <t>Income-Fuel correlation analysis (r=0.518)</t>
  </si>
  <si>
    <t>Column-wise summary of cleaned data ( min, max, mean, median, mode, count)</t>
  </si>
  <si>
    <t>Distribution of vehicle types ownership (percentage-wise)</t>
  </si>
  <si>
    <t>Box plot visualization for detecting outliers and data spread</t>
  </si>
  <si>
    <t>Pivot 1</t>
  </si>
  <si>
    <t>Pivot 2</t>
  </si>
  <si>
    <t>Interactive Charts summarizing fuel usage across categories</t>
  </si>
  <si>
    <t>Avg fuel consumption (liters) by vehicle type</t>
  </si>
  <si>
    <t>Pivot table for Avg fuel consumption (liters) by vehicle type</t>
  </si>
  <si>
    <t>Avg fuel expenditure analysis</t>
  </si>
  <si>
    <t>Fuel expense per user</t>
  </si>
  <si>
    <t>Frequency distribution of per capita income</t>
  </si>
  <si>
    <t>Average fuel usage per user</t>
  </si>
  <si>
    <t>Skewness</t>
  </si>
  <si>
    <t>Distribution Type</t>
  </si>
  <si>
    <t>Approximately symmetric</t>
  </si>
  <si>
    <t>CI Summary table</t>
  </si>
  <si>
    <t>p-value</t>
  </si>
  <si>
    <t>Lower 95% CI</t>
  </si>
  <si>
    <t>Upper 95% CI</t>
  </si>
  <si>
    <t>Report as</t>
  </si>
  <si>
    <r>
      <t>Coefficient (</t>
    </r>
    <r>
      <rPr>
        <b/>
        <sz val="10"/>
        <color rgb="FF000000"/>
        <rFont val="Calibri"/>
        <family val="2"/>
      </rPr>
      <t>β</t>
    </r>
    <r>
      <rPr>
        <b/>
        <sz val="10"/>
        <color rgb="FF000000"/>
        <rFont val="Arial"/>
        <family val="2"/>
      </rPr>
      <t>)</t>
    </r>
  </si>
  <si>
    <r>
      <rPr>
        <sz val="10"/>
        <color rgb="FF000000"/>
        <rFont val="Calibri"/>
        <family val="2"/>
      </rPr>
      <t>β</t>
    </r>
    <r>
      <rPr>
        <sz val="10"/>
        <color rgb="FF000000"/>
        <rFont val="Arial"/>
        <family val="2"/>
      </rPr>
      <t>= 2,716 (95%CI: 2,330-3,101)</t>
    </r>
  </si>
  <si>
    <t>Distance_km</t>
  </si>
  <si>
    <r>
      <rPr>
        <sz val="10"/>
        <color rgb="FF000000"/>
        <rFont val="Calibri"/>
        <family val="2"/>
      </rPr>
      <t>β</t>
    </r>
    <r>
      <rPr>
        <sz val="10"/>
        <color rgb="FF000000"/>
        <rFont val="Arial"/>
        <family val="2"/>
      </rPr>
      <t>= 0.034 (95%CI: X-Y)</t>
    </r>
  </si>
  <si>
    <r>
      <rPr>
        <sz val="10"/>
        <color rgb="FF000000"/>
        <rFont val="Calibri"/>
        <family val="2"/>
      </rPr>
      <t>β</t>
    </r>
    <r>
      <rPr>
        <sz val="10"/>
        <color rgb="FF000000"/>
        <rFont val="Arial"/>
        <family val="2"/>
      </rPr>
      <t>= 375 (95%CI: X-Y)</t>
    </r>
  </si>
  <si>
    <r>
      <rPr>
        <sz val="10"/>
        <color rgb="FF000000"/>
        <rFont val="Calibri"/>
        <family val="2"/>
      </rPr>
      <t>β</t>
    </r>
    <r>
      <rPr>
        <sz val="10"/>
        <color rgb="FF000000"/>
        <rFont val="Arial"/>
        <family val="2"/>
      </rPr>
      <t>= 88 (95%CI: X-Y)</t>
    </r>
  </si>
  <si>
    <r>
      <rPr>
        <b/>
        <sz val="10"/>
        <color rgb="FF000000"/>
        <rFont val="Arial"/>
        <family val="2"/>
        <scheme val="minor"/>
      </rPr>
      <t>Note :</t>
    </r>
    <r>
      <rPr>
        <sz val="10"/>
        <color rgb="FF000000"/>
        <rFont val="Arial"/>
        <scheme val="minor"/>
      </rPr>
      <t xml:space="preserve"> 95% CI: if we repeated this survey 100 times, the true coefficient would fall within this range 95 times</t>
    </r>
  </si>
  <si>
    <t>Correlation Legend Table</t>
  </si>
  <si>
    <t>Colour</t>
  </si>
  <si>
    <t>Range</t>
  </si>
  <si>
    <t>Meaning</t>
  </si>
  <si>
    <t>Dark Blue</t>
  </si>
  <si>
    <t>Blue</t>
  </si>
  <si>
    <t>Light Blue</t>
  </si>
  <si>
    <t>White</t>
  </si>
  <si>
    <t>Light Red</t>
  </si>
  <si>
    <t xml:space="preserve">Red </t>
  </si>
  <si>
    <t>Dark Red</t>
  </si>
  <si>
    <t>- 1.00 to - 0.70</t>
  </si>
  <si>
    <t>- 0.69 to - 0.30</t>
  </si>
  <si>
    <t>-0.29 to 0.00</t>
  </si>
  <si>
    <t>0.00 to 0.29</t>
  </si>
  <si>
    <t>0.30 to 0.69</t>
  </si>
  <si>
    <t>0.70 to 0.99</t>
  </si>
  <si>
    <t>Perfect positive correlation</t>
  </si>
  <si>
    <t>Strong positive correlation</t>
  </si>
  <si>
    <t>Moderate positive correlation</t>
  </si>
  <si>
    <t>Weak / no correlation</t>
  </si>
  <si>
    <t>Weak negative correlation</t>
  </si>
  <si>
    <t>Moderate negative correlation</t>
  </si>
  <si>
    <t>Strong negative correlation</t>
  </si>
  <si>
    <t>Key finding:</t>
  </si>
  <si>
    <t>1]  Strongest correlation: Num_Vehicles vs Total_Expense (r=0.67) - vehicle ownership is the strongest predictor</t>
  </si>
  <si>
    <t>2] Income vs Num_Vehicles(r=0.461) - higher income households own more vehicles - indirect income effect</t>
  </si>
  <si>
    <t>3] No multicollinearity concern - no pair of predictors exceeds r=0.80</t>
  </si>
  <si>
    <t>Hypothesis_Summary</t>
  </si>
  <si>
    <t>All tests together</t>
  </si>
  <si>
    <t>Pivot_Data</t>
  </si>
  <si>
    <t>Dashboard data</t>
  </si>
  <si>
    <t>Hypothesis Testing Summary - Fuel Consumption Analysis, Phaltan 2025</t>
  </si>
  <si>
    <t>α = 0.05 | All tests conducted on n = 567 households</t>
  </si>
  <si>
    <t xml:space="preserve">Hypothesis Table: </t>
  </si>
  <si>
    <t>Test</t>
  </si>
  <si>
    <t>Variables</t>
  </si>
  <si>
    <t>H1</t>
  </si>
  <si>
    <t>Test Statistic</t>
  </si>
  <si>
    <t>Effect Size</t>
  </si>
  <si>
    <t>Practical Meaning</t>
  </si>
  <si>
    <t>Independent T-test</t>
  </si>
  <si>
    <t>Gender vs Fuel Expense</t>
  </si>
  <si>
    <t>No difference in fuel spending between males and females</t>
  </si>
  <si>
    <t>Significant gender difference exists</t>
  </si>
  <si>
    <t>Hypothesized Mean Difference</t>
  </si>
  <si>
    <t>P(T&lt;=t) one-tail</t>
  </si>
  <si>
    <t>t Critical one-tail</t>
  </si>
  <si>
    <t>P(T&lt;=t) two-tail</t>
  </si>
  <si>
    <t>t Critical two-tail</t>
  </si>
  <si>
    <t>T-Test: Two-Sample Assuming Unequal Variances</t>
  </si>
  <si>
    <t>t = 12.86</t>
  </si>
  <si>
    <t>variance for Males</t>
  </si>
  <si>
    <t>variance for Females</t>
  </si>
  <si>
    <r>
      <t>Pooled Standard Deviation (S</t>
    </r>
    <r>
      <rPr>
        <b/>
        <vertAlign val="subscript"/>
        <sz val="10"/>
        <color rgb="FF000000"/>
        <rFont val="Arial"/>
        <family val="2"/>
        <scheme val="minor"/>
      </rPr>
      <t>p</t>
    </r>
    <r>
      <rPr>
        <b/>
        <sz val="10"/>
        <color rgb="FF000000"/>
        <rFont val="Arial"/>
        <family val="2"/>
        <scheme val="minor"/>
      </rPr>
      <t>)</t>
    </r>
  </si>
  <si>
    <t>Cohen's d</t>
  </si>
  <si>
    <t xml:space="preserve">d = </t>
  </si>
  <si>
    <t>Sp =</t>
  </si>
  <si>
    <t>t-Statistic</t>
  </si>
  <si>
    <t>t=</t>
  </si>
  <si>
    <t xml:space="preserve">Cohen's d = 1.021 </t>
  </si>
  <si>
    <r>
      <t>Reject H</t>
    </r>
    <r>
      <rPr>
        <vertAlign val="subscript"/>
        <sz val="10"/>
        <color rgb="FF000000"/>
        <rFont val="Times New Roman"/>
        <family val="1"/>
      </rPr>
      <t>0</t>
    </r>
    <r>
      <rPr>
        <sz val="10"/>
        <color rgb="FF000000"/>
        <rFont val="Times New Roman"/>
        <family val="1"/>
      </rPr>
      <t xml:space="preserve"> </t>
    </r>
  </si>
  <si>
    <r>
      <t xml:space="preserve">Males spend </t>
    </r>
    <r>
      <rPr>
        <sz val="10"/>
        <color rgb="FF000000"/>
        <rFont val="Calibri"/>
        <family val="2"/>
      </rPr>
      <t>₹4,731/month vs females ₹1,530 - 3.1x difference</t>
    </r>
  </si>
  <si>
    <t>H2</t>
  </si>
  <si>
    <t>One-way ANOVA</t>
  </si>
  <si>
    <t>Income Groups vs Fuel</t>
  </si>
  <si>
    <t>No difference across 6 income groups</t>
  </si>
  <si>
    <t>At least one group differs</t>
  </si>
  <si>
    <t>F = 41.79</t>
  </si>
  <si>
    <r>
      <t>ᾐ</t>
    </r>
    <r>
      <rPr>
        <vertAlign val="superscript"/>
        <sz val="12"/>
        <color rgb="FF000000"/>
        <rFont val="Calibri"/>
        <family val="2"/>
      </rPr>
      <t>2</t>
    </r>
    <r>
      <rPr>
        <sz val="12"/>
        <color rgb="FF000000"/>
        <rFont val="Calibri"/>
        <family val="2"/>
      </rPr>
      <t xml:space="preserve"> = </t>
    </r>
    <r>
      <rPr>
        <sz val="10"/>
        <color rgb="FF000000"/>
        <rFont val="Times New Roman"/>
        <family val="1"/>
      </rPr>
      <t>0.271 (Medium-Large)</t>
    </r>
  </si>
  <si>
    <r>
      <t xml:space="preserve">Income strongly determines fuel spending - above </t>
    </r>
    <r>
      <rPr>
        <sz val="10"/>
        <color rgb="FF000000"/>
        <rFont val="Calibri"/>
        <family val="2"/>
      </rPr>
      <t>₹1L spends 7.6x more than below ₹10K</t>
    </r>
  </si>
  <si>
    <t>H3</t>
  </si>
  <si>
    <t>Num_Vehicles vs Fuel</t>
  </si>
  <si>
    <t>Vehicle ownership has no effect</t>
  </si>
  <si>
    <t>Vehicle ownership significantly affects fuel</t>
  </si>
  <si>
    <t>F = 150.81</t>
  </si>
  <si>
    <r>
      <t>ᾐ</t>
    </r>
    <r>
      <rPr>
        <vertAlign val="superscript"/>
        <sz val="12"/>
        <color rgb="FF000000"/>
        <rFont val="Calibri"/>
        <family val="2"/>
      </rPr>
      <t>2</t>
    </r>
    <r>
      <rPr>
        <sz val="12"/>
        <color rgb="FF000000"/>
        <rFont val="Calibri"/>
        <family val="2"/>
      </rPr>
      <t xml:space="preserve"> = </t>
    </r>
    <r>
      <rPr>
        <sz val="10"/>
        <color rgb="FF000000"/>
        <rFont val="Times New Roman"/>
        <family val="1"/>
      </rPr>
      <t>0.445 (Large)</t>
    </r>
  </si>
  <si>
    <r>
      <t xml:space="preserve">Strongest finding - each vehicle adds </t>
    </r>
    <r>
      <rPr>
        <sz val="10"/>
        <color rgb="FF000000"/>
        <rFont val="Calibri"/>
        <family val="2"/>
      </rPr>
      <t>₹</t>
    </r>
    <r>
      <rPr>
        <sz val="10"/>
        <color rgb="FF000000"/>
        <rFont val="Times New Roman"/>
        <family val="1"/>
      </rPr>
      <t>2,716/month</t>
    </r>
  </si>
  <si>
    <t>H4</t>
  </si>
  <si>
    <t>Pearson Correlation</t>
  </si>
  <si>
    <t>Income vs Fuel</t>
  </si>
  <si>
    <t>No correlation ( r= 0)</t>
  </si>
  <si>
    <t>Significant Positive correlation</t>
  </si>
  <si>
    <t>r = 0.518</t>
  </si>
  <si>
    <t>p&lt;0.05 (n = 567)</t>
  </si>
  <si>
    <r>
      <t>r</t>
    </r>
    <r>
      <rPr>
        <vertAlign val="superscript"/>
        <sz val="10"/>
        <color rgb="FF000000"/>
        <rFont val="Times New Roman"/>
        <family val="1"/>
      </rPr>
      <t>2</t>
    </r>
    <r>
      <rPr>
        <sz val="10"/>
        <color rgb="FF000000"/>
        <rFont val="Times New Roman"/>
        <family val="1"/>
      </rPr>
      <t xml:space="preserve"> = 0.268</t>
    </r>
  </si>
  <si>
    <t>Moderate positive relationship - income explains 26.8% of fuel variance</t>
  </si>
  <si>
    <r>
      <t>H</t>
    </r>
    <r>
      <rPr>
        <b/>
        <vertAlign val="subscript"/>
        <sz val="11"/>
        <color theme="0"/>
        <rFont val="Times New Roman"/>
        <family val="1"/>
      </rPr>
      <t>0</t>
    </r>
  </si>
  <si>
    <r>
      <t>H</t>
    </r>
    <r>
      <rPr>
        <b/>
        <vertAlign val="subscript"/>
        <sz val="11"/>
        <color theme="0"/>
        <rFont val="Times New Roman"/>
        <family val="1"/>
      </rPr>
      <t>1</t>
    </r>
  </si>
  <si>
    <t>Effect Size Reference table:</t>
  </si>
  <si>
    <t>Effect Size Measure</t>
  </si>
  <si>
    <t>Benchmark</t>
  </si>
  <si>
    <t>Classification</t>
  </si>
  <si>
    <t>ᾐ2 ( Vehicle ANOVA)</t>
  </si>
  <si>
    <t>Cohen:&gt;0.14 = Large</t>
  </si>
  <si>
    <t xml:space="preserve">Large </t>
  </si>
  <si>
    <t>ᾐ2 ( Income ANOVA)</t>
  </si>
  <si>
    <r>
      <t>r</t>
    </r>
    <r>
      <rPr>
        <vertAlign val="superscript"/>
        <sz val="10"/>
        <color rgb="FF000000"/>
        <rFont val="Times New Roman"/>
        <family val="1"/>
      </rPr>
      <t>2</t>
    </r>
    <r>
      <rPr>
        <sz val="10"/>
        <color rgb="FF000000"/>
        <rFont val="Times New Roman"/>
        <family val="1"/>
      </rPr>
      <t xml:space="preserve"> (Correlation)</t>
    </r>
  </si>
  <si>
    <t>0.26 = Moderate</t>
  </si>
  <si>
    <t>Moderate</t>
  </si>
  <si>
    <t>&gt;.50 = Strong</t>
  </si>
  <si>
    <t>Strong</t>
  </si>
  <si>
    <r>
      <t>Adj R</t>
    </r>
    <r>
      <rPr>
        <vertAlign val="superscript"/>
        <sz val="10"/>
        <color rgb="FF000000"/>
        <rFont val="Times New Roman"/>
        <family val="1"/>
      </rPr>
      <t>2</t>
    </r>
    <r>
      <rPr>
        <sz val="10"/>
        <color rgb="FF000000"/>
        <rFont val="Times New Roman"/>
        <family val="1"/>
      </rPr>
      <t xml:space="preserve"> (Regression)</t>
    </r>
  </si>
  <si>
    <t xml:space="preserve">Conclusion  : </t>
  </si>
  <si>
    <r>
      <t xml:space="preserve">All four hypothesis tests yeild statistically significant results at </t>
    </r>
    <r>
      <rPr>
        <sz val="11"/>
        <color rgb="FF000000"/>
        <rFont val="Calibri"/>
        <family val="2"/>
      </rPr>
      <t>α</t>
    </r>
    <r>
      <rPr>
        <sz val="11"/>
        <color rgb="FF000000"/>
        <rFont val="Times New Roman"/>
        <family val="1"/>
      </rPr>
      <t>= 0.05. Vehicle ownership (H3) demonstrates the largest practical effect ( ᾐ2 = 0.521), confirming it as the primary driver of fuel consuption in Phaltan. Income level ( H2, H4) and gender (H1) are also significant determinants. These results collectively validate the regression model findings ( Adj R</t>
    </r>
    <r>
      <rPr>
        <vertAlign val="superscript"/>
        <sz val="11"/>
        <color rgb="FF000000"/>
        <rFont val="Times New Roman"/>
        <family val="1"/>
      </rPr>
      <t>2</t>
    </r>
    <r>
      <rPr>
        <sz val="11"/>
        <color rgb="FF000000"/>
        <rFont val="Times New Roman"/>
        <family val="1"/>
      </rPr>
      <t xml:space="preserve"> = 0.5176) and support the study's recommendations for targeted transport policy interventions.</t>
    </r>
  </si>
  <si>
    <t>Outlier_detection</t>
  </si>
  <si>
    <t>Recomendations</t>
  </si>
  <si>
    <t>#</t>
  </si>
  <si>
    <t>Recommendation</t>
  </si>
  <si>
    <t>Data Evidence</t>
  </si>
  <si>
    <t>Priority</t>
  </si>
  <si>
    <t>Promote vehicle-sharing schemes</t>
  </si>
  <si>
    <t>High</t>
  </si>
  <si>
    <t>Electric 2-wheeler subsidy for students and farmers</t>
  </si>
  <si>
    <t>Bikes= Largest ownership grou, EV interest present</t>
  </si>
  <si>
    <t>Improve public transport on commute corridors</t>
  </si>
  <si>
    <t>Distance adds ₹88/km (β = 88)</t>
  </si>
  <si>
    <t>Medium</t>
  </si>
  <si>
    <t>Tiered fuel policy for low-income households</t>
  </si>
  <si>
    <t>Below ₹10k earners spend 7.6x less than above ₹1L</t>
  </si>
  <si>
    <t>EV charging infrastructure in Phaltan</t>
  </si>
  <si>
    <t>Significant % open to EV adoption in survey</t>
  </si>
  <si>
    <t>Low</t>
  </si>
  <si>
    <t>Each vehicle adds ₹2,716/month (β = 2,716)</t>
  </si>
  <si>
    <t>Recommendations</t>
  </si>
  <si>
    <t>Data-driven recommendations to optimize fuel consumption and reduce cost.</t>
  </si>
  <si>
    <t>Strongly right-skewed</t>
  </si>
  <si>
    <t>Primary Survey | Phaltan, Maharashtra | December 2025</t>
  </si>
  <si>
    <t>Primary Survey | 567 Households | Phaltan, Maharashtra | Dec 2025</t>
  </si>
  <si>
    <t>10,000 - 30,000</t>
  </si>
  <si>
    <t>30,000 - 50,000</t>
  </si>
  <si>
    <t>50,000 - 70,000</t>
  </si>
  <si>
    <t>70,000 - 1,00,000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</si>
</sst>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1" formatCode="_ * #,##0_ ;_ * \-#,##0_ ;_ * &quot;-&quot;_ ;_ @_ "/>
    <numFmt numFmtId="164" formatCode="m/d/yyyy\ h:mm:ss"/>
    <numFmt numFmtId="165" formatCode="_ [$₹-44E]* #,##0.00_ ;_ [$₹-44E]* \-#,##0.00_ ;_ [$₹-44E]* &quot;-&quot;??_ ;_ @_ "/>
    <numFmt numFmtId="166" formatCode="&quot;₹&quot;\ #,##0.00"/>
    <numFmt numFmtId="167" formatCode="0.0000"/>
    <numFmt numFmtId="168" formatCode="0.00000"/>
    <numFmt numFmtId="169" formatCode="0.000E+00"/>
  </numFmts>
  <fonts count="57" x14ac:knownFonts="1">
    <font>
      <sz val="10"/>
      <color rgb="FF000000"/>
      <name val="Arial"/>
      <scheme val="minor"/>
    </font>
    <font>
      <sz val="11"/>
      <color theme="1"/>
      <name val="Arial"/>
      <family val="2"/>
      <scheme val="minor"/>
    </font>
    <font>
      <sz val="10"/>
      <color theme="1"/>
      <name val="Arial"/>
      <scheme val="minor"/>
    </font>
    <font>
      <sz val="10"/>
      <color theme="1"/>
      <name val="Arial"/>
      <family val="2"/>
      <scheme val="minor"/>
    </font>
    <font>
      <b/>
      <sz val="10"/>
      <color theme="1"/>
      <name val="Arial"/>
      <family val="2"/>
      <scheme val="minor"/>
    </font>
    <font>
      <sz val="10"/>
      <color rgb="FF000000"/>
      <name val="Arial"/>
      <family val="2"/>
      <scheme val="minor"/>
    </font>
    <font>
      <b/>
      <sz val="11"/>
      <color theme="0"/>
      <name val="Arial"/>
      <family val="2"/>
      <scheme val="minor"/>
    </font>
    <font>
      <b/>
      <sz val="10"/>
      <color rgb="FFFF0000"/>
      <name val="Arial"/>
      <family val="2"/>
      <scheme val="minor"/>
    </font>
    <font>
      <sz val="10"/>
      <color rgb="FF000000"/>
      <name val="Arial"/>
      <scheme val="minor"/>
    </font>
    <font>
      <i/>
      <sz val="11"/>
      <color rgb="FF7F7F7F"/>
      <name val="Arial"/>
      <family val="2"/>
      <scheme val="minor"/>
    </font>
    <font>
      <sz val="11"/>
      <color theme="0"/>
      <name val="Arial"/>
      <family val="2"/>
      <scheme val="minor"/>
    </font>
    <font>
      <b/>
      <sz val="10"/>
      <color rgb="FF000000"/>
      <name val="Arial"/>
      <family val="2"/>
      <scheme val="minor"/>
    </font>
    <font>
      <b/>
      <sz val="10"/>
      <color theme="0"/>
      <name val="Arial"/>
      <family val="2"/>
      <scheme val="minor"/>
    </font>
    <font>
      <i/>
      <sz val="10"/>
      <color rgb="FF000000"/>
      <name val="Arial"/>
      <family val="2"/>
      <scheme val="minor"/>
    </font>
    <font>
      <b/>
      <i/>
      <sz val="12"/>
      <color theme="1" tint="0.34998626667073579"/>
      <name val="Arial"/>
      <family val="2"/>
      <scheme val="minor"/>
    </font>
    <font>
      <sz val="9"/>
      <color theme="2" tint="-0.499984740745262"/>
      <name val="Times New Roman"/>
      <family val="1"/>
    </font>
    <font>
      <b/>
      <sz val="24"/>
      <color theme="0"/>
      <name val="Times New Roman"/>
      <family val="1"/>
    </font>
    <font>
      <b/>
      <sz val="24"/>
      <color theme="2"/>
      <name val="Times New Roman"/>
      <family val="1"/>
    </font>
    <font>
      <sz val="11"/>
      <color theme="2"/>
      <name val="Times New Roman"/>
      <family val="1"/>
    </font>
    <font>
      <sz val="11"/>
      <color theme="0"/>
      <name val="Times New Roman"/>
      <family val="1"/>
    </font>
    <font>
      <b/>
      <sz val="22"/>
      <color theme="0"/>
      <name val="Times New Roman"/>
      <family val="1"/>
    </font>
    <font>
      <b/>
      <sz val="12"/>
      <color rgb="FF000000"/>
      <name val="Times New Roman"/>
      <family val="1"/>
    </font>
    <font>
      <sz val="10"/>
      <color rgb="FF000000"/>
      <name val="Times New Roman"/>
      <family val="1"/>
    </font>
    <font>
      <b/>
      <sz val="10"/>
      <name val="Times New Roman"/>
      <family val="1"/>
    </font>
    <font>
      <b/>
      <sz val="10"/>
      <color rgb="FF000000"/>
      <name val="Times New Roman"/>
      <family val="1"/>
    </font>
    <font>
      <b/>
      <sz val="10"/>
      <color theme="1"/>
      <name val="Arial"/>
      <scheme val="minor"/>
    </font>
    <font>
      <b/>
      <sz val="18"/>
      <color rgb="FF000000"/>
      <name val="Times New Roman"/>
      <family val="1"/>
    </font>
    <font>
      <b/>
      <sz val="13"/>
      <color theme="3"/>
      <name val="Arial"/>
      <family val="2"/>
      <scheme val="minor"/>
    </font>
    <font>
      <sz val="11"/>
      <color rgb="FF000000"/>
      <name val="Times New Roman"/>
      <family val="1"/>
    </font>
    <font>
      <sz val="12"/>
      <color rgb="FF000000"/>
      <name val="Times New Roman"/>
      <family val="1"/>
    </font>
    <font>
      <b/>
      <sz val="14"/>
      <color rgb="FF000000"/>
      <name val="Times New Roman"/>
      <family val="1"/>
    </font>
    <font>
      <b/>
      <sz val="10"/>
      <color rgb="FF000000"/>
      <name val="Calibri"/>
      <family val="2"/>
    </font>
    <font>
      <b/>
      <sz val="10"/>
      <color rgb="FF000000"/>
      <name val="Arial"/>
      <family val="2"/>
    </font>
    <font>
      <b/>
      <sz val="12"/>
      <color rgb="FF000000"/>
      <name val="Calibri"/>
      <family val="2"/>
    </font>
    <font>
      <b/>
      <sz val="11"/>
      <color rgb="FF000000"/>
      <name val="Arial"/>
      <family val="2"/>
      <scheme val="minor"/>
    </font>
    <font>
      <b/>
      <sz val="12"/>
      <color rgb="FF000000"/>
      <name val="Arial"/>
      <family val="2"/>
      <scheme val="minor"/>
    </font>
    <font>
      <b/>
      <sz val="18"/>
      <color theme="0"/>
      <name val="Times New Roman"/>
      <family val="1"/>
    </font>
    <font>
      <sz val="12"/>
      <color theme="0"/>
      <name val="Times New Roman"/>
      <family val="1"/>
    </font>
    <font>
      <b/>
      <sz val="20"/>
      <color theme="0"/>
      <name val="Times New Roman"/>
      <family val="1"/>
    </font>
    <font>
      <sz val="10"/>
      <color rgb="FF000000"/>
      <name val="Calibri"/>
      <family val="2"/>
    </font>
    <font>
      <sz val="12"/>
      <color theme="0"/>
      <name val="Calibri"/>
      <family val="2"/>
    </font>
    <font>
      <vertAlign val="superscript"/>
      <sz val="10"/>
      <color rgb="FF000000"/>
      <name val="Times New Roman"/>
      <family val="1"/>
    </font>
    <font>
      <b/>
      <sz val="11"/>
      <color rgb="FF000000"/>
      <name val="Times New Roman"/>
      <family val="1"/>
    </font>
    <font>
      <b/>
      <sz val="12"/>
      <color theme="3"/>
      <name val="Arial"/>
      <family val="2"/>
      <scheme val="minor"/>
    </font>
    <font>
      <sz val="10"/>
      <color rgb="FF000000"/>
      <name val="Arial"/>
      <family val="2"/>
    </font>
    <font>
      <b/>
      <i/>
      <sz val="10"/>
      <color rgb="FF000000"/>
      <name val="Times New Roman"/>
      <family val="1"/>
    </font>
    <font>
      <sz val="12"/>
      <color rgb="FF000000"/>
      <name val="Arial"/>
      <family val="2"/>
      <scheme val="minor"/>
    </font>
    <font>
      <b/>
      <vertAlign val="subscript"/>
      <sz val="10"/>
      <color rgb="FF000000"/>
      <name val="Arial"/>
      <family val="2"/>
      <scheme val="minor"/>
    </font>
    <font>
      <vertAlign val="subscript"/>
      <sz val="10"/>
      <color rgb="FF000000"/>
      <name val="Times New Roman"/>
      <family val="1"/>
    </font>
    <font>
      <sz val="12"/>
      <color rgb="FF000000"/>
      <name val="Calibri"/>
      <family val="2"/>
    </font>
    <font>
      <vertAlign val="superscript"/>
      <sz val="12"/>
      <color rgb="FF000000"/>
      <name val="Calibri"/>
      <family val="2"/>
    </font>
    <font>
      <b/>
      <sz val="11"/>
      <color theme="0"/>
      <name val="Times New Roman"/>
      <family val="1"/>
    </font>
    <font>
      <b/>
      <vertAlign val="subscript"/>
      <sz val="11"/>
      <color theme="0"/>
      <name val="Times New Roman"/>
      <family val="1"/>
    </font>
    <font>
      <sz val="11"/>
      <color rgb="FF000000"/>
      <name val="Calibri"/>
      <family val="2"/>
    </font>
    <font>
      <vertAlign val="superscript"/>
      <sz val="11"/>
      <color rgb="FF000000"/>
      <name val="Times New Roman"/>
      <family val="1"/>
    </font>
    <font>
      <b/>
      <sz val="28"/>
      <color theme="0"/>
      <name val="Times New Roman"/>
      <family val="1"/>
    </font>
    <font>
      <b/>
      <sz val="14"/>
      <color theme="0"/>
      <name val="Times New Roman"/>
      <family val="1"/>
    </font>
  </fonts>
  <fills count="26">
    <fill>
      <patternFill patternType="none"/>
    </fill>
    <fill>
      <patternFill patternType="gray125"/>
    </fill>
    <fill>
      <patternFill patternType="solid">
        <fgColor theme="0"/>
        <bgColor indexed="64"/>
      </patternFill>
    </fill>
    <fill>
      <patternFill patternType="solid">
        <fgColor rgb="FFA5A5A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rgb="FFFFFFFF"/>
        <bgColor rgb="FFFFFFFF"/>
      </patternFill>
    </fill>
    <fill>
      <patternFill patternType="solid">
        <fgColor rgb="FFF8F9FA"/>
        <bgColor rgb="FFF8F9FA"/>
      </patternFill>
    </fill>
    <fill>
      <patternFill patternType="solid">
        <fgColor theme="4" tint="0.39997558519241921"/>
        <bgColor indexed="65"/>
      </patternFill>
    </fill>
    <fill>
      <patternFill patternType="solid">
        <fgColor theme="4"/>
        <bgColor theme="4"/>
      </patternFill>
    </fill>
    <fill>
      <patternFill patternType="solid">
        <fgColor theme="7"/>
      </patternFill>
    </fill>
    <fill>
      <patternFill patternType="solid">
        <fgColor theme="9"/>
      </patternFill>
    </fill>
    <fill>
      <patternFill patternType="solid">
        <fgColor theme="9" tint="0.39997558519241921"/>
        <bgColor indexed="65"/>
      </patternFill>
    </fill>
    <fill>
      <patternFill patternType="solid">
        <fgColor rgb="FF002060"/>
        <bgColor indexed="64"/>
      </patternFill>
    </fill>
    <fill>
      <patternFill patternType="solid">
        <fgColor theme="8" tint="-0.249977111117893"/>
        <bgColor indexed="64"/>
      </patternFill>
    </fill>
    <fill>
      <patternFill patternType="solid">
        <fgColor theme="2" tint="-4.9989318521683403E-2"/>
        <bgColor indexed="64"/>
      </patternFill>
    </fill>
    <fill>
      <patternFill patternType="solid">
        <fgColor theme="7" tint="-0.249977111117893"/>
        <bgColor indexed="64"/>
      </patternFill>
    </fill>
    <fill>
      <patternFill patternType="solid">
        <fgColor rgb="FF7030A0"/>
        <bgColor indexed="64"/>
      </patternFill>
    </fill>
    <fill>
      <patternFill patternType="solid">
        <fgColor theme="4" tint="-0.499984740745262"/>
        <bgColor indexed="64"/>
      </patternFill>
    </fill>
    <fill>
      <patternFill patternType="solid">
        <fgColor theme="2"/>
        <bgColor indexed="64"/>
      </patternFill>
    </fill>
    <fill>
      <patternFill patternType="solid">
        <fgColor theme="2"/>
        <bgColor theme="1"/>
      </patternFill>
    </fill>
    <fill>
      <patternFill patternType="solid">
        <fgColor rgb="FF0070C0"/>
        <bgColor indexed="64"/>
      </patternFill>
    </fill>
    <fill>
      <patternFill patternType="solid">
        <fgColor theme="2"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theme="4"/>
      </top>
      <bottom/>
      <diagonal/>
    </border>
    <border>
      <left/>
      <right/>
      <top/>
      <bottom style="medium">
        <color indexed="64"/>
      </bottom>
      <diagonal/>
    </border>
    <border>
      <left/>
      <right/>
      <top style="medium">
        <color indexed="64"/>
      </top>
      <bottom style="thin">
        <color indexed="64"/>
      </bottom>
      <diagonal/>
    </border>
    <border>
      <left style="thin">
        <color indexed="8"/>
      </left>
      <right/>
      <top style="thin">
        <color indexed="8"/>
      </top>
      <bottom/>
      <diagonal/>
    </border>
    <border>
      <left style="thin">
        <color indexed="8"/>
      </left>
      <right/>
      <top style="thin">
        <color indexed="65"/>
      </top>
      <bottom/>
      <diagonal/>
    </border>
    <border>
      <left style="thin">
        <color indexed="8"/>
      </left>
      <right style="thin">
        <color indexed="8"/>
      </right>
      <top style="thin">
        <color indexed="8"/>
      </top>
      <bottom/>
      <diagonal/>
    </border>
    <border>
      <left style="thin">
        <color indexed="8"/>
      </left>
      <right style="thin">
        <color indexed="8"/>
      </right>
      <top style="thin">
        <color indexed="65"/>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style="thin">
        <color indexed="65"/>
      </top>
      <bottom style="thin">
        <color indexed="8"/>
      </bottom>
      <diagonal/>
    </border>
    <border>
      <left style="thin">
        <color indexed="8"/>
      </left>
      <right style="thin">
        <color indexed="8"/>
      </right>
      <top style="thin">
        <color indexed="65"/>
      </top>
      <bottom style="thin">
        <color indexed="8"/>
      </bottom>
      <diagonal/>
    </border>
    <border>
      <left/>
      <right/>
      <top style="thin">
        <color indexed="8"/>
      </top>
      <bottom/>
      <diagonal/>
    </border>
    <border>
      <left/>
      <right/>
      <top style="thin">
        <color indexed="65"/>
      </top>
      <bottom/>
      <diagonal/>
    </border>
    <border>
      <left/>
      <right style="thin">
        <color indexed="64"/>
      </right>
      <top style="thin">
        <color indexed="64"/>
      </top>
      <bottom style="double">
        <color indexed="64"/>
      </bottom>
      <diagonal/>
    </border>
    <border>
      <left/>
      <right/>
      <top/>
      <bottom style="thick">
        <color theme="4" tint="0.499984740745262"/>
      </bottom>
      <diagonal/>
    </border>
  </borders>
  <cellStyleXfs count="15">
    <xf numFmtId="0" fontId="0" fillId="0" borderId="0"/>
    <xf numFmtId="0" fontId="6" fillId="3" borderId="7" applyNumberForma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41" fontId="8" fillId="0" borderId="0" applyFont="0" applyFill="0" applyBorder="0" applyAlignment="0" applyProtection="0"/>
    <xf numFmtId="0" fontId="9" fillId="0" borderId="0" applyNumberFormat="0" applyFill="0" applyBorder="0" applyAlignment="0" applyProtection="0"/>
    <xf numFmtId="0" fontId="10" fillId="11" borderId="0" applyNumberFormat="0" applyBorder="0" applyAlignment="0" applyProtection="0"/>
    <xf numFmtId="0" fontId="11" fillId="0" borderId="8" applyFont="0" applyBorder="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27" fillId="0" borderId="26" applyNumberFormat="0" applyFill="0" applyAlignment="0" applyProtection="0"/>
  </cellStyleXfs>
  <cellXfs count="237">
    <xf numFmtId="0" fontId="0" fillId="0" borderId="0" xfId="0" applyFont="1" applyAlignment="1"/>
    <xf numFmtId="164" fontId="2" fillId="0" borderId="0" xfId="0" applyNumberFormat="1" applyFont="1" applyAlignment="1">
      <alignment vertical="center"/>
    </xf>
    <xf numFmtId="0" fontId="2" fillId="0" borderId="0" xfId="0" applyFont="1" applyAlignment="1">
      <alignment vertical="center"/>
    </xf>
    <xf numFmtId="0" fontId="2" fillId="0" borderId="0" xfId="0" applyFont="1" applyAlignment="1">
      <alignment vertical="center"/>
    </xf>
    <xf numFmtId="3" fontId="2" fillId="0" borderId="0" xfId="0" applyNumberFormat="1" applyFont="1" applyAlignment="1">
      <alignment vertical="center"/>
    </xf>
    <xf numFmtId="0" fontId="2" fillId="0" borderId="0" xfId="0" quotePrefix="1" applyFont="1" applyAlignment="1">
      <alignment vertical="center"/>
    </xf>
    <xf numFmtId="164" fontId="2" fillId="0" borderId="0" xfId="0" applyNumberFormat="1" applyFont="1" applyAlignment="1">
      <alignment vertical="center"/>
    </xf>
    <xf numFmtId="0" fontId="2" fillId="0" borderId="0" xfId="0" applyFont="1" applyAlignment="1">
      <alignment vertical="center"/>
    </xf>
    <xf numFmtId="0" fontId="2" fillId="0" borderId="0" xfId="0" quotePrefix="1" applyFont="1" applyAlignment="1">
      <alignment vertical="center"/>
    </xf>
    <xf numFmtId="0" fontId="0" fillId="0" borderId="1" xfId="0" applyFont="1" applyBorder="1" applyAlignment="1">
      <alignment horizontal="center"/>
    </xf>
    <xf numFmtId="0" fontId="4" fillId="2" borderId="2" xfId="0" applyFont="1" applyFill="1" applyBorder="1" applyAlignment="1">
      <alignment horizontal="center"/>
    </xf>
    <xf numFmtId="1" fontId="4" fillId="2" borderId="2"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1" fontId="0" fillId="0" borderId="1" xfId="0" applyNumberFormat="1" applyFont="1" applyBorder="1" applyAlignment="1">
      <alignment horizontal="center"/>
    </xf>
    <xf numFmtId="49" fontId="4" fillId="2" borderId="2"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49" fontId="0" fillId="0" borderId="1" xfId="0" applyNumberFormat="1" applyFont="1" applyBorder="1" applyAlignment="1">
      <alignment horizontal="center"/>
    </xf>
    <xf numFmtId="1" fontId="4" fillId="2" borderId="2"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0" fontId="5" fillId="0" borderId="0" xfId="0" applyFont="1" applyAlignment="1"/>
    <xf numFmtId="1" fontId="2" fillId="0" borderId="1" xfId="0" applyNumberFormat="1" applyFont="1" applyBorder="1" applyAlignment="1">
      <alignment horizontal="right" vertical="center"/>
    </xf>
    <xf numFmtId="1" fontId="0" fillId="0" borderId="1" xfId="0" applyNumberFormat="1" applyFont="1" applyBorder="1" applyAlignment="1">
      <alignment horizontal="right"/>
    </xf>
    <xf numFmtId="1" fontId="2" fillId="0" borderId="1" xfId="0" quotePrefix="1" applyNumberFormat="1" applyFont="1" applyBorder="1" applyAlignment="1">
      <alignment horizontal="right" vertical="center"/>
    </xf>
    <xf numFmtId="1" fontId="3" fillId="0" borderId="1" xfId="0" applyNumberFormat="1" applyFont="1" applyBorder="1" applyAlignment="1">
      <alignment horizontal="right" vertical="center"/>
    </xf>
    <xf numFmtId="49" fontId="2" fillId="9" borderId="1" xfId="0" applyNumberFormat="1" applyFont="1" applyFill="1" applyBorder="1" applyAlignment="1">
      <alignment horizontal="center" vertical="center"/>
    </xf>
    <xf numFmtId="1" fontId="2" fillId="9" borderId="1" xfId="0" applyNumberFormat="1" applyFont="1" applyFill="1" applyBorder="1" applyAlignment="1">
      <alignment horizontal="right" vertical="center"/>
    </xf>
    <xf numFmtId="49" fontId="2" fillId="10" borderId="1" xfId="0" applyNumberFormat="1" applyFont="1" applyFill="1" applyBorder="1" applyAlignment="1">
      <alignment horizontal="center" vertical="center"/>
    </xf>
    <xf numFmtId="1" fontId="2" fillId="10" borderId="1" xfId="0" applyNumberFormat="1" applyFont="1" applyFill="1" applyBorder="1" applyAlignment="1">
      <alignment horizontal="right" vertical="center"/>
    </xf>
    <xf numFmtId="1" fontId="0" fillId="9" borderId="1" xfId="0" applyNumberFormat="1" applyFont="1" applyFill="1" applyBorder="1" applyAlignment="1">
      <alignment horizontal="right"/>
    </xf>
    <xf numFmtId="1" fontId="0" fillId="10" borderId="1" xfId="0" applyNumberFormat="1" applyFont="1" applyFill="1" applyBorder="1" applyAlignment="1">
      <alignment horizontal="right"/>
    </xf>
    <xf numFmtId="49" fontId="7" fillId="2" borderId="2" xfId="0" applyNumberFormat="1" applyFont="1" applyFill="1" applyBorder="1" applyAlignment="1">
      <alignment horizontal="center" vertical="center" wrapText="1"/>
    </xf>
    <xf numFmtId="0" fontId="1" fillId="4" borderId="0" xfId="2" applyAlignment="1"/>
    <xf numFmtId="1" fontId="1" fillId="4" borderId="0" xfId="2" applyNumberFormat="1" applyAlignment="1"/>
    <xf numFmtId="0" fontId="6" fillId="3" borderId="7" xfId="1" applyAlignment="1"/>
    <xf numFmtId="0" fontId="1" fillId="5" borderId="0" xfId="3" applyAlignment="1"/>
    <xf numFmtId="1" fontId="1" fillId="5" borderId="0" xfId="3" applyNumberFormat="1" applyAlignment="1"/>
    <xf numFmtId="0" fontId="1" fillId="6" borderId="0" xfId="4" applyAlignment="1"/>
    <xf numFmtId="1" fontId="1" fillId="6" borderId="0" xfId="4" applyNumberFormat="1" applyAlignment="1"/>
    <xf numFmtId="0" fontId="1" fillId="7" borderId="0" xfId="5" applyAlignment="1"/>
    <xf numFmtId="1" fontId="1" fillId="7" borderId="0" xfId="5" applyNumberFormat="1" applyAlignment="1"/>
    <xf numFmtId="1" fontId="1" fillId="8" borderId="2" xfId="6" applyNumberFormat="1" applyBorder="1" applyAlignment="1">
      <alignment horizontal="center" vertical="center" wrapText="1"/>
    </xf>
    <xf numFmtId="0" fontId="1" fillId="8" borderId="0" xfId="6" applyAlignment="1"/>
    <xf numFmtId="1" fontId="1" fillId="8" borderId="0" xfId="6" applyNumberFormat="1" applyAlignment="1"/>
    <xf numFmtId="0" fontId="0" fillId="0" borderId="0" xfId="0"/>
    <xf numFmtId="49" fontId="3" fillId="0" borderId="1" xfId="0" applyNumberFormat="1" applyFont="1" applyBorder="1" applyAlignment="1">
      <alignment horizontal="center" vertical="center"/>
    </xf>
    <xf numFmtId="49" fontId="5" fillId="0" borderId="1" xfId="0" applyNumberFormat="1" applyFont="1" applyBorder="1" applyAlignment="1">
      <alignment horizontal="center"/>
    </xf>
    <xf numFmtId="0" fontId="6" fillId="3" borderId="7" xfId="1" applyAlignment="1">
      <alignment wrapText="1"/>
    </xf>
    <xf numFmtId="49" fontId="3" fillId="9" borderId="1" xfId="0" applyNumberFormat="1" applyFont="1" applyFill="1" applyBorder="1" applyAlignment="1">
      <alignment horizontal="center" vertical="center"/>
    </xf>
    <xf numFmtId="1" fontId="2" fillId="9" borderId="1" xfId="0" applyNumberFormat="1" applyFont="1" applyFill="1" applyBorder="1" applyAlignment="1">
      <alignment horizontal="center" vertical="center"/>
    </xf>
    <xf numFmtId="1" fontId="2" fillId="10" borderId="1" xfId="0" applyNumberFormat="1" applyFont="1" applyFill="1" applyBorder="1" applyAlignment="1">
      <alignment horizontal="center" vertical="center"/>
    </xf>
    <xf numFmtId="49" fontId="3" fillId="10" borderId="1" xfId="0" applyNumberFormat="1" applyFont="1" applyFill="1" applyBorder="1" applyAlignment="1">
      <alignment horizontal="center" vertical="center"/>
    </xf>
    <xf numFmtId="1" fontId="3" fillId="9" borderId="1" xfId="0" applyNumberFormat="1" applyFont="1" applyFill="1" applyBorder="1" applyAlignment="1">
      <alignment horizontal="right" vertical="center"/>
    </xf>
    <xf numFmtId="0" fontId="0" fillId="0" borderId="0" xfId="0" applyFont="1" applyAlignment="1">
      <alignment wrapText="1"/>
    </xf>
    <xf numFmtId="0" fontId="11" fillId="0" borderId="0" xfId="0" applyFont="1" applyAlignment="1"/>
    <xf numFmtId="0" fontId="11" fillId="0" borderId="0" xfId="0" applyFont="1" applyAlignment="1">
      <alignment horizontal="left" vertical="center"/>
    </xf>
    <xf numFmtId="0" fontId="0" fillId="0" borderId="1" xfId="0" applyFont="1" applyBorder="1" applyAlignment="1"/>
    <xf numFmtId="0" fontId="11" fillId="0" borderId="8" xfId="0" applyFont="1" applyBorder="1" applyAlignment="1">
      <alignment horizontal="left" vertical="center"/>
    </xf>
    <xf numFmtId="0" fontId="11" fillId="0" borderId="9" xfId="0" applyFont="1" applyBorder="1" applyAlignment="1">
      <alignment horizontal="left" vertical="center"/>
    </xf>
    <xf numFmtId="0" fontId="9" fillId="0" borderId="6" xfId="8" applyBorder="1" applyAlignment="1"/>
    <xf numFmtId="0" fontId="9" fillId="0" borderId="5" xfId="8" applyBorder="1" applyAlignment="1"/>
    <xf numFmtId="0" fontId="9" fillId="0" borderId="10" xfId="8" applyBorder="1" applyAlignment="1"/>
    <xf numFmtId="0" fontId="9" fillId="0" borderId="11" xfId="8" applyBorder="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 fontId="3" fillId="10" borderId="1" xfId="0" applyNumberFormat="1" applyFont="1" applyFill="1" applyBorder="1" applyAlignment="1">
      <alignment horizontal="right" vertical="center"/>
    </xf>
    <xf numFmtId="1" fontId="4" fillId="2" borderId="1" xfId="0" applyNumberFormat="1" applyFont="1" applyFill="1" applyBorder="1" applyAlignment="1">
      <alignment horizontal="center" vertical="center" wrapText="1"/>
    </xf>
    <xf numFmtId="0" fontId="0" fillId="0" borderId="0" xfId="0" applyFont="1" applyAlignment="1">
      <alignment horizontal="left" vertical="center"/>
    </xf>
    <xf numFmtId="0" fontId="11" fillId="0" borderId="0" xfId="0" applyFont="1" applyAlignment="1">
      <alignment horizontal="left"/>
    </xf>
    <xf numFmtId="1" fontId="3" fillId="9" borderId="1" xfId="0" applyNumberFormat="1" applyFont="1" applyFill="1" applyBorder="1" applyAlignment="1">
      <alignment horizontal="center" vertical="center"/>
    </xf>
    <xf numFmtId="1" fontId="3" fillId="10" borderId="1" xfId="0" applyNumberFormat="1" applyFont="1" applyFill="1" applyBorder="1" applyAlignment="1">
      <alignment horizontal="center" vertical="center"/>
    </xf>
    <xf numFmtId="0" fontId="11" fillId="0" borderId="8" xfId="0" applyFont="1" applyBorder="1" applyAlignment="1"/>
    <xf numFmtId="0" fontId="11" fillId="0" borderId="9" xfId="0" applyFont="1" applyBorder="1" applyAlignment="1"/>
    <xf numFmtId="0" fontId="1" fillId="4" borderId="10" xfId="2" applyBorder="1" applyAlignment="1">
      <alignment horizontal="left"/>
    </xf>
    <xf numFmtId="0" fontId="1" fillId="4" borderId="11" xfId="2" applyBorder="1" applyAlignment="1"/>
    <xf numFmtId="41" fontId="0" fillId="0" borderId="0" xfId="7" applyFont="1" applyAlignment="1"/>
    <xf numFmtId="41" fontId="5" fillId="0" borderId="3" xfId="7" applyFont="1" applyBorder="1" applyAlignment="1"/>
    <xf numFmtId="41" fontId="10" fillId="11" borderId="0" xfId="9" applyNumberFormat="1" applyAlignment="1"/>
    <xf numFmtId="0" fontId="0" fillId="0" borderId="0" xfId="0" applyNumberFormat="1" applyFill="1" applyBorder="1" applyAlignment="1"/>
    <xf numFmtId="0" fontId="0" fillId="0" borderId="0" xfId="0" applyFill="1" applyBorder="1" applyAlignment="1"/>
    <xf numFmtId="0" fontId="0" fillId="0" borderId="13" xfId="0" applyFill="1" applyBorder="1" applyAlignment="1"/>
    <xf numFmtId="0" fontId="13" fillId="0" borderId="14" xfId="0" applyFont="1" applyFill="1" applyBorder="1" applyAlignment="1">
      <alignment horizontal="center"/>
    </xf>
    <xf numFmtId="0" fontId="12" fillId="12" borderId="1" xfId="0" applyFont="1" applyFill="1" applyBorder="1" applyAlignment="1"/>
    <xf numFmtId="41" fontId="3" fillId="0" borderId="12" xfId="7" applyNumberFormat="1" applyFont="1" applyBorder="1" applyAlignment="1"/>
    <xf numFmtId="0" fontId="11" fillId="0" borderId="0" xfId="0" applyFont="1" applyAlignment="1">
      <alignment vertical="center"/>
    </xf>
    <xf numFmtId="0" fontId="10" fillId="13" borderId="1" xfId="11" applyBorder="1" applyAlignment="1"/>
    <xf numFmtId="41" fontId="9" fillId="0" borderId="1" xfId="8" applyNumberFormat="1" applyBorder="1" applyAlignment="1"/>
    <xf numFmtId="0" fontId="9" fillId="0" borderId="1" xfId="8" applyBorder="1" applyAlignment="1"/>
    <xf numFmtId="41" fontId="10" fillId="13" borderId="1" xfId="11" applyNumberFormat="1" applyBorder="1" applyAlignment="1"/>
    <xf numFmtId="1" fontId="5" fillId="9" borderId="1" xfId="0" applyNumberFormat="1" applyFont="1" applyFill="1" applyBorder="1" applyAlignment="1">
      <alignment horizontal="right"/>
    </xf>
    <xf numFmtId="1" fontId="5" fillId="10" borderId="1" xfId="0" applyNumberFormat="1" applyFont="1" applyFill="1" applyBorder="1" applyAlignment="1">
      <alignment horizontal="right"/>
    </xf>
    <xf numFmtId="0" fontId="10" fillId="14" borderId="1" xfId="12" applyBorder="1" applyAlignment="1"/>
    <xf numFmtId="0" fontId="5" fillId="0" borderId="1" xfId="0" applyFont="1" applyBorder="1" applyAlignment="1"/>
    <xf numFmtId="0" fontId="10" fillId="15" borderId="1" xfId="13" applyBorder="1" applyAlignment="1"/>
    <xf numFmtId="0" fontId="11" fillId="0" borderId="1" xfId="0" applyFont="1" applyBorder="1" applyAlignment="1">
      <alignment vertical="center"/>
    </xf>
    <xf numFmtId="0" fontId="11" fillId="0" borderId="1" xfId="0" applyFont="1" applyFill="1" applyBorder="1" applyAlignment="1">
      <alignment vertical="center"/>
    </xf>
    <xf numFmtId="0" fontId="10" fillId="11" borderId="14" xfId="9" applyBorder="1" applyAlignment="1">
      <alignment horizontal="center"/>
    </xf>
    <xf numFmtId="0" fontId="10" fillId="11" borderId="13" xfId="9" applyBorder="1" applyAlignment="1"/>
    <xf numFmtId="0" fontId="10" fillId="14" borderId="1" xfId="12" applyBorder="1" applyAlignment="1">
      <alignment wrapText="1"/>
    </xf>
    <xf numFmtId="165" fontId="9" fillId="0" borderId="0" xfId="8" applyNumberFormat="1" applyAlignment="1"/>
    <xf numFmtId="1" fontId="0" fillId="0" borderId="0" xfId="0" applyNumberFormat="1" applyFont="1" applyAlignment="1"/>
    <xf numFmtId="0" fontId="13" fillId="0" borderId="14" xfId="0" applyFont="1" applyFill="1" applyBorder="1" applyAlignment="1">
      <alignment horizontal="centerContinuous"/>
    </xf>
    <xf numFmtId="0" fontId="13" fillId="0" borderId="14" xfId="0" applyFont="1" applyFill="1" applyBorder="1" applyAlignment="1">
      <alignment horizontal="center" wrapText="1"/>
    </xf>
    <xf numFmtId="0" fontId="14" fillId="0" borderId="1" xfId="0" applyFont="1" applyBorder="1" applyAlignment="1">
      <alignment wrapText="1"/>
    </xf>
    <xf numFmtId="0" fontId="0" fillId="0" borderId="15" xfId="0" pivotButton="1" applyFont="1" applyBorder="1" applyAlignment="1"/>
    <xf numFmtId="0" fontId="0" fillId="0" borderId="17" xfId="0" applyFont="1" applyBorder="1" applyAlignment="1"/>
    <xf numFmtId="0" fontId="0" fillId="0" borderId="15" xfId="0" applyFont="1" applyBorder="1" applyAlignment="1">
      <alignment horizontal="left"/>
    </xf>
    <xf numFmtId="0" fontId="0" fillId="0" borderId="17" xfId="0" applyNumberFormat="1" applyFont="1" applyBorder="1" applyAlignment="1"/>
    <xf numFmtId="0" fontId="0" fillId="0" borderId="16" xfId="0" applyFont="1" applyBorder="1" applyAlignment="1">
      <alignment horizontal="left"/>
    </xf>
    <xf numFmtId="0" fontId="0" fillId="0" borderId="18" xfId="0" applyNumberFormat="1" applyFont="1" applyBorder="1" applyAlignment="1"/>
    <xf numFmtId="0" fontId="0" fillId="0" borderId="20" xfId="0" applyFont="1" applyBorder="1" applyAlignment="1">
      <alignment horizontal="left"/>
    </xf>
    <xf numFmtId="0" fontId="0" fillId="0" borderId="19" xfId="0" applyNumberFormat="1" applyFont="1" applyBorder="1" applyAlignment="1"/>
    <xf numFmtId="1" fontId="0" fillId="0" borderId="15" xfId="0" applyNumberFormat="1" applyFont="1" applyBorder="1" applyAlignment="1">
      <alignment horizontal="left"/>
    </xf>
    <xf numFmtId="1" fontId="0" fillId="0" borderId="16" xfId="0" applyNumberFormat="1" applyFont="1" applyBorder="1" applyAlignment="1">
      <alignment horizontal="left"/>
    </xf>
    <xf numFmtId="1" fontId="0" fillId="0" borderId="20" xfId="0" applyNumberFormat="1" applyFont="1" applyBorder="1" applyAlignment="1">
      <alignment horizontal="left"/>
    </xf>
    <xf numFmtId="0" fontId="0" fillId="0" borderId="21" xfId="0" applyFont="1" applyBorder="1" applyAlignment="1">
      <alignment horizontal="left"/>
    </xf>
    <xf numFmtId="0" fontId="0" fillId="0" borderId="22" xfId="0" applyNumberFormat="1" applyFont="1" applyBorder="1" applyAlignment="1"/>
    <xf numFmtId="0" fontId="0" fillId="0" borderId="0" xfId="0" applyFont="1" applyBorder="1" applyAlignment="1">
      <alignment horizontal="left"/>
    </xf>
    <xf numFmtId="0" fontId="12" fillId="12" borderId="1" xfId="0" applyFont="1" applyFill="1" applyBorder="1" applyAlignment="1">
      <alignment horizontal="left" vertical="center"/>
    </xf>
    <xf numFmtId="0" fontId="9" fillId="0" borderId="1" xfId="8" applyFont="1" applyBorder="1" applyAlignment="1"/>
    <xf numFmtId="0" fontId="12" fillId="12" borderId="1" xfId="0" applyFont="1" applyFill="1" applyBorder="1" applyAlignment="1">
      <alignment horizontal="left" vertical="center" wrapText="1"/>
    </xf>
    <xf numFmtId="166" fontId="0" fillId="0" borderId="0" xfId="0" applyNumberFormat="1" applyFont="1" applyAlignment="1"/>
    <xf numFmtId="0" fontId="0" fillId="18" borderId="0" xfId="0" applyFont="1" applyFill="1" applyAlignment="1"/>
    <xf numFmtId="0" fontId="2" fillId="22" borderId="0" xfId="0" applyFont="1" applyFill="1" applyAlignment="1">
      <alignment horizontal="left" vertical="center"/>
    </xf>
    <xf numFmtId="0" fontId="0" fillId="22" borderId="0" xfId="0" applyFont="1" applyFill="1" applyAlignment="1"/>
    <xf numFmtId="0" fontId="21" fillId="0" borderId="0" xfId="0" applyFont="1" applyAlignment="1"/>
    <xf numFmtId="0" fontId="22" fillId="0" borderId="0" xfId="0" applyFont="1" applyAlignment="1"/>
    <xf numFmtId="1" fontId="4" fillId="2" borderId="5" xfId="0" applyNumberFormat="1" applyFont="1" applyFill="1" applyBorder="1" applyAlignment="1">
      <alignment horizontal="center" vertical="center" wrapText="1"/>
    </xf>
    <xf numFmtId="1" fontId="2" fillId="9" borderId="5" xfId="0" applyNumberFormat="1" applyFont="1" applyFill="1" applyBorder="1" applyAlignment="1">
      <alignment horizontal="right" vertical="center"/>
    </xf>
    <xf numFmtId="1" fontId="2" fillId="10" borderId="5" xfId="0" applyNumberFormat="1" applyFont="1" applyFill="1" applyBorder="1" applyAlignment="1">
      <alignment horizontal="right" vertical="center"/>
    </xf>
    <xf numFmtId="1" fontId="0" fillId="9" borderId="5" xfId="0" applyNumberFormat="1" applyFont="1" applyFill="1" applyBorder="1" applyAlignment="1">
      <alignment horizontal="right"/>
    </xf>
    <xf numFmtId="1" fontId="0" fillId="10" borderId="5" xfId="0" applyNumberFormat="1" applyFont="1" applyFill="1" applyBorder="1" applyAlignment="1">
      <alignment horizontal="right"/>
    </xf>
    <xf numFmtId="1" fontId="4" fillId="2" borderId="25" xfId="0" applyNumberFormat="1" applyFont="1" applyFill="1" applyBorder="1" applyAlignment="1">
      <alignment horizontal="center" vertical="center" wrapText="1"/>
    </xf>
    <xf numFmtId="1" fontId="2" fillId="9" borderId="6" xfId="0" applyNumberFormat="1" applyFont="1" applyFill="1" applyBorder="1" applyAlignment="1">
      <alignment horizontal="right" vertical="center"/>
    </xf>
    <xf numFmtId="1" fontId="2" fillId="10" borderId="6" xfId="0" applyNumberFormat="1" applyFont="1" applyFill="1" applyBorder="1" applyAlignment="1">
      <alignment horizontal="right" vertical="center"/>
    </xf>
    <xf numFmtId="1" fontId="0" fillId="9" borderId="6" xfId="0" applyNumberFormat="1" applyFont="1" applyFill="1" applyBorder="1" applyAlignment="1">
      <alignment horizontal="right"/>
    </xf>
    <xf numFmtId="0" fontId="13" fillId="0" borderId="1" xfId="0" applyFont="1" applyFill="1" applyBorder="1" applyAlignment="1">
      <alignment horizontal="center" wrapText="1"/>
    </xf>
    <xf numFmtId="0" fontId="0" fillId="0" borderId="1" xfId="0" applyFill="1" applyBorder="1" applyAlignment="1"/>
    <xf numFmtId="0" fontId="13" fillId="0" borderId="0" xfId="0" applyFont="1" applyFill="1" applyBorder="1" applyAlignment="1">
      <alignment horizontal="center"/>
    </xf>
    <xf numFmtId="0" fontId="0" fillId="0" borderId="0" xfId="0" applyFont="1" applyBorder="1" applyAlignment="1"/>
    <xf numFmtId="0" fontId="25" fillId="2" borderId="4" xfId="0" applyFont="1" applyFill="1" applyBorder="1" applyAlignment="1">
      <alignment horizontal="center" vertical="center" wrapText="1"/>
    </xf>
    <xf numFmtId="0" fontId="26" fillId="0" borderId="0" xfId="0" applyFont="1" applyAlignment="1"/>
    <xf numFmtId="0" fontId="30" fillId="0" borderId="0" xfId="0" applyFont="1" applyAlignment="1"/>
    <xf numFmtId="0" fontId="24" fillId="0" borderId="1" xfId="0" applyFont="1" applyBorder="1" applyAlignment="1">
      <alignment wrapText="1"/>
    </xf>
    <xf numFmtId="0" fontId="23" fillId="23" borderId="1" xfId="0" applyFont="1" applyFill="1" applyBorder="1" applyAlignment="1"/>
    <xf numFmtId="0" fontId="0" fillId="0" borderId="15" xfId="0" pivotButton="1" applyFont="1" applyBorder="1" applyAlignment="1">
      <alignment wrapText="1"/>
    </xf>
    <xf numFmtId="0" fontId="0" fillId="0" borderId="1" xfId="0" pivotButton="1" applyFont="1" applyBorder="1" applyAlignment="1">
      <alignment wrapText="1"/>
    </xf>
    <xf numFmtId="0" fontId="0" fillId="0" borderId="1" xfId="0" applyFont="1" applyBorder="1" applyAlignment="1">
      <alignment wrapText="1"/>
    </xf>
    <xf numFmtId="0" fontId="0" fillId="0" borderId="1" xfId="0" applyNumberFormat="1" applyFont="1" applyBorder="1" applyAlignment="1"/>
    <xf numFmtId="0" fontId="0" fillId="0" borderId="23" xfId="0" pivotButton="1" applyFont="1" applyBorder="1" applyAlignment="1"/>
    <xf numFmtId="0" fontId="0" fillId="0" borderId="23" xfId="0" applyFont="1" applyBorder="1" applyAlignment="1">
      <alignment horizontal="left"/>
    </xf>
    <xf numFmtId="0" fontId="0" fillId="0" borderId="24" xfId="0" applyFont="1" applyBorder="1" applyAlignment="1">
      <alignment horizontal="left"/>
    </xf>
    <xf numFmtId="0" fontId="0" fillId="0" borderId="0" xfId="0" applyNumberFormat="1" applyFont="1" applyBorder="1" applyAlignment="1"/>
    <xf numFmtId="0" fontId="33" fillId="0" borderId="0" xfId="0" applyFont="1" applyAlignment="1"/>
    <xf numFmtId="0" fontId="34" fillId="0" borderId="0" xfId="0" applyFont="1" applyAlignment="1"/>
    <xf numFmtId="0" fontId="11" fillId="0" borderId="1" xfId="0" applyFont="1" applyBorder="1" applyAlignment="1"/>
    <xf numFmtId="1" fontId="0" fillId="0" borderId="1" xfId="0" applyNumberFormat="1" applyFont="1" applyBorder="1" applyAlignment="1"/>
    <xf numFmtId="1" fontId="3" fillId="9" borderId="5" xfId="0" applyNumberFormat="1" applyFont="1" applyFill="1" applyBorder="1" applyAlignment="1">
      <alignment horizontal="right" vertical="center"/>
    </xf>
    <xf numFmtId="1" fontId="3" fillId="10" borderId="5" xfId="0" applyNumberFormat="1" applyFont="1" applyFill="1" applyBorder="1" applyAlignment="1">
      <alignment horizontal="right" vertical="center"/>
    </xf>
    <xf numFmtId="0" fontId="35" fillId="0" borderId="0" xfId="0" applyFont="1" applyAlignment="1"/>
    <xf numFmtId="0" fontId="22" fillId="0" borderId="1" xfId="0" applyFont="1" applyBorder="1" applyAlignment="1">
      <alignment horizontal="center" vertical="center" wrapText="1"/>
    </xf>
    <xf numFmtId="168" fontId="22" fillId="0" borderId="1" xfId="0" applyNumberFormat="1" applyFont="1" applyBorder="1" applyAlignment="1">
      <alignment horizontal="center" vertical="center"/>
    </xf>
    <xf numFmtId="0" fontId="22" fillId="0" borderId="1" xfId="0" applyFont="1" applyBorder="1" applyAlignment="1">
      <alignment horizontal="center" vertical="center" wrapText="1"/>
    </xf>
    <xf numFmtId="0" fontId="22" fillId="0" borderId="1" xfId="0" applyNumberFormat="1" applyFont="1" applyBorder="1" applyAlignment="1">
      <alignment horizontal="center" vertical="center"/>
    </xf>
    <xf numFmtId="1" fontId="22" fillId="0" borderId="1" xfId="0" applyNumberFormat="1" applyFont="1" applyBorder="1" applyAlignment="1">
      <alignment horizontal="center" vertical="center"/>
    </xf>
    <xf numFmtId="0" fontId="22" fillId="0" borderId="3" xfId="0" applyFont="1" applyBorder="1" applyAlignment="1">
      <alignment horizontal="center" vertical="center" wrapText="1"/>
    </xf>
    <xf numFmtId="168" fontId="22" fillId="0" borderId="3" xfId="0" applyNumberFormat="1" applyFont="1" applyBorder="1" applyAlignment="1">
      <alignment horizontal="center" vertical="center"/>
    </xf>
    <xf numFmtId="0" fontId="43" fillId="0" borderId="1" xfId="14" applyFont="1" applyBorder="1" applyAlignment="1"/>
    <xf numFmtId="0" fontId="21" fillId="0" borderId="1" xfId="0" applyFont="1" applyBorder="1" applyAlignment="1"/>
    <xf numFmtId="0" fontId="29" fillId="0" borderId="1" xfId="0" applyFont="1" applyBorder="1" applyAlignment="1"/>
    <xf numFmtId="0" fontId="5" fillId="0" borderId="0" xfId="0" applyFont="1" applyBorder="1" applyAlignment="1"/>
    <xf numFmtId="0" fontId="5" fillId="0" borderId="0" xfId="0" applyFont="1" applyFill="1" applyBorder="1" applyAlignment="1"/>
    <xf numFmtId="0" fontId="11" fillId="0" borderId="1" xfId="0" applyFont="1" applyFill="1" applyBorder="1" applyAlignment="1"/>
    <xf numFmtId="0" fontId="5" fillId="0" borderId="1" xfId="0" applyFont="1" applyFill="1" applyBorder="1" applyAlignment="1">
      <alignment horizontal="left"/>
    </xf>
    <xf numFmtId="3" fontId="5" fillId="0" borderId="1" xfId="0" applyNumberFormat="1" applyFont="1" applyFill="1" applyBorder="1" applyAlignment="1">
      <alignment horizontal="center" wrapText="1"/>
    </xf>
    <xf numFmtId="0" fontId="5" fillId="0" borderId="1" xfId="0" applyFont="1" applyFill="1" applyBorder="1" applyAlignment="1">
      <alignment horizontal="center"/>
    </xf>
    <xf numFmtId="0" fontId="5" fillId="0" borderId="1" xfId="0" applyFont="1" applyBorder="1" applyAlignment="1">
      <alignment horizontal="center" vertical="center"/>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1" xfId="0" applyFont="1" applyFill="1" applyBorder="1" applyAlignment="1"/>
    <xf numFmtId="3"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0" fillId="0" borderId="1" xfId="0" applyFont="1" applyBorder="1" applyAlignment="1">
      <alignment horizontal="center" vertical="center"/>
    </xf>
    <xf numFmtId="0" fontId="44" fillId="0" borderId="1" xfId="0" applyFont="1" applyFill="1" applyBorder="1" applyAlignment="1">
      <alignment horizontal="center" vertical="center" wrapText="1"/>
    </xf>
    <xf numFmtId="0" fontId="0" fillId="0" borderId="1" xfId="0" applyFont="1" applyFill="1" applyBorder="1" applyAlignment="1"/>
    <xf numFmtId="2" fontId="0" fillId="0" borderId="1" xfId="0" applyNumberFormat="1" applyFill="1" applyBorder="1" applyAlignment="1"/>
    <xf numFmtId="0" fontId="13" fillId="18" borderId="1" xfId="0" applyFont="1" applyFill="1" applyBorder="1" applyAlignment="1">
      <alignment horizontal="center" wrapText="1"/>
    </xf>
    <xf numFmtId="0" fontId="45" fillId="18" borderId="1" xfId="0" applyFont="1" applyFill="1" applyBorder="1" applyAlignment="1">
      <alignment horizontal="center" wrapText="1"/>
    </xf>
    <xf numFmtId="0" fontId="24" fillId="18" borderId="1" xfId="0" applyFont="1" applyFill="1" applyBorder="1" applyAlignment="1">
      <alignment wrapText="1"/>
    </xf>
    <xf numFmtId="0" fontId="21" fillId="18" borderId="0" xfId="0" applyFont="1" applyFill="1" applyBorder="1" applyAlignment="1"/>
    <xf numFmtId="0" fontId="46" fillId="18" borderId="0" xfId="0" applyFont="1" applyFill="1" applyAlignment="1"/>
    <xf numFmtId="2" fontId="13" fillId="0" borderId="1" xfId="0" applyNumberFormat="1" applyFont="1" applyFill="1" applyBorder="1" applyAlignment="1">
      <alignment horizontal="center" vertical="center"/>
    </xf>
    <xf numFmtId="0" fontId="5" fillId="0" borderId="1" xfId="0" applyFont="1" applyFill="1" applyBorder="1" applyAlignment="1">
      <alignment wrapText="1"/>
    </xf>
    <xf numFmtId="49" fontId="5" fillId="0" borderId="1" xfId="0" applyNumberFormat="1" applyFont="1" applyFill="1" applyBorder="1" applyAlignment="1">
      <alignment horizontal="center" vertical="center"/>
    </xf>
    <xf numFmtId="11" fontId="0" fillId="0" borderId="0" xfId="0" applyNumberFormat="1" applyFont="1" applyAlignment="1"/>
    <xf numFmtId="0" fontId="22" fillId="0" borderId="0" xfId="0" applyFont="1" applyBorder="1" applyAlignment="1"/>
    <xf numFmtId="0" fontId="51" fillId="16" borderId="0" xfId="0" applyFont="1" applyFill="1" applyBorder="1" applyAlignment="1">
      <alignment horizontal="center" vertical="center" wrapText="1"/>
    </xf>
    <xf numFmtId="0" fontId="51" fillId="16" borderId="0" xfId="0" applyFont="1" applyFill="1" applyBorder="1" applyAlignment="1">
      <alignment horizontal="center" vertical="center"/>
    </xf>
    <xf numFmtId="0" fontId="22" fillId="18" borderId="0" xfId="0" applyFont="1" applyFill="1" applyBorder="1" applyAlignment="1">
      <alignment horizontal="center" vertical="center" wrapText="1"/>
    </xf>
    <xf numFmtId="0" fontId="22" fillId="22" borderId="0" xfId="0" applyFont="1" applyFill="1" applyBorder="1" applyAlignment="1">
      <alignment horizontal="center" vertical="center" wrapText="1"/>
    </xf>
    <xf numFmtId="169" fontId="22" fillId="18" borderId="0" xfId="0" applyNumberFormat="1" applyFont="1" applyFill="1" applyBorder="1" applyAlignment="1">
      <alignment horizontal="center" vertical="center" wrapText="1"/>
    </xf>
    <xf numFmtId="169" fontId="22" fillId="22" borderId="0" xfId="0" applyNumberFormat="1" applyFont="1" applyFill="1"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56" fillId="24" borderId="1" xfId="0" applyFont="1" applyFill="1" applyBorder="1" applyAlignment="1">
      <alignment horizontal="center" vertical="center" wrapText="1"/>
    </xf>
    <xf numFmtId="0" fontId="29"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29" fillId="25" borderId="1" xfId="0" applyFont="1" applyFill="1" applyBorder="1" applyAlignment="1">
      <alignment horizontal="center" vertical="center" wrapText="1"/>
    </xf>
    <xf numFmtId="0" fontId="21" fillId="25" borderId="1" xfId="0" applyFont="1" applyFill="1" applyBorder="1" applyAlignment="1">
      <alignment horizontal="center" vertical="center" wrapText="1"/>
    </xf>
    <xf numFmtId="0" fontId="36" fillId="16" borderId="0" xfId="0" applyFont="1" applyFill="1" applyAlignment="1">
      <alignment horizontal="center"/>
    </xf>
    <xf numFmtId="0" fontId="28" fillId="0" borderId="0" xfId="0" applyFont="1" applyAlignment="1">
      <alignment horizontal="center"/>
    </xf>
    <xf numFmtId="0" fontId="37" fillId="16" borderId="0" xfId="0" applyFont="1" applyFill="1" applyAlignment="1">
      <alignment horizontal="center" vertical="top"/>
    </xf>
    <xf numFmtId="0" fontId="22" fillId="16" borderId="0" xfId="0" applyFont="1" applyFill="1" applyAlignment="1">
      <alignment horizontal="center" vertical="top"/>
    </xf>
    <xf numFmtId="166" fontId="37" fillId="16" borderId="0" xfId="0" applyNumberFormat="1" applyFont="1" applyFill="1" applyAlignment="1">
      <alignment horizontal="center" vertical="top"/>
    </xf>
    <xf numFmtId="0" fontId="16" fillId="16" borderId="0" xfId="0" applyFont="1" applyFill="1" applyAlignment="1">
      <alignment horizontal="center" vertical="center"/>
    </xf>
    <xf numFmtId="166" fontId="38" fillId="16" borderId="0" xfId="0" applyNumberFormat="1" applyFont="1" applyFill="1" applyAlignment="1">
      <alignment horizontal="center" vertical="center"/>
    </xf>
    <xf numFmtId="166" fontId="16" fillId="16" borderId="0" xfId="0" applyNumberFormat="1" applyFont="1" applyFill="1" applyAlignment="1">
      <alignment horizontal="center" vertical="center"/>
    </xf>
    <xf numFmtId="0" fontId="22" fillId="0" borderId="1" xfId="0" applyFont="1" applyBorder="1" applyAlignment="1">
      <alignment horizontal="center" vertical="center" wrapText="1"/>
    </xf>
    <xf numFmtId="166" fontId="22" fillId="0" borderId="1" xfId="0" applyNumberFormat="1" applyFont="1" applyBorder="1" applyAlignment="1">
      <alignment horizontal="center" vertical="center" wrapText="1"/>
    </xf>
    <xf numFmtId="0" fontId="43" fillId="0" borderId="1" xfId="14" applyFont="1" applyBorder="1" applyAlignment="1">
      <alignment horizontal="center"/>
    </xf>
    <xf numFmtId="0" fontId="22" fillId="0" borderId="3" xfId="0" applyFont="1" applyBorder="1" applyAlignment="1">
      <alignment horizontal="center" vertical="center" wrapText="1"/>
    </xf>
    <xf numFmtId="0" fontId="42" fillId="0" borderId="1" xfId="0" applyFont="1" applyBorder="1" applyAlignment="1">
      <alignment horizontal="center"/>
    </xf>
    <xf numFmtId="0" fontId="22" fillId="0" borderId="5" xfId="0" applyFont="1" applyBorder="1" applyAlignment="1">
      <alignment horizontal="center" vertical="center" wrapText="1"/>
    </xf>
    <xf numFmtId="0" fontId="22" fillId="0" borderId="6" xfId="0" applyFont="1" applyBorder="1" applyAlignment="1">
      <alignment horizontal="center" vertical="center" wrapText="1"/>
    </xf>
    <xf numFmtId="0" fontId="28" fillId="0" borderId="0" xfId="0" applyFont="1" applyAlignment="1">
      <alignment horizontal="center" vertical="center" wrapText="1"/>
    </xf>
    <xf numFmtId="0" fontId="55" fillId="16" borderId="0" xfId="0" applyFont="1" applyFill="1" applyAlignment="1">
      <alignment horizontal="center"/>
    </xf>
    <xf numFmtId="0" fontId="19" fillId="17" borderId="0" xfId="0" applyFont="1" applyFill="1" applyAlignment="1">
      <alignment horizontal="center" vertical="center" wrapText="1"/>
    </xf>
    <xf numFmtId="166" fontId="16" fillId="19" borderId="0" xfId="0" applyNumberFormat="1" applyFont="1" applyFill="1" applyAlignment="1">
      <alignment horizontal="center" vertical="center" wrapText="1"/>
    </xf>
    <xf numFmtId="0" fontId="19" fillId="19" borderId="0" xfId="0" applyFont="1" applyFill="1" applyAlignment="1">
      <alignment horizontal="center" vertical="center" wrapText="1"/>
    </xf>
    <xf numFmtId="0" fontId="18" fillId="21" borderId="0" xfId="0" applyFont="1" applyFill="1" applyAlignment="1">
      <alignment horizontal="center" vertical="center"/>
    </xf>
    <xf numFmtId="49" fontId="20" fillId="16" borderId="0" xfId="0" applyNumberFormat="1" applyFont="1" applyFill="1" applyBorder="1" applyAlignment="1">
      <alignment horizontal="center"/>
    </xf>
    <xf numFmtId="0" fontId="15" fillId="18" borderId="0" xfId="0" applyFont="1" applyFill="1" applyAlignment="1">
      <alignment horizontal="center"/>
    </xf>
    <xf numFmtId="0" fontId="16" fillId="21" borderId="0" xfId="0" applyFont="1" applyFill="1" applyAlignment="1">
      <alignment horizontal="center" vertical="center"/>
    </xf>
    <xf numFmtId="167" fontId="17" fillId="20" borderId="0" xfId="0" applyNumberFormat="1" applyFont="1" applyFill="1" applyAlignment="1">
      <alignment horizontal="center" vertical="center"/>
    </xf>
    <xf numFmtId="0" fontId="18" fillId="20" borderId="0" xfId="0" applyFont="1" applyFill="1" applyAlignment="1">
      <alignment horizontal="center" vertical="center" wrapText="1"/>
    </xf>
    <xf numFmtId="0" fontId="0" fillId="20" borderId="0" xfId="0" applyFont="1" applyFill="1" applyAlignment="1">
      <alignment horizontal="center" vertical="center" wrapText="1"/>
    </xf>
    <xf numFmtId="166" fontId="16" fillId="17" borderId="0" xfId="0" applyNumberFormat="1" applyFont="1" applyFill="1" applyAlignment="1">
      <alignment horizontal="center" vertical="center" wrapText="1"/>
    </xf>
  </cellXfs>
  <cellStyles count="15">
    <cellStyle name="40% - Accent1" xfId="2" builtinId="31"/>
    <cellStyle name="40% - Accent2" xfId="3" builtinId="35"/>
    <cellStyle name="40% - Accent3" xfId="4" builtinId="39"/>
    <cellStyle name="40% - Accent4" xfId="5" builtinId="43"/>
    <cellStyle name="40% - Accent5" xfId="6" builtinId="47"/>
    <cellStyle name="60% - Accent1" xfId="9" builtinId="32"/>
    <cellStyle name="60% - Accent6" xfId="13" builtinId="52"/>
    <cellStyle name="Accent4" xfId="11" builtinId="41"/>
    <cellStyle name="Accent6" xfId="12" builtinId="49"/>
    <cellStyle name="Check Cell" xfId="1" builtinId="23"/>
    <cellStyle name="Comma [0]" xfId="7" builtinId="6"/>
    <cellStyle name="Explanatory Text" xfId="8" builtinId="53"/>
    <cellStyle name="Heading 2" xfId="14" builtinId="17"/>
    <cellStyle name="Normal" xfId="0" builtinId="0"/>
    <cellStyle name="Style 1" xfId="10"/>
  </cellStyles>
  <dxfs count="12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theme="2" tint="-0.34998626667073579"/>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numFmt numFmtId="33" formatCode="_ * #,##0_ ;_ * \-#,##0_ ;_ * &quot;-&quot;_ ;_ @_ "/>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numFmt numFmtId="1" formatCode="0"/>
      <fill>
        <patternFill patternType="solid">
          <fgColor rgb="FFF8F9FA"/>
          <bgColor rgb="FFF8F9FA"/>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bottom" textRotation="0" wrapText="0" indent="0" justifyLastLine="0" shrinkToFit="0" readingOrder="0"/>
      <border diagonalUp="0" diagonalDown="0">
        <left style="thin">
          <color indexed="64"/>
        </left>
        <right style="thin">
          <color indexed="64"/>
        </right>
        <top/>
        <bottom/>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outline="0">
        <left style="thin">
          <color indexed="64"/>
        </left>
        <right style="thin">
          <color indexed="64"/>
        </right>
        <top/>
        <bottom/>
      </border>
    </dxf>
    <dxf>
      <alignment wrapText="1" readingOrder="0"/>
    </dxf>
    <dxf>
      <alignment wrapText="1" readingOrder="0"/>
    </dxf>
    <dxf>
      <alignment wrapText="1" readingOrder="0"/>
    </dxf>
    <dxf>
      <alignment wrapText="1" readingOrder="0"/>
    </dxf>
    <dxf>
      <alignment wrapText="1" readingOrder="0"/>
    </dxf>
    <dxf>
      <fill>
        <patternFill>
          <bgColor rgb="FFFF0000"/>
        </patternFill>
      </fill>
    </dxf>
    <dxf>
      <fill>
        <patternFill>
          <bgColor rgb="FFFF0000"/>
        </patternFill>
      </fill>
    </dxf>
    <dxf>
      <fill>
        <patternFill>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general" vertical="bottom" textRotation="0" wrapText="0" indent="0" justifyLastLine="0" shrinkToFit="0" readingOrder="0"/>
    </dxf>
    <dxf>
      <fill>
        <patternFill>
          <bgColor theme="4" tint="0.59996337778862885"/>
        </patternFill>
      </fill>
    </dxf>
    <dxf>
      <fill>
        <patternFill>
          <bgColor theme="5" tint="0.59996337778862885"/>
        </patternFill>
      </fill>
    </dxf>
    <dxf>
      <fill>
        <patternFill>
          <bgColor theme="6" tint="0.59996337778862885"/>
        </patternFill>
      </fill>
    </dxf>
    <dxf>
      <fill>
        <patternFill>
          <bgColor theme="7" tint="0.59996337778862885"/>
        </patternFill>
      </fill>
    </dxf>
    <dxf>
      <fill>
        <patternFill>
          <bgColor rgb="FFFF0000"/>
        </patternFill>
      </fill>
    </dxf>
    <dxf>
      <alignment horizont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textRotation="0" wrapText="0" indent="0" justifyLastLine="0" shrinkToFit="0" readingOrder="0"/>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right" textRotation="0" wrapText="0" indent="0" justifyLastLine="0" shrinkToFit="0" readingOrder="0"/>
      <border diagonalUp="0" diagonalDown="0" outline="0">
        <left/>
        <right style="thin">
          <color indexed="64"/>
        </right>
        <top style="thin">
          <color indexed="64"/>
        </top>
        <bottom style="thin">
          <color indexed="64"/>
        </bottom>
      </border>
    </dxf>
    <dxf>
      <alignment horizont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textRotation="0" wrapText="0" indent="0" justifyLastLine="0" shrinkToFit="0" readingOrder="0"/>
    </dxf>
    <dxf>
      <border>
        <bottom style="double">
          <color indexed="64"/>
        </bottom>
      </border>
    </dxf>
    <dxf>
      <font>
        <b/>
        <strike val="0"/>
        <outline val="0"/>
        <shadow val="0"/>
        <u val="none"/>
        <vertAlign val="baseline"/>
        <sz val="10"/>
        <color theme="1"/>
        <name val="Arial"/>
        <scheme val="minor"/>
      </font>
      <fill>
        <patternFill patternType="solid">
          <fgColor indexed="64"/>
          <bgColor theme="0"/>
        </patternFill>
      </fill>
      <alignment horizontal="center" textRotation="0" wrapText="0" indent="0" justifyLastLine="0" shrinkToFit="0" readingOrder="0"/>
      <border diagonalUp="0" diagonalDown="0">
        <left style="thin">
          <color indexed="64"/>
        </left>
        <right style="thin">
          <color indexed="64"/>
        </right>
        <top/>
        <bottom/>
        <vertical style="thin">
          <color indexed="64"/>
        </vertical>
        <horizontal/>
      </border>
    </dxf>
    <dxf>
      <fill>
        <patternFill>
          <bgColor rgb="FFFF0000"/>
        </patternFill>
      </fill>
    </dxf>
    <dxf>
      <fill>
        <patternFill patternType="solid">
          <fgColor indexed="64"/>
          <bgColor theme="2"/>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127"/>
      <tableStyleElement type="headerRow" dxfId="126"/>
      <tableStyleElement type="firstRowStripe" dxfId="125"/>
      <tableStyleElement type="secondRowStripe" dxfId="124"/>
    </tableStyle>
  </tableStyles>
  <colors>
    <mruColors>
      <color rgb="FF002F8E"/>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styles" Target="styles.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a:pPr>
            <a:r>
              <a:rPr lang="en-US"/>
              <a:t>Vehicle Type Ownership</a:t>
            </a:r>
          </a:p>
        </c:rich>
      </c:tx>
      <c:overlay val="0"/>
    </c:title>
    <c:autoTitleDeleted val="0"/>
    <c:plotArea>
      <c:layout/>
      <c:pieChart>
        <c:varyColors val="1"/>
        <c:ser>
          <c:idx val="0"/>
          <c:order val="0"/>
          <c:tx>
            <c:strRef>
              <c:f>Pie_Chart!$B$1</c:f>
              <c:strCache>
                <c:ptCount val="1"/>
                <c:pt idx="0">
                  <c:v>counts</c:v>
                </c:pt>
              </c:strCache>
            </c:strRef>
          </c:tx>
          <c:dLbls>
            <c:showLegendKey val="0"/>
            <c:showVal val="0"/>
            <c:showCatName val="1"/>
            <c:showSerName val="0"/>
            <c:showPercent val="1"/>
            <c:showBubbleSize val="0"/>
            <c:showLeaderLines val="1"/>
          </c:dLbls>
          <c:cat>
            <c:strRef>
              <c:f>Pie_Chart!$A$2:$A$5</c:f>
              <c:strCache>
                <c:ptCount val="4"/>
                <c:pt idx="0">
                  <c:v>Bike</c:v>
                </c:pt>
                <c:pt idx="1">
                  <c:v>Car</c:v>
                </c:pt>
                <c:pt idx="2">
                  <c:v>Scooty</c:v>
                </c:pt>
                <c:pt idx="3">
                  <c:v>Commercial Vehicle</c:v>
                </c:pt>
              </c:strCache>
            </c:strRef>
          </c:cat>
          <c:val>
            <c:numRef>
              <c:f>Pie_Chart!$B$2:$B$5</c:f>
              <c:numCache>
                <c:formatCode>General</c:formatCode>
                <c:ptCount val="4"/>
                <c:pt idx="0">
                  <c:v>355</c:v>
                </c:pt>
                <c:pt idx="1">
                  <c:v>165</c:v>
                </c:pt>
                <c:pt idx="2">
                  <c:v>169</c:v>
                </c:pt>
                <c:pt idx="3">
                  <c:v>86</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sz="1600" b="1" i="0" baseline="0">
                <a:effectLst/>
                <a:latin typeface="Times New Roman" pitchFamily="18" charset="0"/>
                <a:cs typeface="Times New Roman" pitchFamily="18" charset="0"/>
              </a:rPr>
              <a:t>Fuel Expense Distribution by Vehicle Owenrship</a:t>
            </a:r>
            <a:endParaRPr lang="en-IN" sz="1600">
              <a:effectLst/>
              <a:latin typeface="Times New Roman" pitchFamily="18" charset="0"/>
              <a:cs typeface="Times New Roman" pitchFamily="18" charset="0"/>
            </a:endParaRPr>
          </a:p>
        </c:rich>
      </c:tx>
      <c:overlay val="1"/>
    </c:title>
    <c:autoTitleDeleted val="0"/>
    <c:plotArea>
      <c:layout>
        <c:manualLayout>
          <c:layoutTarget val="inner"/>
          <c:xMode val="edge"/>
          <c:yMode val="edge"/>
          <c:x val="0.15621062992125984"/>
          <c:y val="0.23148148148148148"/>
          <c:w val="0.64079636920384953"/>
          <c:h val="0.58466790609507158"/>
        </c:manualLayout>
      </c:layout>
      <c:barChart>
        <c:barDir val="bar"/>
        <c:grouping val="stacked"/>
        <c:varyColors val="0"/>
        <c:ser>
          <c:idx val="1"/>
          <c:order val="0"/>
          <c:tx>
            <c:strRef>
              <c:f>Box_plot!$C$11</c:f>
              <c:strCache>
                <c:ptCount val="1"/>
                <c:pt idx="0">
                  <c:v>Lower Whisker</c:v>
                </c:pt>
              </c:strCache>
            </c:strRef>
          </c:tx>
          <c:spPr>
            <a:noFill/>
            <a:ln>
              <a:noFill/>
            </a:ln>
          </c:spPr>
          <c:invertIfNegative val="0"/>
          <c:errBars>
            <c:errBarType val="minus"/>
            <c:errValType val="cust"/>
            <c:noEndCap val="0"/>
            <c:plus>
              <c:numLit>
                <c:formatCode>General</c:formatCode>
                <c:ptCount val="1"/>
                <c:pt idx="0">
                  <c:v>0</c:v>
                </c:pt>
              </c:numLit>
            </c:plus>
            <c:minus>
              <c:numRef>
                <c:f>Box_plot!$C$12:$C$14</c:f>
                <c:numCache>
                  <c:formatCode>General</c:formatCode>
                  <c:ptCount val="3"/>
                  <c:pt idx="0">
                    <c:v>390</c:v>
                  </c:pt>
                  <c:pt idx="1">
                    <c:v>3270</c:v>
                  </c:pt>
                  <c:pt idx="2">
                    <c:v>4925</c:v>
                  </c:pt>
                </c:numCache>
              </c:numRef>
            </c:minus>
          </c:errBars>
          <c:cat>
            <c:strRef>
              <c:f>Box_plot!$A$12:$A$14</c:f>
              <c:strCache>
                <c:ptCount val="3"/>
                <c:pt idx="0">
                  <c:v>1 Vehicle</c:v>
                </c:pt>
                <c:pt idx="1">
                  <c:v>2 Vehicle</c:v>
                </c:pt>
                <c:pt idx="2">
                  <c:v>3 Vehicle</c:v>
                </c:pt>
              </c:strCache>
            </c:strRef>
          </c:cat>
          <c:val>
            <c:numRef>
              <c:f>Box_plot!$C$12:$C$14</c:f>
              <c:numCache>
                <c:formatCode>General</c:formatCode>
                <c:ptCount val="3"/>
                <c:pt idx="0">
                  <c:v>390</c:v>
                </c:pt>
                <c:pt idx="1">
                  <c:v>3270</c:v>
                </c:pt>
                <c:pt idx="2">
                  <c:v>4925</c:v>
                </c:pt>
              </c:numCache>
            </c:numRef>
          </c:val>
        </c:ser>
        <c:ser>
          <c:idx val="2"/>
          <c:order val="1"/>
          <c:tx>
            <c:strRef>
              <c:f>Box_plot!$D$11</c:f>
              <c:strCache>
                <c:ptCount val="1"/>
                <c:pt idx="0">
                  <c:v>IQR Lower</c:v>
                </c:pt>
              </c:strCache>
            </c:strRef>
          </c:tx>
          <c:spPr>
            <a:solidFill>
              <a:schemeClr val="accent1">
                <a:lumMod val="50000"/>
              </a:schemeClr>
            </a:solidFill>
            <a:ln cmpd="thickThin"/>
          </c:spPr>
          <c:invertIfNegative val="0"/>
          <c:cat>
            <c:strRef>
              <c:f>Box_plot!$A$12:$A$14</c:f>
              <c:strCache>
                <c:ptCount val="3"/>
                <c:pt idx="0">
                  <c:v>1 Vehicle</c:v>
                </c:pt>
                <c:pt idx="1">
                  <c:v>2 Vehicle</c:v>
                </c:pt>
                <c:pt idx="2">
                  <c:v>3 Vehicle</c:v>
                </c:pt>
              </c:strCache>
            </c:strRef>
          </c:cat>
          <c:val>
            <c:numRef>
              <c:f>Box_plot!$D$12:$D$14</c:f>
              <c:numCache>
                <c:formatCode>General</c:formatCode>
                <c:ptCount val="3"/>
                <c:pt idx="0">
                  <c:v>350</c:v>
                </c:pt>
                <c:pt idx="1">
                  <c:v>1200</c:v>
                </c:pt>
                <c:pt idx="2">
                  <c:v>4325</c:v>
                </c:pt>
              </c:numCache>
            </c:numRef>
          </c:val>
        </c:ser>
        <c:ser>
          <c:idx val="3"/>
          <c:order val="2"/>
          <c:tx>
            <c:strRef>
              <c:f>Box_plot!$E$11</c:f>
              <c:strCache>
                <c:ptCount val="1"/>
                <c:pt idx="0">
                  <c:v>IQR Upper</c:v>
                </c:pt>
              </c:strCache>
            </c:strRef>
          </c:tx>
          <c:spPr>
            <a:solidFill>
              <a:schemeClr val="accent1">
                <a:lumMod val="20000"/>
                <a:lumOff val="80000"/>
              </a:schemeClr>
            </a:solidFill>
          </c:spPr>
          <c:invertIfNegative val="0"/>
          <c:errBars>
            <c:errBarType val="plus"/>
            <c:errValType val="cust"/>
            <c:noEndCap val="0"/>
            <c:plus>
              <c:numRef>
                <c:f>Box_plot!$F$12:$F$14</c:f>
                <c:numCache>
                  <c:formatCode>General</c:formatCode>
                  <c:ptCount val="3"/>
                  <c:pt idx="0">
                    <c:v>18200</c:v>
                  </c:pt>
                  <c:pt idx="1">
                    <c:v>11950</c:v>
                  </c:pt>
                  <c:pt idx="2">
                    <c:v>3600</c:v>
                  </c:pt>
                </c:numCache>
              </c:numRef>
            </c:plus>
            <c:minus>
              <c:numLit>
                <c:formatCode>General</c:formatCode>
                <c:ptCount val="1"/>
                <c:pt idx="0">
                  <c:v>0</c:v>
                </c:pt>
              </c:numLit>
            </c:minus>
          </c:errBars>
          <c:cat>
            <c:strRef>
              <c:f>Box_plot!$A$12:$A$14</c:f>
              <c:strCache>
                <c:ptCount val="3"/>
                <c:pt idx="0">
                  <c:v>1 Vehicle</c:v>
                </c:pt>
                <c:pt idx="1">
                  <c:v>2 Vehicle</c:v>
                </c:pt>
                <c:pt idx="2">
                  <c:v>3 Vehicle</c:v>
                </c:pt>
              </c:strCache>
            </c:strRef>
          </c:cat>
          <c:val>
            <c:numRef>
              <c:f>Box_plot!$E$12:$E$14</c:f>
              <c:numCache>
                <c:formatCode>General</c:formatCode>
                <c:ptCount val="3"/>
                <c:pt idx="0">
                  <c:v>800</c:v>
                </c:pt>
                <c:pt idx="1">
                  <c:v>3250</c:v>
                </c:pt>
                <c:pt idx="2">
                  <c:v>2550</c:v>
                </c:pt>
              </c:numCache>
            </c:numRef>
          </c:val>
        </c:ser>
        <c:dLbls>
          <c:showLegendKey val="0"/>
          <c:showVal val="0"/>
          <c:showCatName val="0"/>
          <c:showSerName val="0"/>
          <c:showPercent val="0"/>
          <c:showBubbleSize val="0"/>
        </c:dLbls>
        <c:gapWidth val="150"/>
        <c:overlap val="100"/>
        <c:axId val="213581824"/>
        <c:axId val="213583360"/>
      </c:barChart>
      <c:catAx>
        <c:axId val="213581824"/>
        <c:scaling>
          <c:orientation val="minMax"/>
        </c:scaling>
        <c:delete val="0"/>
        <c:axPos val="l"/>
        <c:majorTickMark val="out"/>
        <c:minorTickMark val="none"/>
        <c:tickLblPos val="nextTo"/>
        <c:spPr>
          <a:noFill/>
          <a:ln>
            <a:noFill/>
          </a:ln>
        </c:spPr>
        <c:crossAx val="213583360"/>
        <c:crosses val="autoZero"/>
        <c:auto val="1"/>
        <c:lblAlgn val="ctr"/>
        <c:lblOffset val="100"/>
        <c:noMultiLvlLbl val="0"/>
      </c:catAx>
      <c:valAx>
        <c:axId val="213583360"/>
        <c:scaling>
          <c:orientation val="minMax"/>
          <c:max val="30000"/>
          <c:min val="0"/>
        </c:scaling>
        <c:delete val="0"/>
        <c:axPos val="b"/>
        <c:majorGridlines/>
        <c:title>
          <c:tx>
            <c:rich>
              <a:bodyPr/>
              <a:lstStyle/>
              <a:p>
                <a:pPr>
                  <a:defRPr/>
                </a:pPr>
                <a:r>
                  <a:rPr lang="en-IN"/>
                  <a:t>Monthly</a:t>
                </a:r>
                <a:r>
                  <a:rPr lang="en-IN" baseline="0"/>
                  <a:t> Fuel Expense(INR)</a:t>
                </a:r>
                <a:endParaRPr lang="en-IN"/>
              </a:p>
            </c:rich>
          </c:tx>
          <c:overlay val="0"/>
        </c:title>
        <c:numFmt formatCode="General" sourceLinked="1"/>
        <c:majorTickMark val="out"/>
        <c:minorTickMark val="none"/>
        <c:tickLblPos val="nextTo"/>
        <c:crossAx val="213581824"/>
        <c:crosses val="autoZero"/>
        <c:crossBetween val="between"/>
        <c:majorUnit val="10000"/>
        <c:minorUnit val="2000"/>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[Fuel_Consumption_Analysis_project.xlsx]Pivot_Charts!PivotTable2</c:name>
    <c:fmtId val="1"/>
  </c:pivotSource>
  <c:chart>
    <c:title>
      <c:tx>
        <c:rich>
          <a:bodyPr/>
          <a:lstStyle/>
          <a:p>
            <a:pPr>
              <a:defRPr/>
            </a:pPr>
            <a:r>
              <a:rPr lang="en-US" sz="1600">
                <a:latin typeface="Times New Roman" pitchFamily="18" charset="0"/>
                <a:cs typeface="Times New Roman" pitchFamily="18" charset="0"/>
              </a:rPr>
              <a:t>Frequency</a:t>
            </a:r>
            <a:r>
              <a:rPr lang="en-US" sz="1600" baseline="0">
                <a:latin typeface="Times New Roman" pitchFamily="18" charset="0"/>
                <a:cs typeface="Times New Roman" pitchFamily="18" charset="0"/>
              </a:rPr>
              <a:t> Distribution of Fuel Expense</a:t>
            </a:r>
            <a:endParaRPr lang="en-US" sz="1600">
              <a:latin typeface="Times New Roman" pitchFamily="18" charset="0"/>
              <a:cs typeface="Times New Roman" pitchFamily="18" charset="0"/>
            </a:endParaRPr>
          </a:p>
        </c:rich>
      </c:tx>
      <c:overlay val="0"/>
    </c:title>
    <c:autoTitleDeleted val="0"/>
    <c:pivotFmts>
      <c:pivotFmt>
        <c:idx val="0"/>
        <c:marker>
          <c:symbol val="none"/>
        </c:marker>
      </c:pivotFmt>
    </c:pivotFmts>
    <c:plotArea>
      <c:layout/>
      <c:lineChart>
        <c:grouping val="standard"/>
        <c:varyColors val="0"/>
        <c:ser>
          <c:idx val="0"/>
          <c:order val="0"/>
          <c:tx>
            <c:strRef>
              <c:f>Pivot_Charts!$H$2</c:f>
              <c:strCache>
                <c:ptCount val="1"/>
                <c:pt idx="0">
                  <c:v>Total</c:v>
                </c:pt>
              </c:strCache>
            </c:strRef>
          </c:tx>
          <c:marker>
            <c:symbol val="none"/>
          </c:marker>
          <c:cat>
            <c:strRef>
              <c:f>Pivot_Charts!$G$3:$G$10</c:f>
              <c:strCache>
                <c:ptCount val="7"/>
                <c:pt idx="0">
                  <c:v>10,000-30,000</c:v>
                </c:pt>
                <c:pt idx="1">
                  <c:v>30,000-50,000</c:v>
                </c:pt>
                <c:pt idx="2">
                  <c:v>50,000-70,000</c:v>
                </c:pt>
                <c:pt idx="3">
                  <c:v>70,000-1,00,000</c:v>
                </c:pt>
                <c:pt idx="4">
                  <c:v>above 1,00,000</c:v>
                </c:pt>
                <c:pt idx="5">
                  <c:v>below 10,000</c:v>
                </c:pt>
                <c:pt idx="6">
                  <c:v>(blank)</c:v>
                </c:pt>
              </c:strCache>
            </c:strRef>
          </c:cat>
          <c:val>
            <c:numRef>
              <c:f>Pivot_Charts!$H$3:$H$10</c:f>
              <c:numCache>
                <c:formatCode>General</c:formatCode>
                <c:ptCount val="7"/>
                <c:pt idx="0">
                  <c:v>101</c:v>
                </c:pt>
                <c:pt idx="1">
                  <c:v>203</c:v>
                </c:pt>
                <c:pt idx="2">
                  <c:v>98</c:v>
                </c:pt>
                <c:pt idx="3">
                  <c:v>23</c:v>
                </c:pt>
                <c:pt idx="4">
                  <c:v>17</c:v>
                </c:pt>
                <c:pt idx="5">
                  <c:v>125</c:v>
                </c:pt>
              </c:numCache>
            </c:numRef>
          </c:val>
          <c:smooth val="0"/>
        </c:ser>
        <c:dLbls>
          <c:showLegendKey val="0"/>
          <c:showVal val="0"/>
          <c:showCatName val="0"/>
          <c:showSerName val="0"/>
          <c:showPercent val="0"/>
          <c:showBubbleSize val="0"/>
        </c:dLbls>
        <c:marker val="1"/>
        <c:smooth val="0"/>
        <c:axId val="213645568"/>
        <c:axId val="213364736"/>
      </c:lineChart>
      <c:catAx>
        <c:axId val="213645568"/>
        <c:scaling>
          <c:orientation val="minMax"/>
        </c:scaling>
        <c:delete val="0"/>
        <c:axPos val="b"/>
        <c:majorTickMark val="out"/>
        <c:minorTickMark val="none"/>
        <c:tickLblPos val="nextTo"/>
        <c:crossAx val="213364736"/>
        <c:crosses val="autoZero"/>
        <c:auto val="1"/>
        <c:lblAlgn val="ctr"/>
        <c:lblOffset val="100"/>
        <c:noMultiLvlLbl val="0"/>
      </c:catAx>
      <c:valAx>
        <c:axId val="213364736"/>
        <c:scaling>
          <c:orientation val="minMax"/>
        </c:scaling>
        <c:delete val="0"/>
        <c:axPos val="l"/>
        <c:majorGridlines/>
        <c:numFmt formatCode="General" sourceLinked="1"/>
        <c:majorTickMark val="out"/>
        <c:minorTickMark val="none"/>
        <c:tickLblPos val="nextTo"/>
        <c:crossAx val="2136455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[Fuel_Consumption_Analysis_project.xlsx]Pivot_Charts!PivotTable1</c:name>
    <c:fmtId val="1"/>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solidFill>
                <a:latin typeface="+mn-lt"/>
                <a:ea typeface="+mn-ea"/>
                <a:cs typeface="+mn-cs"/>
              </a:defRPr>
            </a:pPr>
            <a:r>
              <a:rPr lang="en-IN" sz="1800" b="1" i="0" baseline="0">
                <a:effectLst/>
              </a:rPr>
              <a:t>Gender vs Vehicle type</a:t>
            </a:r>
            <a:endParaRPr lang="en-IN">
              <a:effectLst/>
            </a:endParaRPr>
          </a:p>
        </c:rich>
      </c:tx>
      <c:overlay val="1"/>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manualLayout>
          <c:layoutTarget val="inner"/>
          <c:xMode val="edge"/>
          <c:yMode val="edge"/>
          <c:x val="0.20540507436570429"/>
          <c:y val="0.17592592592592593"/>
          <c:w val="0.5024044181977253"/>
          <c:h val="0.71429753572470112"/>
        </c:manualLayout>
      </c:layout>
      <c:barChart>
        <c:barDir val="bar"/>
        <c:grouping val="stacked"/>
        <c:varyColors val="0"/>
        <c:ser>
          <c:idx val="0"/>
          <c:order val="0"/>
          <c:tx>
            <c:strRef>
              <c:f>Pivot_Charts!$B$2</c:f>
              <c:strCache>
                <c:ptCount val="1"/>
                <c:pt idx="0">
                  <c:v>Sum of Has_Bike</c:v>
                </c:pt>
              </c:strCache>
            </c:strRef>
          </c:tx>
          <c:invertIfNegative val="0"/>
          <c:cat>
            <c:strRef>
              <c:f>Pivot_Charts!$A$3:$A$5</c:f>
              <c:strCache>
                <c:ptCount val="2"/>
                <c:pt idx="0">
                  <c:v>Female</c:v>
                </c:pt>
                <c:pt idx="1">
                  <c:v>Male</c:v>
                </c:pt>
              </c:strCache>
            </c:strRef>
          </c:cat>
          <c:val>
            <c:numRef>
              <c:f>Pivot_Charts!$B$3:$B$5</c:f>
              <c:numCache>
                <c:formatCode>General</c:formatCode>
                <c:ptCount val="2"/>
                <c:pt idx="0">
                  <c:v>85</c:v>
                </c:pt>
                <c:pt idx="1">
                  <c:v>270</c:v>
                </c:pt>
              </c:numCache>
            </c:numRef>
          </c:val>
        </c:ser>
        <c:ser>
          <c:idx val="1"/>
          <c:order val="1"/>
          <c:tx>
            <c:strRef>
              <c:f>Pivot_Charts!$C$2</c:f>
              <c:strCache>
                <c:ptCount val="1"/>
                <c:pt idx="0">
                  <c:v>Sum of Has_Car</c:v>
                </c:pt>
              </c:strCache>
            </c:strRef>
          </c:tx>
          <c:invertIfNegative val="0"/>
          <c:cat>
            <c:strRef>
              <c:f>Pivot_Charts!$A$3:$A$5</c:f>
              <c:strCache>
                <c:ptCount val="2"/>
                <c:pt idx="0">
                  <c:v>Female</c:v>
                </c:pt>
                <c:pt idx="1">
                  <c:v>Male</c:v>
                </c:pt>
              </c:strCache>
            </c:strRef>
          </c:cat>
          <c:val>
            <c:numRef>
              <c:f>Pivot_Charts!$C$3:$C$5</c:f>
              <c:numCache>
                <c:formatCode>General</c:formatCode>
                <c:ptCount val="2"/>
                <c:pt idx="0">
                  <c:v>41</c:v>
                </c:pt>
                <c:pt idx="1">
                  <c:v>128</c:v>
                </c:pt>
              </c:numCache>
            </c:numRef>
          </c:val>
        </c:ser>
        <c:ser>
          <c:idx val="2"/>
          <c:order val="2"/>
          <c:tx>
            <c:strRef>
              <c:f>Pivot_Charts!$D$2</c:f>
              <c:strCache>
                <c:ptCount val="1"/>
                <c:pt idx="0">
                  <c:v>Sum of Has_Scooty</c:v>
                </c:pt>
              </c:strCache>
            </c:strRef>
          </c:tx>
          <c:invertIfNegative val="0"/>
          <c:cat>
            <c:strRef>
              <c:f>Pivot_Charts!$A$3:$A$5</c:f>
              <c:strCache>
                <c:ptCount val="2"/>
                <c:pt idx="0">
                  <c:v>Female</c:v>
                </c:pt>
                <c:pt idx="1">
                  <c:v>Male</c:v>
                </c:pt>
              </c:strCache>
            </c:strRef>
          </c:cat>
          <c:val>
            <c:numRef>
              <c:f>Pivot_Charts!$D$3:$D$5</c:f>
              <c:numCache>
                <c:formatCode>General</c:formatCode>
                <c:ptCount val="2"/>
                <c:pt idx="0">
                  <c:v>146</c:v>
                </c:pt>
                <c:pt idx="1">
                  <c:v>19</c:v>
                </c:pt>
              </c:numCache>
            </c:numRef>
          </c:val>
        </c:ser>
        <c:ser>
          <c:idx val="3"/>
          <c:order val="3"/>
          <c:tx>
            <c:strRef>
              <c:f>Pivot_Charts!$E$2</c:f>
              <c:strCache>
                <c:ptCount val="1"/>
                <c:pt idx="0">
                  <c:v>Sum of Has_Commercial</c:v>
                </c:pt>
              </c:strCache>
            </c:strRef>
          </c:tx>
          <c:invertIfNegative val="0"/>
          <c:cat>
            <c:strRef>
              <c:f>Pivot_Charts!$A$3:$A$5</c:f>
              <c:strCache>
                <c:ptCount val="2"/>
                <c:pt idx="0">
                  <c:v>Female</c:v>
                </c:pt>
                <c:pt idx="1">
                  <c:v>Male</c:v>
                </c:pt>
              </c:strCache>
            </c:strRef>
          </c:cat>
          <c:val>
            <c:numRef>
              <c:f>Pivot_Charts!$E$3:$E$5</c:f>
              <c:numCache>
                <c:formatCode>General</c:formatCode>
                <c:ptCount val="2"/>
                <c:pt idx="0">
                  <c:v>2</c:v>
                </c:pt>
                <c:pt idx="1">
                  <c:v>84</c:v>
                </c:pt>
              </c:numCache>
            </c:numRef>
          </c:val>
        </c:ser>
        <c:dLbls>
          <c:showLegendKey val="0"/>
          <c:showVal val="0"/>
          <c:showCatName val="0"/>
          <c:showSerName val="0"/>
          <c:showPercent val="0"/>
          <c:showBubbleSize val="0"/>
        </c:dLbls>
        <c:gapWidth val="150"/>
        <c:overlap val="100"/>
        <c:axId val="213405056"/>
        <c:axId val="213419136"/>
      </c:barChart>
      <c:catAx>
        <c:axId val="213405056"/>
        <c:scaling>
          <c:orientation val="minMax"/>
        </c:scaling>
        <c:delete val="0"/>
        <c:axPos val="l"/>
        <c:majorTickMark val="out"/>
        <c:minorTickMark val="none"/>
        <c:tickLblPos val="nextTo"/>
        <c:crossAx val="213419136"/>
        <c:crosses val="autoZero"/>
        <c:auto val="1"/>
        <c:lblAlgn val="ctr"/>
        <c:lblOffset val="100"/>
        <c:noMultiLvlLbl val="0"/>
      </c:catAx>
      <c:valAx>
        <c:axId val="213419136"/>
        <c:scaling>
          <c:orientation val="minMax"/>
        </c:scaling>
        <c:delete val="0"/>
        <c:axPos val="b"/>
        <c:majorGridlines/>
        <c:numFmt formatCode="General" sourceLinked="1"/>
        <c:majorTickMark val="out"/>
        <c:minorTickMark val="none"/>
        <c:tickLblPos val="nextTo"/>
        <c:crossAx val="213405056"/>
        <c:crosses val="autoZero"/>
        <c:crossBetween val="between"/>
      </c:valAx>
    </c:plotArea>
    <c:legend>
      <c:legendPos val="r"/>
      <c:legendEntry>
        <c:idx val="0"/>
        <c:txPr>
          <a:bodyPr/>
          <a:lstStyle/>
          <a:p>
            <a:pPr>
              <a:defRPr sz="700"/>
            </a:pPr>
            <a:endParaRPr lang="en-US"/>
          </a:p>
        </c:txPr>
      </c:legendEntry>
      <c:legendEntry>
        <c:idx val="1"/>
        <c:txPr>
          <a:bodyPr/>
          <a:lstStyle/>
          <a:p>
            <a:pPr>
              <a:defRPr sz="700"/>
            </a:pPr>
            <a:endParaRPr lang="en-US"/>
          </a:p>
        </c:txPr>
      </c:legendEntry>
      <c:legendEntry>
        <c:idx val="2"/>
        <c:txPr>
          <a:bodyPr/>
          <a:lstStyle/>
          <a:p>
            <a:pPr>
              <a:defRPr sz="700"/>
            </a:pPr>
            <a:endParaRPr lang="en-US"/>
          </a:p>
        </c:txPr>
      </c:legendEntry>
      <c:legendEntry>
        <c:idx val="3"/>
        <c:txPr>
          <a:bodyPr/>
          <a:lstStyle/>
          <a:p>
            <a:pPr>
              <a:defRPr sz="700"/>
            </a:pPr>
            <a:endParaRPr lang="en-US"/>
          </a:p>
        </c:txPr>
      </c:legendEntry>
      <c:layout>
        <c:manualLayout>
          <c:xMode val="edge"/>
          <c:yMode val="edge"/>
          <c:x val="0.74603477690288711"/>
          <c:y val="0.23956984543598717"/>
          <c:w val="0.21785411198600174"/>
          <c:h val="0.40048993875765532"/>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title>
    <c:autoTitleDeleted val="0"/>
    <c:plotArea>
      <c:layout/>
      <c:barChart>
        <c:barDir val="bar"/>
        <c:grouping val="clustered"/>
        <c:varyColors val="0"/>
        <c:ser>
          <c:idx val="0"/>
          <c:order val="0"/>
          <c:tx>
            <c:strRef>
              <c:f>'Avg_Fuel(LMonth)'!$B$26</c:f>
              <c:strCache>
                <c:ptCount val="1"/>
                <c:pt idx="0">
                  <c:v>Avg_Fuel(L/month)</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'Avg_Fuel(LMonth)'!$A$27:$A$30</c:f>
              <c:strCache>
                <c:ptCount val="4"/>
                <c:pt idx="0">
                  <c:v>Bike owners</c:v>
                </c:pt>
                <c:pt idx="1">
                  <c:v>Scooty owners</c:v>
                </c:pt>
                <c:pt idx="2">
                  <c:v>Car owners</c:v>
                </c:pt>
                <c:pt idx="3">
                  <c:v>Commercial Vehicle owners</c:v>
                </c:pt>
              </c:strCache>
            </c:strRef>
          </c:cat>
          <c:val>
            <c:numRef>
              <c:f>'Avg_Fuel(LMonth)'!$B$27:$B$30</c:f>
              <c:numCache>
                <c:formatCode>General</c:formatCode>
                <c:ptCount val="4"/>
                <c:pt idx="0">
                  <c:v>10.504225352112677</c:v>
                </c:pt>
                <c:pt idx="1">
                  <c:v>7.1393939393939396</c:v>
                </c:pt>
                <c:pt idx="2">
                  <c:v>27.201183431952664</c:v>
                </c:pt>
                <c:pt idx="3">
                  <c:v>69.104651162790702</c:v>
                </c:pt>
              </c:numCache>
            </c:numRef>
          </c:val>
        </c:ser>
        <c:dLbls>
          <c:showLegendKey val="0"/>
          <c:showVal val="1"/>
          <c:showCatName val="0"/>
          <c:showSerName val="0"/>
          <c:showPercent val="0"/>
          <c:showBubbleSize val="0"/>
        </c:dLbls>
        <c:gapWidth val="150"/>
        <c:overlap val="-25"/>
        <c:axId val="213880192"/>
        <c:axId val="214001920"/>
      </c:barChart>
      <c:catAx>
        <c:axId val="213880192"/>
        <c:scaling>
          <c:orientation val="minMax"/>
        </c:scaling>
        <c:delete val="0"/>
        <c:axPos val="l"/>
        <c:numFmt formatCode="General" sourceLinked="0"/>
        <c:majorTickMark val="none"/>
        <c:minorTickMark val="none"/>
        <c:tickLblPos val="nextTo"/>
        <c:crossAx val="214001920"/>
        <c:crosses val="autoZero"/>
        <c:auto val="1"/>
        <c:lblAlgn val="ctr"/>
        <c:lblOffset val="100"/>
        <c:noMultiLvlLbl val="0"/>
      </c:catAx>
      <c:valAx>
        <c:axId val="214001920"/>
        <c:scaling>
          <c:orientation val="minMax"/>
        </c:scaling>
        <c:delete val="1"/>
        <c:axPos val="b"/>
        <c:numFmt formatCode="General" sourceLinked="1"/>
        <c:majorTickMark val="none"/>
        <c:minorTickMark val="none"/>
        <c:tickLblPos val="nextTo"/>
        <c:crossAx val="213880192"/>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bar"/>
        <c:grouping val="clustered"/>
        <c:varyColors val="0"/>
        <c:ser>
          <c:idx val="0"/>
          <c:order val="0"/>
          <c:tx>
            <c:strRef>
              <c:f>Avg_Fuel_Expense!$B$1</c:f>
              <c:strCache>
                <c:ptCount val="1"/>
                <c:pt idx="0">
                  <c:v>Avg Monthly Fuel Expense</c:v>
                </c:pt>
              </c:strCache>
            </c:strRef>
          </c:tx>
          <c:invertIfNegative val="0"/>
          <c:cat>
            <c:strRef>
              <c:f>Avg_Fuel_Expense!$A$2:$A$5</c:f>
              <c:strCache>
                <c:ptCount val="4"/>
                <c:pt idx="0">
                  <c:v>Bike owners</c:v>
                </c:pt>
                <c:pt idx="1">
                  <c:v>Scooty owners</c:v>
                </c:pt>
                <c:pt idx="2">
                  <c:v>Car owners</c:v>
                </c:pt>
                <c:pt idx="3">
                  <c:v>Commercial Vehicle owners</c:v>
                </c:pt>
              </c:strCache>
            </c:strRef>
          </c:cat>
          <c:val>
            <c:numRef>
              <c:f>Avg_Fuel_Expense!$B$2:$B$5</c:f>
              <c:numCache>
                <c:formatCode>General</c:formatCode>
                <c:ptCount val="4"/>
                <c:pt idx="0">
                  <c:v>4116.9802816901411</c:v>
                </c:pt>
                <c:pt idx="1">
                  <c:v>1413.1818181818182</c:v>
                </c:pt>
                <c:pt idx="2">
                  <c:v>5117.3313609467459</c:v>
                </c:pt>
                <c:pt idx="3">
                  <c:v>9236.0465116279065</c:v>
                </c:pt>
              </c:numCache>
            </c:numRef>
          </c:val>
        </c:ser>
        <c:dLbls>
          <c:showLegendKey val="0"/>
          <c:showVal val="0"/>
          <c:showCatName val="0"/>
          <c:showSerName val="0"/>
          <c:showPercent val="0"/>
          <c:showBubbleSize val="0"/>
        </c:dLbls>
        <c:gapWidth val="150"/>
        <c:axId val="214038400"/>
        <c:axId val="214039936"/>
      </c:barChart>
      <c:catAx>
        <c:axId val="214038400"/>
        <c:scaling>
          <c:orientation val="minMax"/>
        </c:scaling>
        <c:delete val="0"/>
        <c:axPos val="l"/>
        <c:majorTickMark val="out"/>
        <c:minorTickMark val="none"/>
        <c:tickLblPos val="nextTo"/>
        <c:crossAx val="214039936"/>
        <c:crosses val="autoZero"/>
        <c:auto val="1"/>
        <c:lblAlgn val="ctr"/>
        <c:lblOffset val="100"/>
        <c:noMultiLvlLbl val="0"/>
      </c:catAx>
      <c:valAx>
        <c:axId val="214039936"/>
        <c:scaling>
          <c:orientation val="minMax"/>
        </c:scaling>
        <c:delete val="0"/>
        <c:axPos val="b"/>
        <c:majorGridlines/>
        <c:numFmt formatCode="General" sourceLinked="1"/>
        <c:majorTickMark val="out"/>
        <c:minorTickMark val="none"/>
        <c:tickLblPos val="nextTo"/>
        <c:crossAx val="214038400"/>
        <c:crosses val="autoZero"/>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050" i="1"/>
              <a:t>Avg Per Capita Fuel Expense by Income Group</a:t>
            </a:r>
          </a:p>
        </c:rich>
      </c:tx>
      <c:overlay val="0"/>
    </c:title>
    <c:autoTitleDeleted val="0"/>
    <c:plotArea>
      <c:layout/>
      <c:barChart>
        <c:barDir val="bar"/>
        <c:grouping val="clustered"/>
        <c:varyColors val="0"/>
        <c:ser>
          <c:idx val="0"/>
          <c:order val="0"/>
          <c:tx>
            <c:strRef>
              <c:f>Per_Capita_Expenses!$I$17</c:f>
              <c:strCache>
                <c:ptCount val="1"/>
                <c:pt idx="0">
                  <c:v>Result</c:v>
                </c:pt>
              </c:strCache>
            </c:strRef>
          </c:tx>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Per_Capita_Expenses!$H$18:$H$23</c:f>
              <c:strCache>
                <c:ptCount val="6"/>
                <c:pt idx="0">
                  <c:v>below 10,000</c:v>
                </c:pt>
                <c:pt idx="1">
                  <c:v>10,000-30,000</c:v>
                </c:pt>
                <c:pt idx="2">
                  <c:v>30,000-50,000</c:v>
                </c:pt>
                <c:pt idx="3">
                  <c:v>50,000-70,000</c:v>
                </c:pt>
                <c:pt idx="4">
                  <c:v>70,000-1,00,000</c:v>
                </c:pt>
                <c:pt idx="5">
                  <c:v>above 1,00,000</c:v>
                </c:pt>
              </c:strCache>
            </c:strRef>
          </c:cat>
          <c:val>
            <c:numRef>
              <c:f>Per_Capita_Expenses!$I$18:$I$23</c:f>
              <c:numCache>
                <c:formatCode>_(* #,##0_);_(* \(#,##0\);_(* "-"_);_(@_)</c:formatCode>
                <c:ptCount val="6"/>
                <c:pt idx="0">
                  <c:v>319.39466666666658</c:v>
                </c:pt>
                <c:pt idx="1">
                  <c:v>418.69660537482315</c:v>
                </c:pt>
                <c:pt idx="2">
                  <c:v>803.53026038001371</c:v>
                </c:pt>
                <c:pt idx="3">
                  <c:v>1075.3976190476189</c:v>
                </c:pt>
                <c:pt idx="4">
                  <c:v>1446.8478260869565</c:v>
                </c:pt>
                <c:pt idx="5">
                  <c:v>2428.627450980392</c:v>
                </c:pt>
              </c:numCache>
            </c:numRef>
          </c:val>
        </c:ser>
        <c:dLbls>
          <c:showLegendKey val="0"/>
          <c:showVal val="0"/>
          <c:showCatName val="0"/>
          <c:showSerName val="0"/>
          <c:showPercent val="0"/>
          <c:showBubbleSize val="0"/>
        </c:dLbls>
        <c:gapWidth val="75"/>
        <c:overlap val="40"/>
        <c:axId val="214414080"/>
        <c:axId val="214415616"/>
      </c:barChart>
      <c:catAx>
        <c:axId val="214414080"/>
        <c:scaling>
          <c:orientation val="minMax"/>
        </c:scaling>
        <c:delete val="0"/>
        <c:axPos val="l"/>
        <c:numFmt formatCode="General" sourceLinked="0"/>
        <c:majorTickMark val="none"/>
        <c:minorTickMark val="none"/>
        <c:tickLblPos val="nextTo"/>
        <c:crossAx val="214415616"/>
        <c:crosses val="autoZero"/>
        <c:auto val="1"/>
        <c:lblAlgn val="ctr"/>
        <c:lblOffset val="100"/>
        <c:noMultiLvlLbl val="0"/>
      </c:catAx>
      <c:valAx>
        <c:axId val="214415616"/>
        <c:scaling>
          <c:orientation val="minMax"/>
        </c:scaling>
        <c:delete val="0"/>
        <c:axPos val="b"/>
        <c:majorGridlines/>
        <c:numFmt formatCode="_(* #,##0_);_(* \(#,##0\);_(* &quot;-&quot;_);_(@_)" sourceLinked="1"/>
        <c:majorTickMark val="none"/>
        <c:minorTickMark val="none"/>
        <c:tickLblPos val="nextTo"/>
        <c:crossAx val="214414080"/>
        <c:crosses val="autoZero"/>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cat>
            <c:strRef>
              <c:f>Histogram!$A$4:$A$12</c:f>
              <c:strCache>
                <c:ptCount val="9"/>
                <c:pt idx="0">
                  <c:v>500</c:v>
                </c:pt>
                <c:pt idx="1">
                  <c:v>1000</c:v>
                </c:pt>
                <c:pt idx="2">
                  <c:v>1500</c:v>
                </c:pt>
                <c:pt idx="3">
                  <c:v>2000</c:v>
                </c:pt>
                <c:pt idx="4">
                  <c:v>2500</c:v>
                </c:pt>
                <c:pt idx="5">
                  <c:v>3000</c:v>
                </c:pt>
                <c:pt idx="6">
                  <c:v>3500</c:v>
                </c:pt>
                <c:pt idx="7">
                  <c:v>4000</c:v>
                </c:pt>
                <c:pt idx="8">
                  <c:v>More</c:v>
                </c:pt>
              </c:strCache>
            </c:strRef>
          </c:cat>
          <c:val>
            <c:numRef>
              <c:f>Histogram!$B$4:$B$12</c:f>
              <c:numCache>
                <c:formatCode>General</c:formatCode>
                <c:ptCount val="9"/>
                <c:pt idx="0">
                  <c:v>304</c:v>
                </c:pt>
                <c:pt idx="1">
                  <c:v>109</c:v>
                </c:pt>
                <c:pt idx="2">
                  <c:v>69</c:v>
                </c:pt>
                <c:pt idx="3">
                  <c:v>45</c:v>
                </c:pt>
                <c:pt idx="4">
                  <c:v>25</c:v>
                </c:pt>
                <c:pt idx="5">
                  <c:v>4</c:v>
                </c:pt>
                <c:pt idx="6">
                  <c:v>5</c:v>
                </c:pt>
                <c:pt idx="7">
                  <c:v>5</c:v>
                </c:pt>
                <c:pt idx="8">
                  <c:v>1</c:v>
                </c:pt>
              </c:numCache>
            </c:numRef>
          </c:val>
        </c:ser>
        <c:dLbls>
          <c:showLegendKey val="0"/>
          <c:showVal val="0"/>
          <c:showCatName val="0"/>
          <c:showSerName val="0"/>
          <c:showPercent val="0"/>
          <c:showBubbleSize val="0"/>
        </c:dLbls>
        <c:gapWidth val="0"/>
        <c:axId val="214360448"/>
        <c:axId val="214362368"/>
      </c:barChart>
      <c:catAx>
        <c:axId val="214360448"/>
        <c:scaling>
          <c:orientation val="minMax"/>
        </c:scaling>
        <c:delete val="0"/>
        <c:axPos val="b"/>
        <c:title>
          <c:tx>
            <c:rich>
              <a:bodyPr/>
              <a:lstStyle/>
              <a:p>
                <a:pPr>
                  <a:defRPr/>
                </a:pPr>
                <a:r>
                  <a:rPr lang="en-IN"/>
                  <a:t>Per</a:t>
                </a:r>
                <a:r>
                  <a:rPr lang="en-IN" baseline="0"/>
                  <a:t> Capita Income</a:t>
                </a:r>
                <a:endParaRPr lang="en-IN"/>
              </a:p>
            </c:rich>
          </c:tx>
          <c:overlay val="0"/>
        </c:title>
        <c:numFmt formatCode="General" sourceLinked="0"/>
        <c:majorTickMark val="out"/>
        <c:minorTickMark val="none"/>
        <c:tickLblPos val="nextTo"/>
        <c:crossAx val="214362368"/>
        <c:crosses val="autoZero"/>
        <c:auto val="1"/>
        <c:lblAlgn val="ctr"/>
        <c:lblOffset val="100"/>
        <c:noMultiLvlLbl val="0"/>
      </c:catAx>
      <c:valAx>
        <c:axId val="214362368"/>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214360448"/>
        <c:crosses val="autoZero"/>
        <c:crossBetween val="between"/>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sz="1400" b="0" i="0" u="none" strike="noStrike" baseline="0">
                <a:effectLst/>
              </a:rPr>
              <a:t>Income vs Fuel Expense</a:t>
            </a:r>
            <a:r>
              <a:rPr lang="en-IN" sz="1400" b="1" i="0" u="none" strike="noStrike" baseline="0"/>
              <a:t> </a:t>
            </a:r>
            <a:r>
              <a:rPr lang="en-US" sz="1400"/>
              <a:t> 
</a:t>
            </a:r>
          </a:p>
        </c:rich>
      </c:tx>
      <c:layout>
        <c:manualLayout>
          <c:xMode val="edge"/>
          <c:yMode val="edge"/>
          <c:x val="0.28460445510544896"/>
          <c:y val="3.2520325203252036E-2"/>
        </c:manualLayout>
      </c:layout>
      <c:overlay val="0"/>
    </c:title>
    <c:autoTitleDeleted val="0"/>
    <c:plotArea>
      <c:layout/>
      <c:scatterChart>
        <c:scatterStyle val="lineMarker"/>
        <c:varyColors val="0"/>
        <c:ser>
          <c:idx val="0"/>
          <c:order val="0"/>
          <c:tx>
            <c:strRef>
              <c:f>Correlation!$G$1</c:f>
              <c:strCache>
                <c:ptCount val="1"/>
                <c:pt idx="0">
                  <c:v>Total_monthly_fuel_expense 
</c:v>
                </c:pt>
              </c:strCache>
            </c:strRef>
          </c:tx>
          <c:spPr>
            <a:ln w="19050">
              <a:noFill/>
            </a:ln>
          </c:spPr>
          <c:trendline>
            <c:trendlineType val="linear"/>
            <c:dispRSqr val="1"/>
            <c:dispEq val="0"/>
            <c:trendlineLbl>
              <c:layout>
                <c:manualLayout>
                  <c:x val="0.20167846934703287"/>
                  <c:y val="-6.5047234949289878E-2"/>
                </c:manualLayout>
              </c:layout>
              <c:numFmt formatCode="General" sourceLinked="0"/>
            </c:trendlineLbl>
          </c:trendline>
          <c:xVal>
            <c:numRef>
              <c:f>Correlation!$F$2:$F$568</c:f>
              <c:numCache>
                <c:formatCode>General</c:formatCode>
                <c:ptCount val="567"/>
                <c:pt idx="0">
                  <c:v>5000</c:v>
                </c:pt>
                <c:pt idx="1">
                  <c:v>20000</c:v>
                </c:pt>
                <c:pt idx="2">
                  <c:v>20000</c:v>
                </c:pt>
                <c:pt idx="3">
                  <c:v>20000</c:v>
                </c:pt>
                <c:pt idx="4">
                  <c:v>40000</c:v>
                </c:pt>
                <c:pt idx="5">
                  <c:v>5000</c:v>
                </c:pt>
                <c:pt idx="6">
                  <c:v>40000</c:v>
                </c:pt>
                <c:pt idx="7">
                  <c:v>20000</c:v>
                </c:pt>
                <c:pt idx="8">
                  <c:v>40000</c:v>
                </c:pt>
                <c:pt idx="9">
                  <c:v>125000</c:v>
                </c:pt>
                <c:pt idx="10">
                  <c:v>5000</c:v>
                </c:pt>
                <c:pt idx="11">
                  <c:v>40000</c:v>
                </c:pt>
                <c:pt idx="12">
                  <c:v>60000</c:v>
                </c:pt>
                <c:pt idx="13">
                  <c:v>60000</c:v>
                </c:pt>
                <c:pt idx="14">
                  <c:v>40000</c:v>
                </c:pt>
                <c:pt idx="15">
                  <c:v>5000</c:v>
                </c:pt>
                <c:pt idx="16">
                  <c:v>5000</c:v>
                </c:pt>
                <c:pt idx="17">
                  <c:v>40000</c:v>
                </c:pt>
                <c:pt idx="18">
                  <c:v>5000</c:v>
                </c:pt>
                <c:pt idx="19">
                  <c:v>40000</c:v>
                </c:pt>
                <c:pt idx="20">
                  <c:v>40000</c:v>
                </c:pt>
                <c:pt idx="21">
                  <c:v>85000</c:v>
                </c:pt>
                <c:pt idx="22">
                  <c:v>5000</c:v>
                </c:pt>
                <c:pt idx="23">
                  <c:v>20000</c:v>
                </c:pt>
                <c:pt idx="24">
                  <c:v>20000</c:v>
                </c:pt>
                <c:pt idx="25">
                  <c:v>60000</c:v>
                </c:pt>
                <c:pt idx="26">
                  <c:v>40000</c:v>
                </c:pt>
                <c:pt idx="27">
                  <c:v>20000</c:v>
                </c:pt>
                <c:pt idx="28">
                  <c:v>5000</c:v>
                </c:pt>
                <c:pt idx="29">
                  <c:v>60000</c:v>
                </c:pt>
                <c:pt idx="30">
                  <c:v>40000</c:v>
                </c:pt>
                <c:pt idx="31">
                  <c:v>85000</c:v>
                </c:pt>
                <c:pt idx="32">
                  <c:v>20000</c:v>
                </c:pt>
                <c:pt idx="33">
                  <c:v>60000</c:v>
                </c:pt>
                <c:pt idx="34">
                  <c:v>40000</c:v>
                </c:pt>
                <c:pt idx="35">
                  <c:v>20000</c:v>
                </c:pt>
                <c:pt idx="36">
                  <c:v>5000</c:v>
                </c:pt>
                <c:pt idx="37">
                  <c:v>85000</c:v>
                </c:pt>
                <c:pt idx="38">
                  <c:v>60000</c:v>
                </c:pt>
                <c:pt idx="39">
                  <c:v>20000</c:v>
                </c:pt>
                <c:pt idx="40">
                  <c:v>5000</c:v>
                </c:pt>
                <c:pt idx="41">
                  <c:v>125000</c:v>
                </c:pt>
                <c:pt idx="42">
                  <c:v>5000</c:v>
                </c:pt>
                <c:pt idx="43">
                  <c:v>20000</c:v>
                </c:pt>
                <c:pt idx="44">
                  <c:v>40000</c:v>
                </c:pt>
                <c:pt idx="45">
                  <c:v>40000</c:v>
                </c:pt>
                <c:pt idx="46">
                  <c:v>20000</c:v>
                </c:pt>
                <c:pt idx="47">
                  <c:v>85000</c:v>
                </c:pt>
                <c:pt idx="48">
                  <c:v>5000</c:v>
                </c:pt>
                <c:pt idx="49">
                  <c:v>60000</c:v>
                </c:pt>
                <c:pt idx="50">
                  <c:v>5000</c:v>
                </c:pt>
                <c:pt idx="51">
                  <c:v>40000</c:v>
                </c:pt>
                <c:pt idx="52">
                  <c:v>20000</c:v>
                </c:pt>
                <c:pt idx="53">
                  <c:v>5000</c:v>
                </c:pt>
                <c:pt idx="54">
                  <c:v>5000</c:v>
                </c:pt>
                <c:pt idx="55">
                  <c:v>40000</c:v>
                </c:pt>
                <c:pt idx="56">
                  <c:v>5000</c:v>
                </c:pt>
                <c:pt idx="57">
                  <c:v>20000</c:v>
                </c:pt>
                <c:pt idx="58">
                  <c:v>20000</c:v>
                </c:pt>
                <c:pt idx="59">
                  <c:v>5000</c:v>
                </c:pt>
                <c:pt idx="60">
                  <c:v>5000</c:v>
                </c:pt>
                <c:pt idx="61">
                  <c:v>40000</c:v>
                </c:pt>
                <c:pt idx="62">
                  <c:v>20000</c:v>
                </c:pt>
                <c:pt idx="63">
                  <c:v>60000</c:v>
                </c:pt>
                <c:pt idx="64">
                  <c:v>5000</c:v>
                </c:pt>
                <c:pt idx="65">
                  <c:v>20000</c:v>
                </c:pt>
                <c:pt idx="66">
                  <c:v>85000</c:v>
                </c:pt>
                <c:pt idx="67">
                  <c:v>40000</c:v>
                </c:pt>
                <c:pt idx="68">
                  <c:v>5000</c:v>
                </c:pt>
                <c:pt idx="69">
                  <c:v>60000</c:v>
                </c:pt>
                <c:pt idx="70">
                  <c:v>40000</c:v>
                </c:pt>
                <c:pt idx="71">
                  <c:v>40000</c:v>
                </c:pt>
                <c:pt idx="72">
                  <c:v>40000</c:v>
                </c:pt>
                <c:pt idx="73">
                  <c:v>5000</c:v>
                </c:pt>
                <c:pt idx="74">
                  <c:v>20000</c:v>
                </c:pt>
                <c:pt idx="75">
                  <c:v>60000</c:v>
                </c:pt>
                <c:pt idx="76">
                  <c:v>125000</c:v>
                </c:pt>
                <c:pt idx="77">
                  <c:v>20000</c:v>
                </c:pt>
                <c:pt idx="78">
                  <c:v>5000</c:v>
                </c:pt>
                <c:pt idx="79">
                  <c:v>5000</c:v>
                </c:pt>
                <c:pt idx="80">
                  <c:v>60000</c:v>
                </c:pt>
                <c:pt idx="81">
                  <c:v>20000</c:v>
                </c:pt>
                <c:pt idx="82">
                  <c:v>40000</c:v>
                </c:pt>
                <c:pt idx="83">
                  <c:v>60000</c:v>
                </c:pt>
                <c:pt idx="84">
                  <c:v>40000</c:v>
                </c:pt>
                <c:pt idx="85">
                  <c:v>60000</c:v>
                </c:pt>
                <c:pt idx="86">
                  <c:v>20000</c:v>
                </c:pt>
                <c:pt idx="87">
                  <c:v>5000</c:v>
                </c:pt>
                <c:pt idx="88">
                  <c:v>40000</c:v>
                </c:pt>
                <c:pt idx="89">
                  <c:v>20000</c:v>
                </c:pt>
                <c:pt idx="90">
                  <c:v>20000</c:v>
                </c:pt>
                <c:pt idx="91">
                  <c:v>40000</c:v>
                </c:pt>
                <c:pt idx="92">
                  <c:v>20000</c:v>
                </c:pt>
                <c:pt idx="93">
                  <c:v>40000</c:v>
                </c:pt>
                <c:pt idx="94">
                  <c:v>20000</c:v>
                </c:pt>
                <c:pt idx="95">
                  <c:v>5000</c:v>
                </c:pt>
                <c:pt idx="96">
                  <c:v>40000</c:v>
                </c:pt>
                <c:pt idx="97">
                  <c:v>60000</c:v>
                </c:pt>
                <c:pt idx="98">
                  <c:v>40000</c:v>
                </c:pt>
                <c:pt idx="99">
                  <c:v>20000</c:v>
                </c:pt>
                <c:pt idx="100">
                  <c:v>5000</c:v>
                </c:pt>
                <c:pt idx="101">
                  <c:v>40000</c:v>
                </c:pt>
                <c:pt idx="102">
                  <c:v>40000</c:v>
                </c:pt>
                <c:pt idx="103">
                  <c:v>20000</c:v>
                </c:pt>
                <c:pt idx="104">
                  <c:v>40000</c:v>
                </c:pt>
                <c:pt idx="105">
                  <c:v>20000</c:v>
                </c:pt>
                <c:pt idx="106">
                  <c:v>40000</c:v>
                </c:pt>
                <c:pt idx="107">
                  <c:v>40000</c:v>
                </c:pt>
                <c:pt idx="108">
                  <c:v>20000</c:v>
                </c:pt>
                <c:pt idx="109">
                  <c:v>60000</c:v>
                </c:pt>
                <c:pt idx="110">
                  <c:v>40000</c:v>
                </c:pt>
                <c:pt idx="111">
                  <c:v>5000</c:v>
                </c:pt>
                <c:pt idx="112">
                  <c:v>60000</c:v>
                </c:pt>
                <c:pt idx="113">
                  <c:v>20000</c:v>
                </c:pt>
                <c:pt idx="114">
                  <c:v>85000</c:v>
                </c:pt>
                <c:pt idx="115">
                  <c:v>20000</c:v>
                </c:pt>
                <c:pt idx="116">
                  <c:v>125000</c:v>
                </c:pt>
                <c:pt idx="117">
                  <c:v>40000</c:v>
                </c:pt>
                <c:pt idx="118">
                  <c:v>20000</c:v>
                </c:pt>
                <c:pt idx="119">
                  <c:v>20000</c:v>
                </c:pt>
                <c:pt idx="120">
                  <c:v>20000</c:v>
                </c:pt>
                <c:pt idx="121">
                  <c:v>5000</c:v>
                </c:pt>
                <c:pt idx="122">
                  <c:v>20000</c:v>
                </c:pt>
                <c:pt idx="123">
                  <c:v>40000</c:v>
                </c:pt>
                <c:pt idx="124">
                  <c:v>5000</c:v>
                </c:pt>
                <c:pt idx="125">
                  <c:v>60000</c:v>
                </c:pt>
                <c:pt idx="126">
                  <c:v>20000</c:v>
                </c:pt>
                <c:pt idx="127">
                  <c:v>20000</c:v>
                </c:pt>
                <c:pt idx="128">
                  <c:v>5000</c:v>
                </c:pt>
                <c:pt idx="129">
                  <c:v>125000</c:v>
                </c:pt>
                <c:pt idx="130">
                  <c:v>5000</c:v>
                </c:pt>
                <c:pt idx="131">
                  <c:v>20000</c:v>
                </c:pt>
                <c:pt idx="132">
                  <c:v>40000</c:v>
                </c:pt>
                <c:pt idx="133">
                  <c:v>40000</c:v>
                </c:pt>
                <c:pt idx="134">
                  <c:v>5000</c:v>
                </c:pt>
                <c:pt idx="135">
                  <c:v>40000</c:v>
                </c:pt>
                <c:pt idx="136">
                  <c:v>20000</c:v>
                </c:pt>
                <c:pt idx="137">
                  <c:v>60000</c:v>
                </c:pt>
                <c:pt idx="138">
                  <c:v>5000</c:v>
                </c:pt>
                <c:pt idx="139">
                  <c:v>125000</c:v>
                </c:pt>
                <c:pt idx="140">
                  <c:v>5000</c:v>
                </c:pt>
                <c:pt idx="141">
                  <c:v>40000</c:v>
                </c:pt>
                <c:pt idx="142">
                  <c:v>20000</c:v>
                </c:pt>
                <c:pt idx="143">
                  <c:v>40000</c:v>
                </c:pt>
                <c:pt idx="144">
                  <c:v>20000</c:v>
                </c:pt>
                <c:pt idx="145">
                  <c:v>20000</c:v>
                </c:pt>
                <c:pt idx="146">
                  <c:v>20000</c:v>
                </c:pt>
                <c:pt idx="147">
                  <c:v>20000</c:v>
                </c:pt>
                <c:pt idx="148">
                  <c:v>5000</c:v>
                </c:pt>
                <c:pt idx="149">
                  <c:v>40000</c:v>
                </c:pt>
                <c:pt idx="150">
                  <c:v>60000</c:v>
                </c:pt>
                <c:pt idx="151">
                  <c:v>5000</c:v>
                </c:pt>
                <c:pt idx="152">
                  <c:v>40000</c:v>
                </c:pt>
                <c:pt idx="153">
                  <c:v>5000</c:v>
                </c:pt>
                <c:pt idx="154">
                  <c:v>85000</c:v>
                </c:pt>
                <c:pt idx="155">
                  <c:v>20000</c:v>
                </c:pt>
                <c:pt idx="156">
                  <c:v>40000</c:v>
                </c:pt>
                <c:pt idx="157">
                  <c:v>40000</c:v>
                </c:pt>
                <c:pt idx="158">
                  <c:v>40000</c:v>
                </c:pt>
                <c:pt idx="159">
                  <c:v>5000</c:v>
                </c:pt>
                <c:pt idx="160">
                  <c:v>20000</c:v>
                </c:pt>
                <c:pt idx="161">
                  <c:v>5000</c:v>
                </c:pt>
                <c:pt idx="162">
                  <c:v>40000</c:v>
                </c:pt>
                <c:pt idx="163">
                  <c:v>5000</c:v>
                </c:pt>
                <c:pt idx="164">
                  <c:v>60000</c:v>
                </c:pt>
                <c:pt idx="165">
                  <c:v>40000</c:v>
                </c:pt>
                <c:pt idx="166">
                  <c:v>40000</c:v>
                </c:pt>
                <c:pt idx="167">
                  <c:v>40000</c:v>
                </c:pt>
                <c:pt idx="168">
                  <c:v>85000</c:v>
                </c:pt>
                <c:pt idx="169">
                  <c:v>5000</c:v>
                </c:pt>
                <c:pt idx="170">
                  <c:v>60000</c:v>
                </c:pt>
                <c:pt idx="171">
                  <c:v>40000</c:v>
                </c:pt>
                <c:pt idx="172">
                  <c:v>125000</c:v>
                </c:pt>
                <c:pt idx="173">
                  <c:v>85000</c:v>
                </c:pt>
                <c:pt idx="174">
                  <c:v>20000</c:v>
                </c:pt>
                <c:pt idx="175">
                  <c:v>5000</c:v>
                </c:pt>
                <c:pt idx="176">
                  <c:v>60000</c:v>
                </c:pt>
                <c:pt idx="177">
                  <c:v>40000</c:v>
                </c:pt>
                <c:pt idx="178">
                  <c:v>5000</c:v>
                </c:pt>
                <c:pt idx="179">
                  <c:v>40000</c:v>
                </c:pt>
                <c:pt idx="180">
                  <c:v>85000</c:v>
                </c:pt>
                <c:pt idx="181">
                  <c:v>60000</c:v>
                </c:pt>
                <c:pt idx="182">
                  <c:v>20000</c:v>
                </c:pt>
                <c:pt idx="183">
                  <c:v>5000</c:v>
                </c:pt>
                <c:pt idx="184">
                  <c:v>5000</c:v>
                </c:pt>
                <c:pt idx="185">
                  <c:v>5000</c:v>
                </c:pt>
                <c:pt idx="186">
                  <c:v>20000</c:v>
                </c:pt>
                <c:pt idx="187">
                  <c:v>40000</c:v>
                </c:pt>
                <c:pt idx="188">
                  <c:v>5000</c:v>
                </c:pt>
                <c:pt idx="189">
                  <c:v>5000</c:v>
                </c:pt>
                <c:pt idx="190">
                  <c:v>20000</c:v>
                </c:pt>
                <c:pt idx="191">
                  <c:v>5000</c:v>
                </c:pt>
                <c:pt idx="192">
                  <c:v>5000</c:v>
                </c:pt>
                <c:pt idx="193">
                  <c:v>20000</c:v>
                </c:pt>
                <c:pt idx="194">
                  <c:v>125000</c:v>
                </c:pt>
                <c:pt idx="195">
                  <c:v>5000</c:v>
                </c:pt>
                <c:pt idx="196">
                  <c:v>5000</c:v>
                </c:pt>
                <c:pt idx="197">
                  <c:v>5000</c:v>
                </c:pt>
                <c:pt idx="198">
                  <c:v>5000</c:v>
                </c:pt>
                <c:pt idx="199">
                  <c:v>5000</c:v>
                </c:pt>
                <c:pt idx="200">
                  <c:v>5000</c:v>
                </c:pt>
                <c:pt idx="201">
                  <c:v>60000</c:v>
                </c:pt>
                <c:pt idx="202">
                  <c:v>20000</c:v>
                </c:pt>
                <c:pt idx="203">
                  <c:v>20000</c:v>
                </c:pt>
                <c:pt idx="204">
                  <c:v>85000</c:v>
                </c:pt>
                <c:pt idx="205">
                  <c:v>40000</c:v>
                </c:pt>
                <c:pt idx="206">
                  <c:v>40000</c:v>
                </c:pt>
                <c:pt idx="207">
                  <c:v>20000</c:v>
                </c:pt>
                <c:pt idx="208">
                  <c:v>5000</c:v>
                </c:pt>
                <c:pt idx="209">
                  <c:v>5000</c:v>
                </c:pt>
                <c:pt idx="210">
                  <c:v>5000</c:v>
                </c:pt>
                <c:pt idx="211">
                  <c:v>5000</c:v>
                </c:pt>
                <c:pt idx="212">
                  <c:v>5000</c:v>
                </c:pt>
                <c:pt idx="213">
                  <c:v>5000</c:v>
                </c:pt>
                <c:pt idx="214">
                  <c:v>40000</c:v>
                </c:pt>
                <c:pt idx="215">
                  <c:v>20000</c:v>
                </c:pt>
                <c:pt idx="216">
                  <c:v>40000</c:v>
                </c:pt>
                <c:pt idx="217">
                  <c:v>60000</c:v>
                </c:pt>
                <c:pt idx="218">
                  <c:v>5000</c:v>
                </c:pt>
                <c:pt idx="219">
                  <c:v>40000</c:v>
                </c:pt>
                <c:pt idx="220">
                  <c:v>40000</c:v>
                </c:pt>
                <c:pt idx="221">
                  <c:v>60000</c:v>
                </c:pt>
                <c:pt idx="222">
                  <c:v>125000</c:v>
                </c:pt>
                <c:pt idx="223">
                  <c:v>5000</c:v>
                </c:pt>
                <c:pt idx="224">
                  <c:v>60000</c:v>
                </c:pt>
                <c:pt idx="225">
                  <c:v>40000</c:v>
                </c:pt>
                <c:pt idx="226">
                  <c:v>125000</c:v>
                </c:pt>
                <c:pt idx="227">
                  <c:v>20000</c:v>
                </c:pt>
                <c:pt idx="228">
                  <c:v>40000</c:v>
                </c:pt>
                <c:pt idx="229">
                  <c:v>5000</c:v>
                </c:pt>
                <c:pt idx="230">
                  <c:v>40000</c:v>
                </c:pt>
                <c:pt idx="231">
                  <c:v>5000</c:v>
                </c:pt>
                <c:pt idx="232">
                  <c:v>40000</c:v>
                </c:pt>
                <c:pt idx="233">
                  <c:v>60000</c:v>
                </c:pt>
                <c:pt idx="234">
                  <c:v>125000</c:v>
                </c:pt>
                <c:pt idx="235">
                  <c:v>20000</c:v>
                </c:pt>
                <c:pt idx="236">
                  <c:v>40000</c:v>
                </c:pt>
                <c:pt idx="237">
                  <c:v>5000</c:v>
                </c:pt>
                <c:pt idx="238">
                  <c:v>40000</c:v>
                </c:pt>
                <c:pt idx="239">
                  <c:v>40000</c:v>
                </c:pt>
                <c:pt idx="240">
                  <c:v>40000</c:v>
                </c:pt>
                <c:pt idx="241">
                  <c:v>40000</c:v>
                </c:pt>
                <c:pt idx="242">
                  <c:v>85000</c:v>
                </c:pt>
                <c:pt idx="243">
                  <c:v>5000</c:v>
                </c:pt>
                <c:pt idx="244">
                  <c:v>60000</c:v>
                </c:pt>
                <c:pt idx="245">
                  <c:v>60000</c:v>
                </c:pt>
                <c:pt idx="246">
                  <c:v>20000</c:v>
                </c:pt>
                <c:pt idx="247">
                  <c:v>40000</c:v>
                </c:pt>
                <c:pt idx="248">
                  <c:v>60000</c:v>
                </c:pt>
                <c:pt idx="249">
                  <c:v>40000</c:v>
                </c:pt>
                <c:pt idx="250">
                  <c:v>40000</c:v>
                </c:pt>
                <c:pt idx="251">
                  <c:v>20000</c:v>
                </c:pt>
                <c:pt idx="252">
                  <c:v>60000</c:v>
                </c:pt>
                <c:pt idx="253">
                  <c:v>40000</c:v>
                </c:pt>
                <c:pt idx="254">
                  <c:v>40000</c:v>
                </c:pt>
                <c:pt idx="255">
                  <c:v>40000</c:v>
                </c:pt>
                <c:pt idx="256">
                  <c:v>40000</c:v>
                </c:pt>
                <c:pt idx="257">
                  <c:v>125000</c:v>
                </c:pt>
                <c:pt idx="258">
                  <c:v>5000</c:v>
                </c:pt>
                <c:pt idx="259">
                  <c:v>60000</c:v>
                </c:pt>
                <c:pt idx="260">
                  <c:v>40000</c:v>
                </c:pt>
                <c:pt idx="261">
                  <c:v>40000</c:v>
                </c:pt>
                <c:pt idx="262">
                  <c:v>85000</c:v>
                </c:pt>
                <c:pt idx="263">
                  <c:v>40000</c:v>
                </c:pt>
                <c:pt idx="264">
                  <c:v>40000</c:v>
                </c:pt>
                <c:pt idx="265">
                  <c:v>5000</c:v>
                </c:pt>
                <c:pt idx="266">
                  <c:v>60000</c:v>
                </c:pt>
                <c:pt idx="267">
                  <c:v>40000</c:v>
                </c:pt>
                <c:pt idx="268">
                  <c:v>125000</c:v>
                </c:pt>
                <c:pt idx="269">
                  <c:v>20000</c:v>
                </c:pt>
                <c:pt idx="270">
                  <c:v>40000</c:v>
                </c:pt>
                <c:pt idx="271">
                  <c:v>5000</c:v>
                </c:pt>
                <c:pt idx="272">
                  <c:v>60000</c:v>
                </c:pt>
                <c:pt idx="273">
                  <c:v>40000</c:v>
                </c:pt>
                <c:pt idx="274">
                  <c:v>40000</c:v>
                </c:pt>
                <c:pt idx="275">
                  <c:v>40000</c:v>
                </c:pt>
                <c:pt idx="276">
                  <c:v>40000</c:v>
                </c:pt>
                <c:pt idx="277">
                  <c:v>125000</c:v>
                </c:pt>
                <c:pt idx="278">
                  <c:v>5000</c:v>
                </c:pt>
                <c:pt idx="279">
                  <c:v>60000</c:v>
                </c:pt>
                <c:pt idx="280">
                  <c:v>5000</c:v>
                </c:pt>
                <c:pt idx="281">
                  <c:v>20000</c:v>
                </c:pt>
                <c:pt idx="282">
                  <c:v>60000</c:v>
                </c:pt>
                <c:pt idx="283">
                  <c:v>5000</c:v>
                </c:pt>
                <c:pt idx="284">
                  <c:v>40000</c:v>
                </c:pt>
                <c:pt idx="285">
                  <c:v>60000</c:v>
                </c:pt>
                <c:pt idx="286">
                  <c:v>40000</c:v>
                </c:pt>
                <c:pt idx="287">
                  <c:v>40000</c:v>
                </c:pt>
                <c:pt idx="288">
                  <c:v>5000</c:v>
                </c:pt>
                <c:pt idx="289">
                  <c:v>40000</c:v>
                </c:pt>
                <c:pt idx="290">
                  <c:v>40000</c:v>
                </c:pt>
                <c:pt idx="291">
                  <c:v>5000</c:v>
                </c:pt>
                <c:pt idx="292">
                  <c:v>40000</c:v>
                </c:pt>
                <c:pt idx="293">
                  <c:v>40000</c:v>
                </c:pt>
                <c:pt idx="294">
                  <c:v>60000</c:v>
                </c:pt>
                <c:pt idx="295">
                  <c:v>5000</c:v>
                </c:pt>
                <c:pt idx="296">
                  <c:v>60000</c:v>
                </c:pt>
                <c:pt idx="297">
                  <c:v>40000</c:v>
                </c:pt>
                <c:pt idx="298">
                  <c:v>20000</c:v>
                </c:pt>
                <c:pt idx="299">
                  <c:v>60000</c:v>
                </c:pt>
                <c:pt idx="300">
                  <c:v>40000</c:v>
                </c:pt>
                <c:pt idx="301">
                  <c:v>5000</c:v>
                </c:pt>
                <c:pt idx="302">
                  <c:v>60000</c:v>
                </c:pt>
                <c:pt idx="303">
                  <c:v>40000</c:v>
                </c:pt>
                <c:pt idx="304">
                  <c:v>60000</c:v>
                </c:pt>
                <c:pt idx="305">
                  <c:v>40000</c:v>
                </c:pt>
                <c:pt idx="306">
                  <c:v>40000</c:v>
                </c:pt>
                <c:pt idx="307">
                  <c:v>40000</c:v>
                </c:pt>
                <c:pt idx="308">
                  <c:v>20000</c:v>
                </c:pt>
                <c:pt idx="309">
                  <c:v>60000</c:v>
                </c:pt>
                <c:pt idx="310">
                  <c:v>40000</c:v>
                </c:pt>
                <c:pt idx="311">
                  <c:v>40000</c:v>
                </c:pt>
                <c:pt idx="312">
                  <c:v>40000</c:v>
                </c:pt>
                <c:pt idx="313">
                  <c:v>5000</c:v>
                </c:pt>
                <c:pt idx="314">
                  <c:v>40000</c:v>
                </c:pt>
                <c:pt idx="315">
                  <c:v>20000</c:v>
                </c:pt>
                <c:pt idx="316">
                  <c:v>60000</c:v>
                </c:pt>
                <c:pt idx="317">
                  <c:v>60000</c:v>
                </c:pt>
                <c:pt idx="318">
                  <c:v>20000</c:v>
                </c:pt>
                <c:pt idx="319">
                  <c:v>40000</c:v>
                </c:pt>
                <c:pt idx="320">
                  <c:v>40000</c:v>
                </c:pt>
                <c:pt idx="321">
                  <c:v>5000</c:v>
                </c:pt>
                <c:pt idx="322">
                  <c:v>20000</c:v>
                </c:pt>
                <c:pt idx="323">
                  <c:v>40000</c:v>
                </c:pt>
                <c:pt idx="324">
                  <c:v>40000</c:v>
                </c:pt>
                <c:pt idx="325">
                  <c:v>60000</c:v>
                </c:pt>
                <c:pt idx="326">
                  <c:v>5000</c:v>
                </c:pt>
                <c:pt idx="327">
                  <c:v>40000</c:v>
                </c:pt>
                <c:pt idx="328">
                  <c:v>20000</c:v>
                </c:pt>
                <c:pt idx="329">
                  <c:v>40000</c:v>
                </c:pt>
                <c:pt idx="330">
                  <c:v>40000</c:v>
                </c:pt>
                <c:pt idx="331">
                  <c:v>40000</c:v>
                </c:pt>
                <c:pt idx="332">
                  <c:v>5000</c:v>
                </c:pt>
                <c:pt idx="333">
                  <c:v>40000</c:v>
                </c:pt>
                <c:pt idx="334">
                  <c:v>20000</c:v>
                </c:pt>
                <c:pt idx="335">
                  <c:v>60000</c:v>
                </c:pt>
                <c:pt idx="336">
                  <c:v>5000</c:v>
                </c:pt>
                <c:pt idx="337">
                  <c:v>60000</c:v>
                </c:pt>
                <c:pt idx="338">
                  <c:v>40000</c:v>
                </c:pt>
                <c:pt idx="339">
                  <c:v>5000</c:v>
                </c:pt>
                <c:pt idx="340">
                  <c:v>40000</c:v>
                </c:pt>
                <c:pt idx="341">
                  <c:v>40000</c:v>
                </c:pt>
                <c:pt idx="342">
                  <c:v>40000</c:v>
                </c:pt>
                <c:pt idx="343">
                  <c:v>60000</c:v>
                </c:pt>
                <c:pt idx="344">
                  <c:v>40000</c:v>
                </c:pt>
                <c:pt idx="345">
                  <c:v>20000</c:v>
                </c:pt>
                <c:pt idx="346">
                  <c:v>40000</c:v>
                </c:pt>
                <c:pt idx="347">
                  <c:v>60000</c:v>
                </c:pt>
                <c:pt idx="348">
                  <c:v>5000</c:v>
                </c:pt>
                <c:pt idx="349">
                  <c:v>40000</c:v>
                </c:pt>
                <c:pt idx="350">
                  <c:v>40000</c:v>
                </c:pt>
                <c:pt idx="351">
                  <c:v>20000</c:v>
                </c:pt>
                <c:pt idx="352">
                  <c:v>5000</c:v>
                </c:pt>
                <c:pt idx="353">
                  <c:v>60000</c:v>
                </c:pt>
                <c:pt idx="354">
                  <c:v>5000</c:v>
                </c:pt>
                <c:pt idx="355">
                  <c:v>60000</c:v>
                </c:pt>
                <c:pt idx="356">
                  <c:v>40000</c:v>
                </c:pt>
                <c:pt idx="357">
                  <c:v>20000</c:v>
                </c:pt>
                <c:pt idx="358">
                  <c:v>40000</c:v>
                </c:pt>
                <c:pt idx="359">
                  <c:v>40000</c:v>
                </c:pt>
                <c:pt idx="360">
                  <c:v>40000</c:v>
                </c:pt>
                <c:pt idx="361">
                  <c:v>40000</c:v>
                </c:pt>
                <c:pt idx="362">
                  <c:v>40000</c:v>
                </c:pt>
                <c:pt idx="363">
                  <c:v>40000</c:v>
                </c:pt>
                <c:pt idx="364">
                  <c:v>5000</c:v>
                </c:pt>
                <c:pt idx="365">
                  <c:v>40000</c:v>
                </c:pt>
                <c:pt idx="366">
                  <c:v>40000</c:v>
                </c:pt>
                <c:pt idx="367">
                  <c:v>40000</c:v>
                </c:pt>
                <c:pt idx="368">
                  <c:v>40000</c:v>
                </c:pt>
                <c:pt idx="369">
                  <c:v>60000</c:v>
                </c:pt>
                <c:pt idx="370">
                  <c:v>40000</c:v>
                </c:pt>
                <c:pt idx="371">
                  <c:v>5000</c:v>
                </c:pt>
                <c:pt idx="372">
                  <c:v>40000</c:v>
                </c:pt>
                <c:pt idx="373">
                  <c:v>40000</c:v>
                </c:pt>
                <c:pt idx="374">
                  <c:v>40000</c:v>
                </c:pt>
                <c:pt idx="375">
                  <c:v>5000</c:v>
                </c:pt>
                <c:pt idx="376">
                  <c:v>60000</c:v>
                </c:pt>
                <c:pt idx="377">
                  <c:v>40000</c:v>
                </c:pt>
                <c:pt idx="378">
                  <c:v>60000</c:v>
                </c:pt>
                <c:pt idx="379">
                  <c:v>40000</c:v>
                </c:pt>
                <c:pt idx="380">
                  <c:v>5000</c:v>
                </c:pt>
                <c:pt idx="381">
                  <c:v>60000</c:v>
                </c:pt>
                <c:pt idx="382">
                  <c:v>40000</c:v>
                </c:pt>
                <c:pt idx="383">
                  <c:v>40000</c:v>
                </c:pt>
                <c:pt idx="384">
                  <c:v>40000</c:v>
                </c:pt>
                <c:pt idx="385">
                  <c:v>40000</c:v>
                </c:pt>
                <c:pt idx="386">
                  <c:v>20000</c:v>
                </c:pt>
                <c:pt idx="387">
                  <c:v>60000</c:v>
                </c:pt>
                <c:pt idx="388">
                  <c:v>40000</c:v>
                </c:pt>
                <c:pt idx="389">
                  <c:v>40000</c:v>
                </c:pt>
                <c:pt idx="390">
                  <c:v>60000</c:v>
                </c:pt>
                <c:pt idx="391">
                  <c:v>40000</c:v>
                </c:pt>
                <c:pt idx="392">
                  <c:v>40000</c:v>
                </c:pt>
                <c:pt idx="393">
                  <c:v>20000</c:v>
                </c:pt>
                <c:pt idx="394">
                  <c:v>60000</c:v>
                </c:pt>
                <c:pt idx="395">
                  <c:v>40000</c:v>
                </c:pt>
                <c:pt idx="396">
                  <c:v>20000</c:v>
                </c:pt>
                <c:pt idx="397">
                  <c:v>5000</c:v>
                </c:pt>
                <c:pt idx="398">
                  <c:v>40000</c:v>
                </c:pt>
                <c:pt idx="399">
                  <c:v>20000</c:v>
                </c:pt>
                <c:pt idx="400">
                  <c:v>40000</c:v>
                </c:pt>
                <c:pt idx="401">
                  <c:v>40000</c:v>
                </c:pt>
                <c:pt idx="402">
                  <c:v>85000</c:v>
                </c:pt>
                <c:pt idx="403">
                  <c:v>5000</c:v>
                </c:pt>
                <c:pt idx="404">
                  <c:v>60000</c:v>
                </c:pt>
                <c:pt idx="405">
                  <c:v>5000</c:v>
                </c:pt>
                <c:pt idx="406">
                  <c:v>40000</c:v>
                </c:pt>
                <c:pt idx="407">
                  <c:v>20000</c:v>
                </c:pt>
                <c:pt idx="408">
                  <c:v>20000</c:v>
                </c:pt>
                <c:pt idx="409">
                  <c:v>20000</c:v>
                </c:pt>
                <c:pt idx="410">
                  <c:v>60000</c:v>
                </c:pt>
                <c:pt idx="411">
                  <c:v>20000</c:v>
                </c:pt>
                <c:pt idx="412">
                  <c:v>5000</c:v>
                </c:pt>
                <c:pt idx="413">
                  <c:v>40000</c:v>
                </c:pt>
                <c:pt idx="414">
                  <c:v>40000</c:v>
                </c:pt>
                <c:pt idx="415">
                  <c:v>85000</c:v>
                </c:pt>
                <c:pt idx="416">
                  <c:v>20000</c:v>
                </c:pt>
                <c:pt idx="417">
                  <c:v>60000</c:v>
                </c:pt>
                <c:pt idx="418">
                  <c:v>40000</c:v>
                </c:pt>
                <c:pt idx="419">
                  <c:v>40000</c:v>
                </c:pt>
                <c:pt idx="420">
                  <c:v>40000</c:v>
                </c:pt>
                <c:pt idx="421">
                  <c:v>5000</c:v>
                </c:pt>
                <c:pt idx="422">
                  <c:v>60000</c:v>
                </c:pt>
                <c:pt idx="423">
                  <c:v>40000</c:v>
                </c:pt>
                <c:pt idx="424">
                  <c:v>60000</c:v>
                </c:pt>
                <c:pt idx="425">
                  <c:v>40000</c:v>
                </c:pt>
                <c:pt idx="426">
                  <c:v>5000</c:v>
                </c:pt>
                <c:pt idx="427">
                  <c:v>60000</c:v>
                </c:pt>
                <c:pt idx="428">
                  <c:v>20000</c:v>
                </c:pt>
                <c:pt idx="429">
                  <c:v>60000</c:v>
                </c:pt>
                <c:pt idx="430">
                  <c:v>40000</c:v>
                </c:pt>
                <c:pt idx="431">
                  <c:v>40000</c:v>
                </c:pt>
                <c:pt idx="432">
                  <c:v>5000</c:v>
                </c:pt>
                <c:pt idx="433">
                  <c:v>40000</c:v>
                </c:pt>
                <c:pt idx="434">
                  <c:v>40000</c:v>
                </c:pt>
                <c:pt idx="435">
                  <c:v>40000</c:v>
                </c:pt>
                <c:pt idx="436">
                  <c:v>5000</c:v>
                </c:pt>
                <c:pt idx="437">
                  <c:v>60000</c:v>
                </c:pt>
                <c:pt idx="438">
                  <c:v>5000</c:v>
                </c:pt>
                <c:pt idx="439">
                  <c:v>40000</c:v>
                </c:pt>
                <c:pt idx="440">
                  <c:v>5000</c:v>
                </c:pt>
                <c:pt idx="441">
                  <c:v>40000</c:v>
                </c:pt>
                <c:pt idx="442">
                  <c:v>40000</c:v>
                </c:pt>
                <c:pt idx="443">
                  <c:v>60000</c:v>
                </c:pt>
                <c:pt idx="444">
                  <c:v>40000</c:v>
                </c:pt>
                <c:pt idx="445">
                  <c:v>40000</c:v>
                </c:pt>
                <c:pt idx="446">
                  <c:v>60000</c:v>
                </c:pt>
                <c:pt idx="447">
                  <c:v>5000</c:v>
                </c:pt>
                <c:pt idx="448">
                  <c:v>85000</c:v>
                </c:pt>
                <c:pt idx="449">
                  <c:v>40000</c:v>
                </c:pt>
                <c:pt idx="450">
                  <c:v>20000</c:v>
                </c:pt>
                <c:pt idx="451">
                  <c:v>5000</c:v>
                </c:pt>
                <c:pt idx="452">
                  <c:v>60000</c:v>
                </c:pt>
                <c:pt idx="453">
                  <c:v>125000</c:v>
                </c:pt>
                <c:pt idx="454">
                  <c:v>20000</c:v>
                </c:pt>
                <c:pt idx="455">
                  <c:v>40000</c:v>
                </c:pt>
                <c:pt idx="456">
                  <c:v>20000</c:v>
                </c:pt>
                <c:pt idx="457">
                  <c:v>60000</c:v>
                </c:pt>
                <c:pt idx="458">
                  <c:v>20000</c:v>
                </c:pt>
                <c:pt idx="459">
                  <c:v>60000</c:v>
                </c:pt>
                <c:pt idx="460">
                  <c:v>20000</c:v>
                </c:pt>
                <c:pt idx="461">
                  <c:v>85000</c:v>
                </c:pt>
                <c:pt idx="462">
                  <c:v>5000</c:v>
                </c:pt>
                <c:pt idx="463">
                  <c:v>40000</c:v>
                </c:pt>
                <c:pt idx="464">
                  <c:v>40000</c:v>
                </c:pt>
                <c:pt idx="465">
                  <c:v>40000</c:v>
                </c:pt>
                <c:pt idx="466">
                  <c:v>5000</c:v>
                </c:pt>
                <c:pt idx="467">
                  <c:v>60000</c:v>
                </c:pt>
                <c:pt idx="468">
                  <c:v>20000</c:v>
                </c:pt>
                <c:pt idx="469">
                  <c:v>60000</c:v>
                </c:pt>
                <c:pt idx="470">
                  <c:v>20000</c:v>
                </c:pt>
                <c:pt idx="471">
                  <c:v>85000</c:v>
                </c:pt>
                <c:pt idx="472">
                  <c:v>5000</c:v>
                </c:pt>
                <c:pt idx="473">
                  <c:v>40000</c:v>
                </c:pt>
                <c:pt idx="474">
                  <c:v>40000</c:v>
                </c:pt>
                <c:pt idx="475">
                  <c:v>40000</c:v>
                </c:pt>
                <c:pt idx="476">
                  <c:v>5000</c:v>
                </c:pt>
                <c:pt idx="477">
                  <c:v>5000</c:v>
                </c:pt>
                <c:pt idx="478">
                  <c:v>60000</c:v>
                </c:pt>
                <c:pt idx="479">
                  <c:v>20000</c:v>
                </c:pt>
                <c:pt idx="480">
                  <c:v>60000</c:v>
                </c:pt>
                <c:pt idx="481">
                  <c:v>20000</c:v>
                </c:pt>
                <c:pt idx="482">
                  <c:v>85000</c:v>
                </c:pt>
                <c:pt idx="483">
                  <c:v>5000</c:v>
                </c:pt>
                <c:pt idx="484">
                  <c:v>40000</c:v>
                </c:pt>
                <c:pt idx="485">
                  <c:v>5000</c:v>
                </c:pt>
                <c:pt idx="486">
                  <c:v>40000</c:v>
                </c:pt>
                <c:pt idx="487">
                  <c:v>60000</c:v>
                </c:pt>
                <c:pt idx="488">
                  <c:v>40000</c:v>
                </c:pt>
                <c:pt idx="489">
                  <c:v>60000</c:v>
                </c:pt>
                <c:pt idx="490">
                  <c:v>40000</c:v>
                </c:pt>
                <c:pt idx="491">
                  <c:v>5000</c:v>
                </c:pt>
                <c:pt idx="492">
                  <c:v>60000</c:v>
                </c:pt>
                <c:pt idx="493">
                  <c:v>40000</c:v>
                </c:pt>
                <c:pt idx="494">
                  <c:v>40000</c:v>
                </c:pt>
                <c:pt idx="495">
                  <c:v>20000</c:v>
                </c:pt>
                <c:pt idx="496">
                  <c:v>60000</c:v>
                </c:pt>
                <c:pt idx="497">
                  <c:v>85000</c:v>
                </c:pt>
                <c:pt idx="498">
                  <c:v>20000</c:v>
                </c:pt>
                <c:pt idx="499">
                  <c:v>60000</c:v>
                </c:pt>
                <c:pt idx="500">
                  <c:v>5000</c:v>
                </c:pt>
                <c:pt idx="501">
                  <c:v>60000</c:v>
                </c:pt>
                <c:pt idx="502">
                  <c:v>5000</c:v>
                </c:pt>
                <c:pt idx="503">
                  <c:v>60000</c:v>
                </c:pt>
                <c:pt idx="504">
                  <c:v>40000</c:v>
                </c:pt>
                <c:pt idx="505">
                  <c:v>60000</c:v>
                </c:pt>
                <c:pt idx="506">
                  <c:v>5000</c:v>
                </c:pt>
                <c:pt idx="507">
                  <c:v>20000</c:v>
                </c:pt>
                <c:pt idx="508">
                  <c:v>40000</c:v>
                </c:pt>
                <c:pt idx="509">
                  <c:v>40000</c:v>
                </c:pt>
                <c:pt idx="510">
                  <c:v>60000</c:v>
                </c:pt>
                <c:pt idx="511">
                  <c:v>60000</c:v>
                </c:pt>
                <c:pt idx="512">
                  <c:v>20000</c:v>
                </c:pt>
                <c:pt idx="513">
                  <c:v>40000</c:v>
                </c:pt>
                <c:pt idx="514">
                  <c:v>40000</c:v>
                </c:pt>
                <c:pt idx="515">
                  <c:v>60000</c:v>
                </c:pt>
                <c:pt idx="516">
                  <c:v>5000</c:v>
                </c:pt>
                <c:pt idx="517">
                  <c:v>60000</c:v>
                </c:pt>
                <c:pt idx="518">
                  <c:v>40000</c:v>
                </c:pt>
                <c:pt idx="519">
                  <c:v>40000</c:v>
                </c:pt>
                <c:pt idx="520">
                  <c:v>60000</c:v>
                </c:pt>
                <c:pt idx="521">
                  <c:v>60000</c:v>
                </c:pt>
                <c:pt idx="522">
                  <c:v>40000</c:v>
                </c:pt>
                <c:pt idx="523">
                  <c:v>40000</c:v>
                </c:pt>
                <c:pt idx="524">
                  <c:v>85000</c:v>
                </c:pt>
                <c:pt idx="525">
                  <c:v>5000</c:v>
                </c:pt>
                <c:pt idx="526">
                  <c:v>40000</c:v>
                </c:pt>
                <c:pt idx="527">
                  <c:v>60000</c:v>
                </c:pt>
                <c:pt idx="528">
                  <c:v>40000</c:v>
                </c:pt>
                <c:pt idx="529">
                  <c:v>20000</c:v>
                </c:pt>
                <c:pt idx="530">
                  <c:v>40000</c:v>
                </c:pt>
                <c:pt idx="531">
                  <c:v>60000</c:v>
                </c:pt>
                <c:pt idx="532">
                  <c:v>40000</c:v>
                </c:pt>
                <c:pt idx="533">
                  <c:v>40000</c:v>
                </c:pt>
                <c:pt idx="534">
                  <c:v>40000</c:v>
                </c:pt>
                <c:pt idx="535">
                  <c:v>5000</c:v>
                </c:pt>
                <c:pt idx="536">
                  <c:v>125000</c:v>
                </c:pt>
                <c:pt idx="537">
                  <c:v>85000</c:v>
                </c:pt>
                <c:pt idx="538">
                  <c:v>20000</c:v>
                </c:pt>
                <c:pt idx="539">
                  <c:v>20000</c:v>
                </c:pt>
                <c:pt idx="540">
                  <c:v>85000</c:v>
                </c:pt>
                <c:pt idx="541">
                  <c:v>60000</c:v>
                </c:pt>
                <c:pt idx="542">
                  <c:v>60000</c:v>
                </c:pt>
                <c:pt idx="543">
                  <c:v>125000</c:v>
                </c:pt>
                <c:pt idx="544">
                  <c:v>5000</c:v>
                </c:pt>
                <c:pt idx="545">
                  <c:v>20000</c:v>
                </c:pt>
                <c:pt idx="546">
                  <c:v>5000</c:v>
                </c:pt>
                <c:pt idx="547">
                  <c:v>5000</c:v>
                </c:pt>
                <c:pt idx="548">
                  <c:v>5000</c:v>
                </c:pt>
                <c:pt idx="549">
                  <c:v>20000</c:v>
                </c:pt>
                <c:pt idx="550">
                  <c:v>5000</c:v>
                </c:pt>
                <c:pt idx="551">
                  <c:v>5000</c:v>
                </c:pt>
                <c:pt idx="552">
                  <c:v>5000</c:v>
                </c:pt>
                <c:pt idx="553">
                  <c:v>5000</c:v>
                </c:pt>
                <c:pt idx="554">
                  <c:v>40000</c:v>
                </c:pt>
                <c:pt idx="555">
                  <c:v>40000</c:v>
                </c:pt>
                <c:pt idx="556">
                  <c:v>40000</c:v>
                </c:pt>
                <c:pt idx="557">
                  <c:v>40000</c:v>
                </c:pt>
                <c:pt idx="558">
                  <c:v>60000</c:v>
                </c:pt>
                <c:pt idx="559">
                  <c:v>20000</c:v>
                </c:pt>
                <c:pt idx="560">
                  <c:v>60000</c:v>
                </c:pt>
                <c:pt idx="561">
                  <c:v>40000</c:v>
                </c:pt>
                <c:pt idx="562">
                  <c:v>20000</c:v>
                </c:pt>
                <c:pt idx="563">
                  <c:v>40000</c:v>
                </c:pt>
                <c:pt idx="564">
                  <c:v>40000</c:v>
                </c:pt>
                <c:pt idx="565">
                  <c:v>40000</c:v>
                </c:pt>
                <c:pt idx="566">
                  <c:v>60000</c:v>
                </c:pt>
              </c:numCache>
            </c:numRef>
          </c:xVal>
          <c:yVal>
            <c:numRef>
              <c:f>Correlation!$G$2:$G$568</c:f>
              <c:numCache>
                <c:formatCode>0</c:formatCode>
                <c:ptCount val="567"/>
                <c:pt idx="0">
                  <c:v>3000</c:v>
                </c:pt>
                <c:pt idx="1">
                  <c:v>9200</c:v>
                </c:pt>
                <c:pt idx="2">
                  <c:v>1000</c:v>
                </c:pt>
                <c:pt idx="3">
                  <c:v>1000</c:v>
                </c:pt>
                <c:pt idx="4">
                  <c:v>10000</c:v>
                </c:pt>
                <c:pt idx="5">
                  <c:v>1200</c:v>
                </c:pt>
                <c:pt idx="6">
                  <c:v>1000</c:v>
                </c:pt>
                <c:pt idx="7">
                  <c:v>3000</c:v>
                </c:pt>
                <c:pt idx="8">
                  <c:v>1500</c:v>
                </c:pt>
                <c:pt idx="9">
                  <c:v>9500</c:v>
                </c:pt>
                <c:pt idx="10">
                  <c:v>1500</c:v>
                </c:pt>
                <c:pt idx="11">
                  <c:v>8000</c:v>
                </c:pt>
                <c:pt idx="12">
                  <c:v>6800</c:v>
                </c:pt>
                <c:pt idx="13">
                  <c:v>9000</c:v>
                </c:pt>
                <c:pt idx="14">
                  <c:v>9000</c:v>
                </c:pt>
                <c:pt idx="15">
                  <c:v>900</c:v>
                </c:pt>
                <c:pt idx="16">
                  <c:v>2000</c:v>
                </c:pt>
                <c:pt idx="17">
                  <c:v>2300</c:v>
                </c:pt>
                <c:pt idx="18">
                  <c:v>1200</c:v>
                </c:pt>
                <c:pt idx="19">
                  <c:v>11100</c:v>
                </c:pt>
                <c:pt idx="20">
                  <c:v>6000</c:v>
                </c:pt>
                <c:pt idx="21">
                  <c:v>8800</c:v>
                </c:pt>
                <c:pt idx="22">
                  <c:v>2700</c:v>
                </c:pt>
                <c:pt idx="23">
                  <c:v>3000</c:v>
                </c:pt>
                <c:pt idx="24">
                  <c:v>5200</c:v>
                </c:pt>
                <c:pt idx="25">
                  <c:v>9700</c:v>
                </c:pt>
                <c:pt idx="26">
                  <c:v>8200</c:v>
                </c:pt>
                <c:pt idx="27">
                  <c:v>2400</c:v>
                </c:pt>
                <c:pt idx="28">
                  <c:v>2900</c:v>
                </c:pt>
                <c:pt idx="29">
                  <c:v>9500</c:v>
                </c:pt>
                <c:pt idx="30">
                  <c:v>5200</c:v>
                </c:pt>
                <c:pt idx="31">
                  <c:v>8500</c:v>
                </c:pt>
                <c:pt idx="32">
                  <c:v>7000</c:v>
                </c:pt>
                <c:pt idx="33">
                  <c:v>5500</c:v>
                </c:pt>
                <c:pt idx="34">
                  <c:v>900</c:v>
                </c:pt>
                <c:pt idx="35">
                  <c:v>5200</c:v>
                </c:pt>
                <c:pt idx="36">
                  <c:v>650</c:v>
                </c:pt>
                <c:pt idx="37">
                  <c:v>12000</c:v>
                </c:pt>
                <c:pt idx="38">
                  <c:v>2400</c:v>
                </c:pt>
                <c:pt idx="39">
                  <c:v>1500</c:v>
                </c:pt>
                <c:pt idx="40">
                  <c:v>500</c:v>
                </c:pt>
                <c:pt idx="41">
                  <c:v>5800</c:v>
                </c:pt>
                <c:pt idx="42">
                  <c:v>850</c:v>
                </c:pt>
                <c:pt idx="43">
                  <c:v>1400</c:v>
                </c:pt>
                <c:pt idx="44">
                  <c:v>3200</c:v>
                </c:pt>
                <c:pt idx="45">
                  <c:v>6800</c:v>
                </c:pt>
                <c:pt idx="46">
                  <c:v>700</c:v>
                </c:pt>
                <c:pt idx="47">
                  <c:v>11000</c:v>
                </c:pt>
                <c:pt idx="48">
                  <c:v>850</c:v>
                </c:pt>
                <c:pt idx="49">
                  <c:v>4500</c:v>
                </c:pt>
                <c:pt idx="50">
                  <c:v>200</c:v>
                </c:pt>
                <c:pt idx="51">
                  <c:v>2700</c:v>
                </c:pt>
                <c:pt idx="52">
                  <c:v>5000</c:v>
                </c:pt>
                <c:pt idx="53">
                  <c:v>750</c:v>
                </c:pt>
                <c:pt idx="54">
                  <c:v>650</c:v>
                </c:pt>
                <c:pt idx="55">
                  <c:v>4000</c:v>
                </c:pt>
                <c:pt idx="56">
                  <c:v>650</c:v>
                </c:pt>
                <c:pt idx="57">
                  <c:v>650</c:v>
                </c:pt>
                <c:pt idx="58">
                  <c:v>650</c:v>
                </c:pt>
                <c:pt idx="59">
                  <c:v>1000</c:v>
                </c:pt>
                <c:pt idx="60">
                  <c:v>1000</c:v>
                </c:pt>
                <c:pt idx="61">
                  <c:v>7500</c:v>
                </c:pt>
                <c:pt idx="62">
                  <c:v>900</c:v>
                </c:pt>
                <c:pt idx="63">
                  <c:v>5500</c:v>
                </c:pt>
                <c:pt idx="64">
                  <c:v>700</c:v>
                </c:pt>
                <c:pt idx="65">
                  <c:v>1200</c:v>
                </c:pt>
                <c:pt idx="66">
                  <c:v>3200</c:v>
                </c:pt>
                <c:pt idx="67">
                  <c:v>4800</c:v>
                </c:pt>
                <c:pt idx="68">
                  <c:v>750</c:v>
                </c:pt>
                <c:pt idx="69">
                  <c:v>10000</c:v>
                </c:pt>
                <c:pt idx="70">
                  <c:v>2300</c:v>
                </c:pt>
                <c:pt idx="71">
                  <c:v>2000</c:v>
                </c:pt>
                <c:pt idx="72">
                  <c:v>5000</c:v>
                </c:pt>
                <c:pt idx="73">
                  <c:v>1000</c:v>
                </c:pt>
                <c:pt idx="74">
                  <c:v>9500</c:v>
                </c:pt>
                <c:pt idx="75">
                  <c:v>4800</c:v>
                </c:pt>
                <c:pt idx="76">
                  <c:v>14000</c:v>
                </c:pt>
                <c:pt idx="77">
                  <c:v>1500</c:v>
                </c:pt>
                <c:pt idx="78">
                  <c:v>2000</c:v>
                </c:pt>
                <c:pt idx="79">
                  <c:v>1200</c:v>
                </c:pt>
                <c:pt idx="80">
                  <c:v>3200</c:v>
                </c:pt>
                <c:pt idx="81">
                  <c:v>900</c:v>
                </c:pt>
                <c:pt idx="82">
                  <c:v>12000</c:v>
                </c:pt>
                <c:pt idx="83">
                  <c:v>650</c:v>
                </c:pt>
                <c:pt idx="84">
                  <c:v>4200</c:v>
                </c:pt>
                <c:pt idx="85">
                  <c:v>2600</c:v>
                </c:pt>
                <c:pt idx="86">
                  <c:v>1100</c:v>
                </c:pt>
                <c:pt idx="87">
                  <c:v>650</c:v>
                </c:pt>
                <c:pt idx="88">
                  <c:v>3600</c:v>
                </c:pt>
                <c:pt idx="89">
                  <c:v>1300</c:v>
                </c:pt>
                <c:pt idx="90">
                  <c:v>650</c:v>
                </c:pt>
                <c:pt idx="91">
                  <c:v>3800</c:v>
                </c:pt>
                <c:pt idx="92">
                  <c:v>720</c:v>
                </c:pt>
                <c:pt idx="93">
                  <c:v>2300</c:v>
                </c:pt>
                <c:pt idx="94">
                  <c:v>1200</c:v>
                </c:pt>
                <c:pt idx="95">
                  <c:v>600</c:v>
                </c:pt>
                <c:pt idx="96">
                  <c:v>8200</c:v>
                </c:pt>
                <c:pt idx="97">
                  <c:v>9000</c:v>
                </c:pt>
                <c:pt idx="98">
                  <c:v>2400</c:v>
                </c:pt>
                <c:pt idx="99">
                  <c:v>7000</c:v>
                </c:pt>
                <c:pt idx="100">
                  <c:v>700</c:v>
                </c:pt>
                <c:pt idx="101">
                  <c:v>4300</c:v>
                </c:pt>
                <c:pt idx="102">
                  <c:v>3400</c:v>
                </c:pt>
                <c:pt idx="103">
                  <c:v>600</c:v>
                </c:pt>
                <c:pt idx="104">
                  <c:v>4800</c:v>
                </c:pt>
                <c:pt idx="105">
                  <c:v>5800</c:v>
                </c:pt>
                <c:pt idx="106">
                  <c:v>750</c:v>
                </c:pt>
                <c:pt idx="107">
                  <c:v>1100</c:v>
                </c:pt>
                <c:pt idx="108">
                  <c:v>8500</c:v>
                </c:pt>
                <c:pt idx="109">
                  <c:v>9500</c:v>
                </c:pt>
                <c:pt idx="110">
                  <c:v>2500</c:v>
                </c:pt>
                <c:pt idx="111">
                  <c:v>700</c:v>
                </c:pt>
                <c:pt idx="112">
                  <c:v>5500</c:v>
                </c:pt>
                <c:pt idx="113">
                  <c:v>650</c:v>
                </c:pt>
                <c:pt idx="114">
                  <c:v>5200</c:v>
                </c:pt>
                <c:pt idx="115">
                  <c:v>650</c:v>
                </c:pt>
                <c:pt idx="116">
                  <c:v>8200</c:v>
                </c:pt>
                <c:pt idx="117">
                  <c:v>1400</c:v>
                </c:pt>
                <c:pt idx="118">
                  <c:v>600</c:v>
                </c:pt>
                <c:pt idx="119">
                  <c:v>750</c:v>
                </c:pt>
                <c:pt idx="120">
                  <c:v>20000</c:v>
                </c:pt>
                <c:pt idx="121">
                  <c:v>3000</c:v>
                </c:pt>
                <c:pt idx="122">
                  <c:v>950</c:v>
                </c:pt>
                <c:pt idx="123">
                  <c:v>5600</c:v>
                </c:pt>
                <c:pt idx="124">
                  <c:v>580</c:v>
                </c:pt>
                <c:pt idx="125">
                  <c:v>7100</c:v>
                </c:pt>
                <c:pt idx="126">
                  <c:v>650</c:v>
                </c:pt>
                <c:pt idx="127">
                  <c:v>5200</c:v>
                </c:pt>
                <c:pt idx="128">
                  <c:v>500</c:v>
                </c:pt>
                <c:pt idx="129">
                  <c:v>10200</c:v>
                </c:pt>
                <c:pt idx="130">
                  <c:v>720</c:v>
                </c:pt>
                <c:pt idx="131">
                  <c:v>900</c:v>
                </c:pt>
                <c:pt idx="132">
                  <c:v>780</c:v>
                </c:pt>
                <c:pt idx="133">
                  <c:v>4800</c:v>
                </c:pt>
                <c:pt idx="134">
                  <c:v>850</c:v>
                </c:pt>
                <c:pt idx="135">
                  <c:v>6400</c:v>
                </c:pt>
                <c:pt idx="136">
                  <c:v>800</c:v>
                </c:pt>
                <c:pt idx="137">
                  <c:v>4900</c:v>
                </c:pt>
                <c:pt idx="138">
                  <c:v>720</c:v>
                </c:pt>
                <c:pt idx="139">
                  <c:v>9900</c:v>
                </c:pt>
                <c:pt idx="140">
                  <c:v>650</c:v>
                </c:pt>
                <c:pt idx="141">
                  <c:v>990</c:v>
                </c:pt>
                <c:pt idx="142">
                  <c:v>600</c:v>
                </c:pt>
                <c:pt idx="143">
                  <c:v>5000</c:v>
                </c:pt>
                <c:pt idx="144">
                  <c:v>1000</c:v>
                </c:pt>
                <c:pt idx="145">
                  <c:v>1000</c:v>
                </c:pt>
                <c:pt idx="146">
                  <c:v>15000</c:v>
                </c:pt>
                <c:pt idx="147">
                  <c:v>4200</c:v>
                </c:pt>
                <c:pt idx="148">
                  <c:v>700</c:v>
                </c:pt>
                <c:pt idx="149">
                  <c:v>4200</c:v>
                </c:pt>
                <c:pt idx="150">
                  <c:v>5200</c:v>
                </c:pt>
                <c:pt idx="151">
                  <c:v>600</c:v>
                </c:pt>
                <c:pt idx="152">
                  <c:v>9500</c:v>
                </c:pt>
                <c:pt idx="153">
                  <c:v>600</c:v>
                </c:pt>
                <c:pt idx="154">
                  <c:v>4900</c:v>
                </c:pt>
                <c:pt idx="155">
                  <c:v>650</c:v>
                </c:pt>
                <c:pt idx="156">
                  <c:v>1700</c:v>
                </c:pt>
                <c:pt idx="157">
                  <c:v>3800</c:v>
                </c:pt>
                <c:pt idx="158">
                  <c:v>8700</c:v>
                </c:pt>
                <c:pt idx="159">
                  <c:v>500</c:v>
                </c:pt>
                <c:pt idx="160">
                  <c:v>4200</c:v>
                </c:pt>
                <c:pt idx="161">
                  <c:v>1000</c:v>
                </c:pt>
                <c:pt idx="162">
                  <c:v>4800</c:v>
                </c:pt>
                <c:pt idx="163">
                  <c:v>900</c:v>
                </c:pt>
                <c:pt idx="164">
                  <c:v>9200</c:v>
                </c:pt>
                <c:pt idx="165">
                  <c:v>3500</c:v>
                </c:pt>
                <c:pt idx="166">
                  <c:v>4000</c:v>
                </c:pt>
                <c:pt idx="167">
                  <c:v>1600</c:v>
                </c:pt>
                <c:pt idx="168">
                  <c:v>12000</c:v>
                </c:pt>
                <c:pt idx="169">
                  <c:v>850</c:v>
                </c:pt>
                <c:pt idx="170">
                  <c:v>6000</c:v>
                </c:pt>
                <c:pt idx="171">
                  <c:v>550</c:v>
                </c:pt>
                <c:pt idx="172">
                  <c:v>9000</c:v>
                </c:pt>
                <c:pt idx="173">
                  <c:v>5000</c:v>
                </c:pt>
                <c:pt idx="174">
                  <c:v>1500</c:v>
                </c:pt>
                <c:pt idx="175">
                  <c:v>550</c:v>
                </c:pt>
                <c:pt idx="176">
                  <c:v>7000</c:v>
                </c:pt>
                <c:pt idx="177">
                  <c:v>1600</c:v>
                </c:pt>
                <c:pt idx="178">
                  <c:v>600</c:v>
                </c:pt>
                <c:pt idx="179">
                  <c:v>9000</c:v>
                </c:pt>
                <c:pt idx="180">
                  <c:v>5200</c:v>
                </c:pt>
                <c:pt idx="181">
                  <c:v>1800</c:v>
                </c:pt>
                <c:pt idx="182">
                  <c:v>14000</c:v>
                </c:pt>
                <c:pt idx="183">
                  <c:v>500</c:v>
                </c:pt>
                <c:pt idx="184">
                  <c:v>850</c:v>
                </c:pt>
                <c:pt idx="185">
                  <c:v>450</c:v>
                </c:pt>
                <c:pt idx="186">
                  <c:v>750</c:v>
                </c:pt>
                <c:pt idx="187">
                  <c:v>8200</c:v>
                </c:pt>
                <c:pt idx="188">
                  <c:v>1500</c:v>
                </c:pt>
                <c:pt idx="189">
                  <c:v>3000</c:v>
                </c:pt>
                <c:pt idx="190">
                  <c:v>500</c:v>
                </c:pt>
                <c:pt idx="191">
                  <c:v>20000</c:v>
                </c:pt>
                <c:pt idx="192">
                  <c:v>850</c:v>
                </c:pt>
                <c:pt idx="193">
                  <c:v>1000</c:v>
                </c:pt>
                <c:pt idx="194">
                  <c:v>10000</c:v>
                </c:pt>
                <c:pt idx="195">
                  <c:v>1000</c:v>
                </c:pt>
                <c:pt idx="196">
                  <c:v>5500</c:v>
                </c:pt>
                <c:pt idx="197">
                  <c:v>400</c:v>
                </c:pt>
                <c:pt idx="198">
                  <c:v>7000</c:v>
                </c:pt>
                <c:pt idx="199">
                  <c:v>850</c:v>
                </c:pt>
                <c:pt idx="200">
                  <c:v>7500</c:v>
                </c:pt>
                <c:pt idx="201">
                  <c:v>750</c:v>
                </c:pt>
                <c:pt idx="202">
                  <c:v>2000</c:v>
                </c:pt>
                <c:pt idx="203">
                  <c:v>4000</c:v>
                </c:pt>
                <c:pt idx="204">
                  <c:v>1000</c:v>
                </c:pt>
                <c:pt idx="205">
                  <c:v>1000</c:v>
                </c:pt>
                <c:pt idx="206">
                  <c:v>1000</c:v>
                </c:pt>
                <c:pt idx="207">
                  <c:v>1500</c:v>
                </c:pt>
                <c:pt idx="208">
                  <c:v>5000</c:v>
                </c:pt>
                <c:pt idx="209">
                  <c:v>1000</c:v>
                </c:pt>
                <c:pt idx="210">
                  <c:v>1000</c:v>
                </c:pt>
                <c:pt idx="211">
                  <c:v>1500</c:v>
                </c:pt>
                <c:pt idx="212">
                  <c:v>550</c:v>
                </c:pt>
                <c:pt idx="213">
                  <c:v>1000</c:v>
                </c:pt>
                <c:pt idx="214">
                  <c:v>950</c:v>
                </c:pt>
                <c:pt idx="215">
                  <c:v>550</c:v>
                </c:pt>
                <c:pt idx="216">
                  <c:v>6000</c:v>
                </c:pt>
                <c:pt idx="217">
                  <c:v>1800</c:v>
                </c:pt>
                <c:pt idx="218">
                  <c:v>400</c:v>
                </c:pt>
                <c:pt idx="219">
                  <c:v>4500</c:v>
                </c:pt>
                <c:pt idx="220">
                  <c:v>4500</c:v>
                </c:pt>
                <c:pt idx="221">
                  <c:v>900</c:v>
                </c:pt>
                <c:pt idx="222">
                  <c:v>14000</c:v>
                </c:pt>
                <c:pt idx="223">
                  <c:v>750</c:v>
                </c:pt>
                <c:pt idx="224">
                  <c:v>7000</c:v>
                </c:pt>
                <c:pt idx="225">
                  <c:v>1200</c:v>
                </c:pt>
                <c:pt idx="226">
                  <c:v>12500</c:v>
                </c:pt>
                <c:pt idx="227">
                  <c:v>3000</c:v>
                </c:pt>
                <c:pt idx="228">
                  <c:v>8000</c:v>
                </c:pt>
                <c:pt idx="229">
                  <c:v>900</c:v>
                </c:pt>
                <c:pt idx="230">
                  <c:v>1400</c:v>
                </c:pt>
                <c:pt idx="231">
                  <c:v>600</c:v>
                </c:pt>
                <c:pt idx="232">
                  <c:v>7800</c:v>
                </c:pt>
                <c:pt idx="233">
                  <c:v>3200</c:v>
                </c:pt>
                <c:pt idx="234">
                  <c:v>13200</c:v>
                </c:pt>
                <c:pt idx="235">
                  <c:v>500</c:v>
                </c:pt>
                <c:pt idx="236">
                  <c:v>3800</c:v>
                </c:pt>
                <c:pt idx="237">
                  <c:v>850</c:v>
                </c:pt>
                <c:pt idx="238">
                  <c:v>6700</c:v>
                </c:pt>
                <c:pt idx="239">
                  <c:v>4600</c:v>
                </c:pt>
                <c:pt idx="240">
                  <c:v>1300</c:v>
                </c:pt>
                <c:pt idx="241">
                  <c:v>750</c:v>
                </c:pt>
                <c:pt idx="242">
                  <c:v>3900</c:v>
                </c:pt>
                <c:pt idx="243">
                  <c:v>1000</c:v>
                </c:pt>
                <c:pt idx="244">
                  <c:v>8500</c:v>
                </c:pt>
                <c:pt idx="245">
                  <c:v>3600</c:v>
                </c:pt>
                <c:pt idx="246">
                  <c:v>400</c:v>
                </c:pt>
                <c:pt idx="247">
                  <c:v>1600</c:v>
                </c:pt>
                <c:pt idx="248">
                  <c:v>1200</c:v>
                </c:pt>
                <c:pt idx="249">
                  <c:v>3900</c:v>
                </c:pt>
                <c:pt idx="250">
                  <c:v>1450</c:v>
                </c:pt>
                <c:pt idx="251">
                  <c:v>500</c:v>
                </c:pt>
                <c:pt idx="252">
                  <c:v>9000</c:v>
                </c:pt>
                <c:pt idx="253">
                  <c:v>4500</c:v>
                </c:pt>
                <c:pt idx="254">
                  <c:v>500</c:v>
                </c:pt>
                <c:pt idx="255">
                  <c:v>4200</c:v>
                </c:pt>
                <c:pt idx="256">
                  <c:v>650</c:v>
                </c:pt>
                <c:pt idx="257">
                  <c:v>13800</c:v>
                </c:pt>
                <c:pt idx="258">
                  <c:v>1100</c:v>
                </c:pt>
                <c:pt idx="259">
                  <c:v>10200</c:v>
                </c:pt>
                <c:pt idx="260">
                  <c:v>1150</c:v>
                </c:pt>
                <c:pt idx="261">
                  <c:v>650</c:v>
                </c:pt>
                <c:pt idx="262">
                  <c:v>14500</c:v>
                </c:pt>
                <c:pt idx="263">
                  <c:v>3800</c:v>
                </c:pt>
                <c:pt idx="264">
                  <c:v>1000</c:v>
                </c:pt>
                <c:pt idx="265">
                  <c:v>1250</c:v>
                </c:pt>
                <c:pt idx="266">
                  <c:v>10800</c:v>
                </c:pt>
                <c:pt idx="267">
                  <c:v>650</c:v>
                </c:pt>
                <c:pt idx="268">
                  <c:v>15600</c:v>
                </c:pt>
                <c:pt idx="269">
                  <c:v>4400</c:v>
                </c:pt>
                <c:pt idx="270">
                  <c:v>1800</c:v>
                </c:pt>
                <c:pt idx="271">
                  <c:v>520</c:v>
                </c:pt>
                <c:pt idx="272">
                  <c:v>3609</c:v>
                </c:pt>
                <c:pt idx="273">
                  <c:v>9200</c:v>
                </c:pt>
                <c:pt idx="274">
                  <c:v>3700</c:v>
                </c:pt>
                <c:pt idx="275">
                  <c:v>900</c:v>
                </c:pt>
                <c:pt idx="276">
                  <c:v>650</c:v>
                </c:pt>
                <c:pt idx="277">
                  <c:v>14800</c:v>
                </c:pt>
                <c:pt idx="278">
                  <c:v>1000</c:v>
                </c:pt>
                <c:pt idx="279">
                  <c:v>1900</c:v>
                </c:pt>
                <c:pt idx="280">
                  <c:v>1300</c:v>
                </c:pt>
                <c:pt idx="281">
                  <c:v>400</c:v>
                </c:pt>
                <c:pt idx="282">
                  <c:v>9700</c:v>
                </c:pt>
                <c:pt idx="283">
                  <c:v>1100</c:v>
                </c:pt>
                <c:pt idx="284">
                  <c:v>3900</c:v>
                </c:pt>
                <c:pt idx="285">
                  <c:v>3700</c:v>
                </c:pt>
                <c:pt idx="286">
                  <c:v>550</c:v>
                </c:pt>
                <c:pt idx="287">
                  <c:v>11000</c:v>
                </c:pt>
                <c:pt idx="288">
                  <c:v>1000</c:v>
                </c:pt>
                <c:pt idx="289">
                  <c:v>4000</c:v>
                </c:pt>
                <c:pt idx="290">
                  <c:v>1550</c:v>
                </c:pt>
                <c:pt idx="291">
                  <c:v>780</c:v>
                </c:pt>
                <c:pt idx="292">
                  <c:v>11500</c:v>
                </c:pt>
                <c:pt idx="293">
                  <c:v>4000</c:v>
                </c:pt>
                <c:pt idx="294">
                  <c:v>4200</c:v>
                </c:pt>
                <c:pt idx="295">
                  <c:v>1100</c:v>
                </c:pt>
                <c:pt idx="296">
                  <c:v>12000</c:v>
                </c:pt>
                <c:pt idx="297">
                  <c:v>4700</c:v>
                </c:pt>
                <c:pt idx="298">
                  <c:v>520</c:v>
                </c:pt>
                <c:pt idx="299">
                  <c:v>4200</c:v>
                </c:pt>
                <c:pt idx="300">
                  <c:v>1450</c:v>
                </c:pt>
                <c:pt idx="301">
                  <c:v>650</c:v>
                </c:pt>
                <c:pt idx="302">
                  <c:v>12800</c:v>
                </c:pt>
                <c:pt idx="303">
                  <c:v>4000</c:v>
                </c:pt>
                <c:pt idx="304">
                  <c:v>4000</c:v>
                </c:pt>
                <c:pt idx="305">
                  <c:v>650</c:v>
                </c:pt>
                <c:pt idx="306">
                  <c:v>11800</c:v>
                </c:pt>
                <c:pt idx="307">
                  <c:v>4400</c:v>
                </c:pt>
                <c:pt idx="308">
                  <c:v>520</c:v>
                </c:pt>
                <c:pt idx="309">
                  <c:v>4500</c:v>
                </c:pt>
                <c:pt idx="310">
                  <c:v>1300</c:v>
                </c:pt>
                <c:pt idx="311">
                  <c:v>3600</c:v>
                </c:pt>
                <c:pt idx="312">
                  <c:v>11000</c:v>
                </c:pt>
                <c:pt idx="313">
                  <c:v>650</c:v>
                </c:pt>
                <c:pt idx="314">
                  <c:v>1000</c:v>
                </c:pt>
                <c:pt idx="315">
                  <c:v>420</c:v>
                </c:pt>
                <c:pt idx="316">
                  <c:v>10800</c:v>
                </c:pt>
                <c:pt idx="317">
                  <c:v>4000</c:v>
                </c:pt>
                <c:pt idx="318">
                  <c:v>1000</c:v>
                </c:pt>
                <c:pt idx="319">
                  <c:v>4000</c:v>
                </c:pt>
                <c:pt idx="320">
                  <c:v>1300</c:v>
                </c:pt>
                <c:pt idx="321">
                  <c:v>390</c:v>
                </c:pt>
                <c:pt idx="322">
                  <c:v>3000</c:v>
                </c:pt>
                <c:pt idx="323">
                  <c:v>11600</c:v>
                </c:pt>
                <c:pt idx="324">
                  <c:v>650</c:v>
                </c:pt>
                <c:pt idx="325">
                  <c:v>4300</c:v>
                </c:pt>
                <c:pt idx="326">
                  <c:v>850</c:v>
                </c:pt>
                <c:pt idx="327">
                  <c:v>3000</c:v>
                </c:pt>
                <c:pt idx="328">
                  <c:v>300</c:v>
                </c:pt>
                <c:pt idx="329">
                  <c:v>2800</c:v>
                </c:pt>
                <c:pt idx="330">
                  <c:v>900</c:v>
                </c:pt>
                <c:pt idx="331">
                  <c:v>4000</c:v>
                </c:pt>
                <c:pt idx="332">
                  <c:v>650</c:v>
                </c:pt>
                <c:pt idx="333">
                  <c:v>12000</c:v>
                </c:pt>
                <c:pt idx="334">
                  <c:v>1000</c:v>
                </c:pt>
                <c:pt idx="335">
                  <c:v>3000</c:v>
                </c:pt>
                <c:pt idx="336">
                  <c:v>850</c:v>
                </c:pt>
                <c:pt idx="337">
                  <c:v>11800</c:v>
                </c:pt>
                <c:pt idx="338">
                  <c:v>3000</c:v>
                </c:pt>
                <c:pt idx="339">
                  <c:v>390</c:v>
                </c:pt>
                <c:pt idx="340">
                  <c:v>4000</c:v>
                </c:pt>
                <c:pt idx="341">
                  <c:v>650</c:v>
                </c:pt>
                <c:pt idx="342">
                  <c:v>780</c:v>
                </c:pt>
                <c:pt idx="343">
                  <c:v>8300</c:v>
                </c:pt>
                <c:pt idx="344">
                  <c:v>4000</c:v>
                </c:pt>
                <c:pt idx="345">
                  <c:v>520</c:v>
                </c:pt>
                <c:pt idx="346">
                  <c:v>1500</c:v>
                </c:pt>
                <c:pt idx="347">
                  <c:v>330</c:v>
                </c:pt>
                <c:pt idx="348">
                  <c:v>520</c:v>
                </c:pt>
                <c:pt idx="349">
                  <c:v>9000</c:v>
                </c:pt>
                <c:pt idx="350">
                  <c:v>2200</c:v>
                </c:pt>
                <c:pt idx="351">
                  <c:v>1300</c:v>
                </c:pt>
                <c:pt idx="352">
                  <c:v>520</c:v>
                </c:pt>
                <c:pt idx="353">
                  <c:v>3200</c:v>
                </c:pt>
                <c:pt idx="354">
                  <c:v>910</c:v>
                </c:pt>
                <c:pt idx="355">
                  <c:v>10600</c:v>
                </c:pt>
                <c:pt idx="356">
                  <c:v>3900</c:v>
                </c:pt>
                <c:pt idx="357">
                  <c:v>350</c:v>
                </c:pt>
                <c:pt idx="358">
                  <c:v>3700</c:v>
                </c:pt>
                <c:pt idx="359">
                  <c:v>1300</c:v>
                </c:pt>
                <c:pt idx="360">
                  <c:v>1000</c:v>
                </c:pt>
                <c:pt idx="361">
                  <c:v>780</c:v>
                </c:pt>
                <c:pt idx="362">
                  <c:v>3800</c:v>
                </c:pt>
                <c:pt idx="363">
                  <c:v>520</c:v>
                </c:pt>
                <c:pt idx="364">
                  <c:v>900</c:v>
                </c:pt>
                <c:pt idx="365">
                  <c:v>9900</c:v>
                </c:pt>
                <c:pt idx="366">
                  <c:v>11430</c:v>
                </c:pt>
                <c:pt idx="367">
                  <c:v>390</c:v>
                </c:pt>
                <c:pt idx="368">
                  <c:v>4000</c:v>
                </c:pt>
                <c:pt idx="369">
                  <c:v>2900</c:v>
                </c:pt>
                <c:pt idx="370">
                  <c:v>1070</c:v>
                </c:pt>
                <c:pt idx="371">
                  <c:v>1300</c:v>
                </c:pt>
                <c:pt idx="372">
                  <c:v>2400</c:v>
                </c:pt>
                <c:pt idx="373">
                  <c:v>1700</c:v>
                </c:pt>
                <c:pt idx="374">
                  <c:v>6500</c:v>
                </c:pt>
                <c:pt idx="375">
                  <c:v>900</c:v>
                </c:pt>
                <c:pt idx="376">
                  <c:v>2000</c:v>
                </c:pt>
                <c:pt idx="377">
                  <c:v>2600</c:v>
                </c:pt>
                <c:pt idx="378">
                  <c:v>2200</c:v>
                </c:pt>
                <c:pt idx="379">
                  <c:v>3800</c:v>
                </c:pt>
                <c:pt idx="380">
                  <c:v>520</c:v>
                </c:pt>
                <c:pt idx="381">
                  <c:v>11000</c:v>
                </c:pt>
                <c:pt idx="382">
                  <c:v>1000</c:v>
                </c:pt>
                <c:pt idx="383">
                  <c:v>9400</c:v>
                </c:pt>
                <c:pt idx="384">
                  <c:v>6800</c:v>
                </c:pt>
                <c:pt idx="385">
                  <c:v>4000</c:v>
                </c:pt>
                <c:pt idx="386">
                  <c:v>390</c:v>
                </c:pt>
                <c:pt idx="387">
                  <c:v>3900</c:v>
                </c:pt>
                <c:pt idx="388">
                  <c:v>1070</c:v>
                </c:pt>
                <c:pt idx="389">
                  <c:v>1300</c:v>
                </c:pt>
                <c:pt idx="390">
                  <c:v>1300</c:v>
                </c:pt>
                <c:pt idx="391">
                  <c:v>650</c:v>
                </c:pt>
                <c:pt idx="392">
                  <c:v>520</c:v>
                </c:pt>
                <c:pt idx="393">
                  <c:v>390</c:v>
                </c:pt>
                <c:pt idx="394">
                  <c:v>4500</c:v>
                </c:pt>
                <c:pt idx="395">
                  <c:v>1430</c:v>
                </c:pt>
                <c:pt idx="396">
                  <c:v>260</c:v>
                </c:pt>
                <c:pt idx="397">
                  <c:v>1560</c:v>
                </c:pt>
                <c:pt idx="398">
                  <c:v>1690</c:v>
                </c:pt>
                <c:pt idx="399">
                  <c:v>390</c:v>
                </c:pt>
                <c:pt idx="400">
                  <c:v>3600</c:v>
                </c:pt>
                <c:pt idx="401">
                  <c:v>650</c:v>
                </c:pt>
                <c:pt idx="402">
                  <c:v>9600</c:v>
                </c:pt>
                <c:pt idx="403">
                  <c:v>1430</c:v>
                </c:pt>
                <c:pt idx="404">
                  <c:v>9200</c:v>
                </c:pt>
                <c:pt idx="405">
                  <c:v>520</c:v>
                </c:pt>
                <c:pt idx="406">
                  <c:v>1560</c:v>
                </c:pt>
                <c:pt idx="407">
                  <c:v>390</c:v>
                </c:pt>
                <c:pt idx="408">
                  <c:v>1820</c:v>
                </c:pt>
                <c:pt idx="409">
                  <c:v>260</c:v>
                </c:pt>
                <c:pt idx="410">
                  <c:v>3900</c:v>
                </c:pt>
                <c:pt idx="411">
                  <c:v>390</c:v>
                </c:pt>
                <c:pt idx="412">
                  <c:v>1690</c:v>
                </c:pt>
                <c:pt idx="413">
                  <c:v>11000</c:v>
                </c:pt>
                <c:pt idx="414">
                  <c:v>650</c:v>
                </c:pt>
                <c:pt idx="415">
                  <c:v>4400</c:v>
                </c:pt>
                <c:pt idx="416">
                  <c:v>390</c:v>
                </c:pt>
                <c:pt idx="417">
                  <c:v>4000</c:v>
                </c:pt>
                <c:pt idx="418">
                  <c:v>1430</c:v>
                </c:pt>
                <c:pt idx="419">
                  <c:v>9400</c:v>
                </c:pt>
                <c:pt idx="420">
                  <c:v>8800</c:v>
                </c:pt>
                <c:pt idx="421">
                  <c:v>520</c:v>
                </c:pt>
                <c:pt idx="422">
                  <c:v>3700</c:v>
                </c:pt>
                <c:pt idx="423">
                  <c:v>9200</c:v>
                </c:pt>
                <c:pt idx="424">
                  <c:v>780</c:v>
                </c:pt>
                <c:pt idx="425">
                  <c:v>780</c:v>
                </c:pt>
                <c:pt idx="426">
                  <c:v>1180</c:v>
                </c:pt>
                <c:pt idx="427">
                  <c:v>3600</c:v>
                </c:pt>
                <c:pt idx="428">
                  <c:v>520</c:v>
                </c:pt>
                <c:pt idx="429">
                  <c:v>2080</c:v>
                </c:pt>
                <c:pt idx="430">
                  <c:v>390</c:v>
                </c:pt>
                <c:pt idx="431">
                  <c:v>4350</c:v>
                </c:pt>
                <c:pt idx="432">
                  <c:v>520</c:v>
                </c:pt>
                <c:pt idx="433">
                  <c:v>11430</c:v>
                </c:pt>
                <c:pt idx="434">
                  <c:v>900</c:v>
                </c:pt>
                <c:pt idx="435">
                  <c:v>910</c:v>
                </c:pt>
                <c:pt idx="436">
                  <c:v>1560</c:v>
                </c:pt>
                <c:pt idx="437">
                  <c:v>4160</c:v>
                </c:pt>
                <c:pt idx="438">
                  <c:v>520</c:v>
                </c:pt>
                <c:pt idx="439">
                  <c:v>1560</c:v>
                </c:pt>
                <c:pt idx="440">
                  <c:v>390</c:v>
                </c:pt>
                <c:pt idx="441">
                  <c:v>4550</c:v>
                </c:pt>
                <c:pt idx="442">
                  <c:v>650</c:v>
                </c:pt>
                <c:pt idx="443">
                  <c:v>1430</c:v>
                </c:pt>
                <c:pt idx="444">
                  <c:v>1040</c:v>
                </c:pt>
                <c:pt idx="445">
                  <c:v>780</c:v>
                </c:pt>
                <c:pt idx="446">
                  <c:v>7200</c:v>
                </c:pt>
                <c:pt idx="447">
                  <c:v>1170</c:v>
                </c:pt>
                <c:pt idx="448">
                  <c:v>3250</c:v>
                </c:pt>
                <c:pt idx="449">
                  <c:v>4550</c:v>
                </c:pt>
                <c:pt idx="450">
                  <c:v>520</c:v>
                </c:pt>
                <c:pt idx="451">
                  <c:v>1430</c:v>
                </c:pt>
                <c:pt idx="452">
                  <c:v>780</c:v>
                </c:pt>
                <c:pt idx="453">
                  <c:v>4100</c:v>
                </c:pt>
                <c:pt idx="454">
                  <c:v>910</c:v>
                </c:pt>
                <c:pt idx="455">
                  <c:v>910</c:v>
                </c:pt>
                <c:pt idx="456">
                  <c:v>1300</c:v>
                </c:pt>
                <c:pt idx="457">
                  <c:v>3640</c:v>
                </c:pt>
                <c:pt idx="458">
                  <c:v>390</c:v>
                </c:pt>
                <c:pt idx="459">
                  <c:v>1820</c:v>
                </c:pt>
                <c:pt idx="460">
                  <c:v>520</c:v>
                </c:pt>
                <c:pt idx="461">
                  <c:v>3900</c:v>
                </c:pt>
                <c:pt idx="462">
                  <c:v>1170</c:v>
                </c:pt>
                <c:pt idx="463">
                  <c:v>780</c:v>
                </c:pt>
                <c:pt idx="464">
                  <c:v>910</c:v>
                </c:pt>
                <c:pt idx="465">
                  <c:v>650</c:v>
                </c:pt>
                <c:pt idx="466">
                  <c:v>1560</c:v>
                </c:pt>
                <c:pt idx="467">
                  <c:v>3510</c:v>
                </c:pt>
                <c:pt idx="468">
                  <c:v>390</c:v>
                </c:pt>
                <c:pt idx="469">
                  <c:v>2080</c:v>
                </c:pt>
                <c:pt idx="470">
                  <c:v>390</c:v>
                </c:pt>
                <c:pt idx="471">
                  <c:v>4160</c:v>
                </c:pt>
                <c:pt idx="472">
                  <c:v>520</c:v>
                </c:pt>
                <c:pt idx="473">
                  <c:v>1430</c:v>
                </c:pt>
                <c:pt idx="474">
                  <c:v>910</c:v>
                </c:pt>
                <c:pt idx="475">
                  <c:v>650</c:v>
                </c:pt>
                <c:pt idx="476">
                  <c:v>1170</c:v>
                </c:pt>
                <c:pt idx="477">
                  <c:v>900</c:v>
                </c:pt>
                <c:pt idx="478">
                  <c:v>3380</c:v>
                </c:pt>
                <c:pt idx="479">
                  <c:v>390</c:v>
                </c:pt>
                <c:pt idx="480">
                  <c:v>1950</c:v>
                </c:pt>
                <c:pt idx="481">
                  <c:v>390</c:v>
                </c:pt>
                <c:pt idx="482">
                  <c:v>4350</c:v>
                </c:pt>
                <c:pt idx="483">
                  <c:v>520</c:v>
                </c:pt>
                <c:pt idx="484">
                  <c:v>1560</c:v>
                </c:pt>
                <c:pt idx="485">
                  <c:v>420</c:v>
                </c:pt>
                <c:pt idx="486">
                  <c:v>3840</c:v>
                </c:pt>
                <c:pt idx="487">
                  <c:v>5400</c:v>
                </c:pt>
                <c:pt idx="488">
                  <c:v>880</c:v>
                </c:pt>
                <c:pt idx="489">
                  <c:v>2000</c:v>
                </c:pt>
                <c:pt idx="490">
                  <c:v>2300</c:v>
                </c:pt>
                <c:pt idx="491">
                  <c:v>1000</c:v>
                </c:pt>
                <c:pt idx="492">
                  <c:v>2800</c:v>
                </c:pt>
                <c:pt idx="493">
                  <c:v>580</c:v>
                </c:pt>
                <c:pt idx="494">
                  <c:v>1430</c:v>
                </c:pt>
                <c:pt idx="495">
                  <c:v>650</c:v>
                </c:pt>
                <c:pt idx="496">
                  <c:v>7800</c:v>
                </c:pt>
                <c:pt idx="497">
                  <c:v>4800</c:v>
                </c:pt>
                <c:pt idx="498">
                  <c:v>390</c:v>
                </c:pt>
                <c:pt idx="499">
                  <c:v>3500</c:v>
                </c:pt>
                <c:pt idx="500">
                  <c:v>1000</c:v>
                </c:pt>
                <c:pt idx="501">
                  <c:v>2100</c:v>
                </c:pt>
                <c:pt idx="502">
                  <c:v>1170</c:v>
                </c:pt>
                <c:pt idx="503">
                  <c:v>3200</c:v>
                </c:pt>
                <c:pt idx="504">
                  <c:v>1430</c:v>
                </c:pt>
                <c:pt idx="505">
                  <c:v>9300</c:v>
                </c:pt>
                <c:pt idx="506">
                  <c:v>780</c:v>
                </c:pt>
                <c:pt idx="507">
                  <c:v>780</c:v>
                </c:pt>
                <c:pt idx="508">
                  <c:v>3600</c:v>
                </c:pt>
                <c:pt idx="509">
                  <c:v>3600</c:v>
                </c:pt>
                <c:pt idx="510">
                  <c:v>7500</c:v>
                </c:pt>
                <c:pt idx="511">
                  <c:v>1200</c:v>
                </c:pt>
                <c:pt idx="512">
                  <c:v>430</c:v>
                </c:pt>
                <c:pt idx="513">
                  <c:v>1000</c:v>
                </c:pt>
                <c:pt idx="514">
                  <c:v>1100</c:v>
                </c:pt>
                <c:pt idx="515">
                  <c:v>3000</c:v>
                </c:pt>
                <c:pt idx="516">
                  <c:v>900</c:v>
                </c:pt>
                <c:pt idx="517">
                  <c:v>1900</c:v>
                </c:pt>
                <c:pt idx="518">
                  <c:v>650</c:v>
                </c:pt>
                <c:pt idx="519">
                  <c:v>8700</c:v>
                </c:pt>
                <c:pt idx="520">
                  <c:v>3000</c:v>
                </c:pt>
                <c:pt idx="521">
                  <c:v>3600</c:v>
                </c:pt>
                <c:pt idx="522">
                  <c:v>600</c:v>
                </c:pt>
                <c:pt idx="523">
                  <c:v>1300</c:v>
                </c:pt>
                <c:pt idx="524">
                  <c:v>3000</c:v>
                </c:pt>
                <c:pt idx="525">
                  <c:v>980</c:v>
                </c:pt>
                <c:pt idx="526">
                  <c:v>910</c:v>
                </c:pt>
                <c:pt idx="527">
                  <c:v>2300</c:v>
                </c:pt>
                <c:pt idx="528">
                  <c:v>2300</c:v>
                </c:pt>
                <c:pt idx="529">
                  <c:v>630</c:v>
                </c:pt>
                <c:pt idx="530">
                  <c:v>1820</c:v>
                </c:pt>
                <c:pt idx="531">
                  <c:v>3900</c:v>
                </c:pt>
                <c:pt idx="532">
                  <c:v>780</c:v>
                </c:pt>
                <c:pt idx="533">
                  <c:v>3200</c:v>
                </c:pt>
                <c:pt idx="534">
                  <c:v>6700</c:v>
                </c:pt>
                <c:pt idx="535">
                  <c:v>780</c:v>
                </c:pt>
                <c:pt idx="536">
                  <c:v>3900</c:v>
                </c:pt>
                <c:pt idx="537">
                  <c:v>3520</c:v>
                </c:pt>
                <c:pt idx="538">
                  <c:v>1049</c:v>
                </c:pt>
                <c:pt idx="539">
                  <c:v>530</c:v>
                </c:pt>
                <c:pt idx="540">
                  <c:v>4890</c:v>
                </c:pt>
                <c:pt idx="541">
                  <c:v>1180</c:v>
                </c:pt>
                <c:pt idx="542">
                  <c:v>8100</c:v>
                </c:pt>
                <c:pt idx="543">
                  <c:v>2600</c:v>
                </c:pt>
                <c:pt idx="544">
                  <c:v>3000</c:v>
                </c:pt>
                <c:pt idx="545">
                  <c:v>555</c:v>
                </c:pt>
                <c:pt idx="546">
                  <c:v>650</c:v>
                </c:pt>
                <c:pt idx="547">
                  <c:v>750</c:v>
                </c:pt>
                <c:pt idx="548">
                  <c:v>950</c:v>
                </c:pt>
                <c:pt idx="549">
                  <c:v>1000</c:v>
                </c:pt>
                <c:pt idx="550">
                  <c:v>3000</c:v>
                </c:pt>
                <c:pt idx="551">
                  <c:v>1000</c:v>
                </c:pt>
                <c:pt idx="552">
                  <c:v>750</c:v>
                </c:pt>
                <c:pt idx="553">
                  <c:v>950</c:v>
                </c:pt>
                <c:pt idx="554">
                  <c:v>2600</c:v>
                </c:pt>
                <c:pt idx="555">
                  <c:v>8100</c:v>
                </c:pt>
                <c:pt idx="556">
                  <c:v>1170</c:v>
                </c:pt>
                <c:pt idx="557">
                  <c:v>4480</c:v>
                </c:pt>
                <c:pt idx="558">
                  <c:v>3510</c:v>
                </c:pt>
                <c:pt idx="559">
                  <c:v>520</c:v>
                </c:pt>
                <c:pt idx="560">
                  <c:v>7200</c:v>
                </c:pt>
                <c:pt idx="561">
                  <c:v>1560</c:v>
                </c:pt>
                <c:pt idx="562">
                  <c:v>520</c:v>
                </c:pt>
                <c:pt idx="563">
                  <c:v>1180</c:v>
                </c:pt>
                <c:pt idx="564">
                  <c:v>6600</c:v>
                </c:pt>
                <c:pt idx="565">
                  <c:v>680</c:v>
                </c:pt>
                <c:pt idx="566">
                  <c:v>2000</c:v>
                </c:pt>
              </c:numCache>
            </c:numRef>
          </c:yVal>
          <c:smooth val="0"/>
        </c:ser>
        <c:dLbls>
          <c:showLegendKey val="0"/>
          <c:showVal val="0"/>
          <c:showCatName val="0"/>
          <c:showSerName val="0"/>
          <c:showPercent val="0"/>
          <c:showBubbleSize val="0"/>
        </c:dLbls>
        <c:axId val="214491136"/>
        <c:axId val="214493056"/>
      </c:scatterChart>
      <c:valAx>
        <c:axId val="214491136"/>
        <c:scaling>
          <c:orientation val="minMax"/>
        </c:scaling>
        <c:delete val="0"/>
        <c:axPos val="b"/>
        <c:title>
          <c:tx>
            <c:rich>
              <a:bodyPr/>
              <a:lstStyle/>
              <a:p>
                <a:pPr>
                  <a:defRPr/>
                </a:pPr>
                <a:r>
                  <a:rPr lang="en-IN"/>
                  <a:t>Month;y</a:t>
                </a:r>
                <a:r>
                  <a:rPr lang="en-IN" baseline="0"/>
                  <a:t> Income</a:t>
                </a:r>
                <a:endParaRPr lang="en-IN"/>
              </a:p>
            </c:rich>
          </c:tx>
          <c:overlay val="0"/>
        </c:title>
        <c:numFmt formatCode="General" sourceLinked="1"/>
        <c:majorTickMark val="out"/>
        <c:minorTickMark val="none"/>
        <c:tickLblPos val="nextTo"/>
        <c:crossAx val="214493056"/>
        <c:crosses val="autoZero"/>
        <c:crossBetween val="midCat"/>
      </c:valAx>
      <c:valAx>
        <c:axId val="214493056"/>
        <c:scaling>
          <c:orientation val="minMax"/>
        </c:scaling>
        <c:delete val="0"/>
        <c:axPos val="l"/>
        <c:majorGridlines/>
        <c:title>
          <c:tx>
            <c:rich>
              <a:bodyPr rot="-5400000" vert="horz"/>
              <a:lstStyle/>
              <a:p>
                <a:pPr>
                  <a:defRPr/>
                </a:pPr>
                <a:r>
                  <a:rPr lang="en-IN"/>
                  <a:t>Total Monthly</a:t>
                </a:r>
                <a:r>
                  <a:rPr lang="en-IN" baseline="0"/>
                  <a:t> Fuel Expenses</a:t>
                </a:r>
                <a:endParaRPr lang="en-IN"/>
              </a:p>
            </c:rich>
          </c:tx>
          <c:overlay val="0"/>
        </c:title>
        <c:numFmt formatCode="0" sourceLinked="1"/>
        <c:majorTickMark val="out"/>
        <c:minorTickMark val="none"/>
        <c:tickLblPos val="nextTo"/>
        <c:crossAx val="214491136"/>
        <c:crosses val="autoZero"/>
        <c:crossBetween val="midCat"/>
      </c:valAx>
    </c:plotArea>
    <c:legend>
      <c:legendPos val="r"/>
      <c:layout>
        <c:manualLayout>
          <c:xMode val="edge"/>
          <c:yMode val="edge"/>
          <c:x val="0.72792433109744692"/>
          <c:y val="0.36223947616304059"/>
          <c:w val="0.25584849183083019"/>
          <c:h val="0.38330233111105017"/>
        </c:manualLayout>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Avg</a:t>
            </a:r>
            <a:r>
              <a:rPr lang="en-US" sz="1200" b="1" baseline="0"/>
              <a:t> Monthly Fuel Expenses by Num Vehicle</a:t>
            </a:r>
            <a:endParaRPr lang="en-US" sz="1200" b="1"/>
          </a:p>
        </c:rich>
      </c:tx>
      <c:overlay val="0"/>
      <c:spPr>
        <a:noFill/>
        <a:ln>
          <a:noFill/>
        </a:ln>
        <a:effectLst/>
      </c:spPr>
    </c:title>
    <c:autoTitleDeleted val="0"/>
    <c:plotArea>
      <c:layout/>
      <c:barChart>
        <c:barDir val="col"/>
        <c:grouping val="clustered"/>
        <c:varyColors val="0"/>
        <c:ser>
          <c:idx val="0"/>
          <c:order val="0"/>
          <c:tx>
            <c:strRef>
              <c:f>ANOVA1!$J$2</c:f>
              <c:strCache>
                <c:ptCount val="1"/>
                <c:pt idx="0">
                  <c:v>Avg_Fuel_Monthly</c:v>
                </c:pt>
              </c:strCache>
            </c:strRef>
          </c:tx>
          <c:spPr>
            <a:solidFill>
              <a:schemeClr val="accent1"/>
            </a:solidFill>
            <a:ln>
              <a:noFill/>
            </a:ln>
            <a:effectLst/>
          </c:spPr>
          <c:invertIfNegative val="0"/>
          <c:cat>
            <c:strRef>
              <c:f>ANOVA1!$I$3:$I$6</c:f>
              <c:strCache>
                <c:ptCount val="4"/>
                <c:pt idx="0">
                  <c:v>1 Vehicle</c:v>
                </c:pt>
                <c:pt idx="1">
                  <c:v>2 Vehicle</c:v>
                </c:pt>
                <c:pt idx="2">
                  <c:v>3 Vehicle</c:v>
                </c:pt>
                <c:pt idx="3">
                  <c:v>4 Vehicle</c:v>
                </c:pt>
              </c:strCache>
            </c:strRef>
          </c:cat>
          <c:val>
            <c:numRef>
              <c:f>ANOVA1!$J$3:$J$6</c:f>
              <c:numCache>
                <c:formatCode>General</c:formatCode>
                <c:ptCount val="4"/>
                <c:pt idx="0">
                  <c:v>1657.812324929972</c:v>
                </c:pt>
                <c:pt idx="1">
                  <c:v>5574.4093567251466</c:v>
                </c:pt>
                <c:pt idx="2">
                  <c:v>8728.9473684210534</c:v>
                </c:pt>
                <c:pt idx="3">
                  <c:v>15000</c:v>
                </c:pt>
              </c:numCache>
            </c:numRef>
          </c:val>
        </c:ser>
        <c:dLbls>
          <c:showLegendKey val="0"/>
          <c:showVal val="0"/>
          <c:showCatName val="0"/>
          <c:showSerName val="0"/>
          <c:showPercent val="0"/>
          <c:showBubbleSize val="0"/>
        </c:dLbls>
        <c:gapWidth val="219"/>
        <c:overlap val="-27"/>
        <c:axId val="134392448"/>
        <c:axId val="134394624"/>
      </c:barChart>
      <c:catAx>
        <c:axId val="134392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a:t>
                </a:r>
                <a:r>
                  <a:rPr lang="en-US" baseline="0"/>
                  <a:t>_Vehicle Owned</a:t>
                </a:r>
                <a:endParaRPr lang="en-US"/>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94624"/>
        <c:crosses val="autoZero"/>
        <c:auto val="1"/>
        <c:lblAlgn val="ctr"/>
        <c:lblOffset val="100"/>
        <c:noMultiLvlLbl val="0"/>
      </c:catAx>
      <c:valAx>
        <c:axId val="134394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Avg_Monthly_Fuel</a:t>
                </a:r>
                <a:r>
                  <a:rPr lang="en-US" baseline="0"/>
                  <a:t> Expenses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92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b="0"/>
              <a:t>Income group vs Avg_monthly_fuel_expense</a:t>
            </a:r>
          </a:p>
        </c:rich>
      </c:tx>
      <c:overlay val="0"/>
    </c:title>
    <c:autoTitleDeleted val="0"/>
    <c:plotArea>
      <c:layout/>
      <c:barChart>
        <c:barDir val="col"/>
        <c:grouping val="clustered"/>
        <c:varyColors val="0"/>
        <c:ser>
          <c:idx val="0"/>
          <c:order val="0"/>
          <c:tx>
            <c:strRef>
              <c:f>ANOVA2!$J$25</c:f>
              <c:strCache>
                <c:ptCount val="1"/>
                <c:pt idx="0">
                  <c:v>Avg_monthly_fuel_expense</c:v>
                </c:pt>
              </c:strCache>
            </c:strRef>
          </c:tx>
          <c:invertIfNegative val="0"/>
          <c:cat>
            <c:strRef>
              <c:f>ANOVA2!$I$26:$I$31</c:f>
              <c:strCache>
                <c:ptCount val="6"/>
                <c:pt idx="0">
                  <c:v>Below10k</c:v>
                </c:pt>
                <c:pt idx="1">
                  <c:v>10k-30k</c:v>
                </c:pt>
                <c:pt idx="2">
                  <c:v>30k-50k</c:v>
                </c:pt>
                <c:pt idx="3">
                  <c:v>50k-70k</c:v>
                </c:pt>
                <c:pt idx="4">
                  <c:v>70k-1L</c:v>
                </c:pt>
                <c:pt idx="5">
                  <c:v>above 1L</c:v>
                </c:pt>
              </c:strCache>
            </c:strRef>
          </c:cat>
          <c:val>
            <c:numRef>
              <c:f>ANOVA2!$J$26:$J$31</c:f>
              <c:numCache>
                <c:formatCode>General</c:formatCode>
                <c:ptCount val="6"/>
                <c:pt idx="0">
                  <c:v>1309.04</c:v>
                </c:pt>
                <c:pt idx="1">
                  <c:v>2049.0495049504952</c:v>
                </c:pt>
                <c:pt idx="2">
                  <c:v>3577.6847290640394</c:v>
                </c:pt>
                <c:pt idx="3">
                  <c:v>4925.908163265306</c:v>
                </c:pt>
                <c:pt idx="4">
                  <c:v>6133.478260869565</c:v>
                </c:pt>
                <c:pt idx="5">
                  <c:v>10064.705882352941</c:v>
                </c:pt>
              </c:numCache>
            </c:numRef>
          </c:val>
        </c:ser>
        <c:dLbls>
          <c:showLegendKey val="0"/>
          <c:showVal val="0"/>
          <c:showCatName val="0"/>
          <c:showSerName val="0"/>
          <c:showPercent val="0"/>
          <c:showBubbleSize val="0"/>
        </c:dLbls>
        <c:gapWidth val="150"/>
        <c:axId val="134083712"/>
        <c:axId val="134085632"/>
      </c:barChart>
      <c:catAx>
        <c:axId val="134083712"/>
        <c:scaling>
          <c:orientation val="minMax"/>
        </c:scaling>
        <c:delete val="0"/>
        <c:axPos val="b"/>
        <c:title>
          <c:tx>
            <c:rich>
              <a:bodyPr/>
              <a:lstStyle/>
              <a:p>
                <a:pPr>
                  <a:defRPr/>
                </a:pPr>
                <a:r>
                  <a:rPr lang="en-IN"/>
                  <a:t>Income group</a:t>
                </a:r>
              </a:p>
            </c:rich>
          </c:tx>
          <c:overlay val="0"/>
        </c:title>
        <c:majorTickMark val="out"/>
        <c:minorTickMark val="none"/>
        <c:tickLblPos val="nextTo"/>
        <c:crossAx val="134085632"/>
        <c:crosses val="autoZero"/>
        <c:auto val="1"/>
        <c:lblAlgn val="ctr"/>
        <c:lblOffset val="100"/>
        <c:noMultiLvlLbl val="0"/>
      </c:catAx>
      <c:valAx>
        <c:axId val="134085632"/>
        <c:scaling>
          <c:orientation val="minMax"/>
        </c:scaling>
        <c:delete val="0"/>
        <c:axPos val="l"/>
        <c:majorGridlines/>
        <c:title>
          <c:tx>
            <c:rich>
              <a:bodyPr rot="-5400000" vert="horz"/>
              <a:lstStyle/>
              <a:p>
                <a:pPr>
                  <a:defRPr/>
                </a:pPr>
                <a:r>
                  <a:rPr lang="en-US" sz="1100" b="0" i="0" baseline="0">
                    <a:effectLst/>
                  </a:rPr>
                  <a:t>Avg_monthly_fuel_expense</a:t>
                </a:r>
                <a:endParaRPr lang="en-IN" sz="1100" b="0">
                  <a:effectLst/>
                </a:endParaRPr>
              </a:p>
            </c:rich>
          </c:tx>
          <c:layout>
            <c:manualLayout>
              <c:xMode val="edge"/>
              <c:yMode val="edge"/>
              <c:x val="3.0555555555555555E-2"/>
              <c:y val="0.18842592592592594"/>
            </c:manualLayout>
          </c:layout>
          <c:overlay val="0"/>
        </c:title>
        <c:numFmt formatCode="General" sourceLinked="1"/>
        <c:majorTickMark val="out"/>
        <c:minorTickMark val="none"/>
        <c:tickLblPos val="nextTo"/>
        <c:crossAx val="134083712"/>
        <c:crosses val="autoZero"/>
        <c:crossBetween val="between"/>
      </c:valAx>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[Fuel_Consumption_Analysis_project.xlsx]PIVOT_Data!PivotTable1</c:name>
    <c:fmtId val="2"/>
  </c:pivotSource>
  <c:chart>
    <c:title>
      <c:tx>
        <c:rich>
          <a:bodyPr/>
          <a:lstStyle/>
          <a:p>
            <a:pPr algn="ctr" rtl="0">
              <a:defRPr lang="en-IN" sz="1400" b="1" i="0" u="none" strike="noStrike" kern="1200" baseline="0">
                <a:solidFill>
                  <a:srgbClr val="000000"/>
                </a:solidFill>
                <a:latin typeface="Times New Roman" pitchFamily="18" charset="0"/>
                <a:ea typeface="+mn-ea"/>
                <a:cs typeface="Times New Roman" pitchFamily="18" charset="0"/>
              </a:defRPr>
            </a:pPr>
            <a:r>
              <a:rPr lang="en-IN" sz="1400" b="1" i="0" u="none" strike="noStrike" kern="1200" baseline="0">
                <a:solidFill>
                  <a:srgbClr val="000000"/>
                </a:solidFill>
                <a:latin typeface="Times New Roman" pitchFamily="18" charset="0"/>
                <a:ea typeface="+mn-ea"/>
                <a:cs typeface="Times New Roman" pitchFamily="18" charset="0"/>
              </a:rPr>
              <a:t>Avg Fuel by Vehicle Type</a:t>
            </a:r>
          </a:p>
        </c:rich>
      </c:tx>
      <c:layout/>
      <c:overlay val="0"/>
    </c:title>
    <c:autoTitleDeleted val="0"/>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dLbl>
          <c:idx val="0"/>
          <c:showLegendKey val="0"/>
          <c:showVal val="1"/>
          <c:showCatName val="0"/>
          <c:showSerName val="0"/>
          <c:showPercent val="0"/>
          <c:showBubbleSize val="0"/>
        </c:dLbl>
      </c:pivotFmt>
      <c:pivotFmt>
        <c:idx val="3"/>
        <c:marker>
          <c:symbol val="none"/>
        </c:marker>
        <c:dLbl>
          <c:idx val="0"/>
          <c:layout/>
          <c:numFmt formatCode="#,##0" sourceLinked="0"/>
          <c:spPr/>
          <c:txPr>
            <a:bodyPr/>
            <a:lstStyle/>
            <a:p>
              <a:pPr>
                <a:defRPr/>
              </a:pPr>
              <a:endParaRPr lang="en-US"/>
            </a:p>
          </c:txPr>
          <c:dLblPos val="inEnd"/>
          <c:showLegendKey val="0"/>
          <c:showVal val="1"/>
          <c:showCatName val="0"/>
          <c:showSerName val="0"/>
          <c:showPercent val="0"/>
          <c:showBubbleSize val="0"/>
        </c:dLbl>
      </c:pivotFmt>
      <c:pivotFmt>
        <c:idx val="4"/>
      </c:pivotFmt>
      <c:pivotFmt>
        <c:idx val="5"/>
      </c:pivotFmt>
      <c:pivotFmt>
        <c:idx val="6"/>
      </c:pivotFmt>
      <c:pivotFmt>
        <c:idx val="7"/>
      </c:pivotFmt>
    </c:pivotFmts>
    <c:plotArea>
      <c:layout/>
      <c:barChart>
        <c:barDir val="bar"/>
        <c:grouping val="clustered"/>
        <c:varyColors val="0"/>
        <c:ser>
          <c:idx val="0"/>
          <c:order val="0"/>
          <c:tx>
            <c:strRef>
              <c:f>PIVOT_Data!$B$1</c:f>
              <c:strCache>
                <c:ptCount val="1"/>
                <c:pt idx="0">
                  <c:v>Total</c:v>
                </c:pt>
              </c:strCache>
            </c:strRef>
          </c:tx>
          <c:invertIfNegative val="0"/>
          <c:dLbls>
            <c:numFmt formatCode="#,##0" sourceLinked="0"/>
            <c:spPr/>
            <c:txPr>
              <a:bodyPr/>
              <a:lstStyle/>
              <a:p>
                <a:pPr>
                  <a:defRPr/>
                </a:pPr>
                <a:endParaRPr lang="en-US"/>
              </a:p>
            </c:txPr>
            <c:dLblPos val="inEnd"/>
            <c:showLegendKey val="0"/>
            <c:showVal val="1"/>
            <c:showCatName val="0"/>
            <c:showSerName val="0"/>
            <c:showPercent val="0"/>
            <c:showBubbleSize val="0"/>
            <c:showLeaderLines val="0"/>
          </c:dLbls>
          <c:cat>
            <c:strRef>
              <c:f>PIVOT_Data!$A$2:$A$5</c:f>
              <c:strCache>
                <c:ptCount val="4"/>
                <c:pt idx="0">
                  <c:v>Bike owners</c:v>
                </c:pt>
                <c:pt idx="1">
                  <c:v>Car owners</c:v>
                </c:pt>
                <c:pt idx="2">
                  <c:v>Commercial Vehicle owners</c:v>
                </c:pt>
                <c:pt idx="3">
                  <c:v>Scooty owners</c:v>
                </c:pt>
              </c:strCache>
            </c:strRef>
          </c:cat>
          <c:val>
            <c:numRef>
              <c:f>PIVOT_Data!$B$2:$B$5</c:f>
              <c:numCache>
                <c:formatCode>General</c:formatCode>
                <c:ptCount val="4"/>
                <c:pt idx="0">
                  <c:v>4116.9802816901411</c:v>
                </c:pt>
                <c:pt idx="1">
                  <c:v>5135.8869047619046</c:v>
                </c:pt>
                <c:pt idx="2">
                  <c:v>9236.0465116279065</c:v>
                </c:pt>
                <c:pt idx="3">
                  <c:v>1413.1818181818182</c:v>
                </c:pt>
              </c:numCache>
            </c:numRef>
          </c:val>
        </c:ser>
        <c:dLbls>
          <c:dLblPos val="inEnd"/>
          <c:showLegendKey val="0"/>
          <c:showVal val="1"/>
          <c:showCatName val="0"/>
          <c:showSerName val="0"/>
          <c:showPercent val="0"/>
          <c:showBubbleSize val="0"/>
        </c:dLbls>
        <c:gapWidth val="150"/>
        <c:axId val="133885312"/>
        <c:axId val="133916928"/>
      </c:barChart>
      <c:catAx>
        <c:axId val="133885312"/>
        <c:scaling>
          <c:orientation val="minMax"/>
        </c:scaling>
        <c:delete val="0"/>
        <c:axPos val="l"/>
        <c:majorTickMark val="none"/>
        <c:minorTickMark val="none"/>
        <c:tickLblPos val="nextTo"/>
        <c:crossAx val="133916928"/>
        <c:crosses val="autoZero"/>
        <c:auto val="1"/>
        <c:lblAlgn val="ctr"/>
        <c:lblOffset val="100"/>
        <c:noMultiLvlLbl val="0"/>
      </c:catAx>
      <c:valAx>
        <c:axId val="133916928"/>
        <c:scaling>
          <c:orientation val="minMax"/>
        </c:scaling>
        <c:delete val="1"/>
        <c:axPos val="b"/>
        <c:numFmt formatCode="General" sourceLinked="1"/>
        <c:majorTickMark val="none"/>
        <c:minorTickMark val="none"/>
        <c:tickLblPos val="nextTo"/>
        <c:crossAx val="133885312"/>
        <c:crosses val="autoZero"/>
        <c:crossBetween val="between"/>
      </c:valAx>
      <c:spPr>
        <a:solidFill>
          <a:schemeClr val="bg2">
            <a:lumMod val="95000"/>
          </a:schemeClr>
        </a:solidFill>
        <a:effectLst>
          <a:glow>
            <a:schemeClr val="accent1">
              <a:alpha val="0"/>
            </a:schemeClr>
          </a:glow>
        </a:effectLst>
        <a:scene3d>
          <a:camera prst="orthographicFront"/>
          <a:lightRig rig="threePt" dir="t"/>
        </a:scene3d>
        <a:sp3d prstMaterial="matte"/>
      </c:spPr>
    </c:plotArea>
    <c:plotVisOnly val="1"/>
    <c:dispBlanksAs val="gap"/>
    <c:showDLblsOverMax val="0"/>
  </c:chart>
  <c:spPr>
    <a:ln>
      <a:solidFill>
        <a:schemeClr val="bg2">
          <a:lumMod val="95000"/>
        </a:schemeClr>
      </a:solid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[Fuel_Consumption_Analysis_project.xlsx]PIVOT_Data!PivotTable2</c:name>
    <c:fmtId val="4"/>
  </c:pivotSource>
  <c:chart>
    <c:title>
      <c:tx>
        <c:rich>
          <a:bodyPr/>
          <a:lstStyle/>
          <a:p>
            <a:pPr>
              <a:defRPr sz="1400"/>
            </a:pPr>
            <a:r>
              <a:rPr lang="en-IN" sz="1400"/>
              <a:t>Avg</a:t>
            </a:r>
            <a:r>
              <a:rPr lang="en-IN" sz="1400" baseline="0"/>
              <a:t> Fuel by Income Group</a:t>
            </a:r>
            <a:endParaRPr lang="en-IN" sz="1400"/>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dLbl>
          <c:idx val="0"/>
          <c:numFmt formatCode="#,##0" sourceLinked="0"/>
          <c:spPr/>
          <c:txPr>
            <a:bodyPr/>
            <a:lstStyle/>
            <a:p>
              <a:pPr>
                <a:defRPr/>
              </a:pPr>
              <a:endParaRPr lang="en-US"/>
            </a:p>
          </c:txPr>
          <c:showLegendKey val="0"/>
          <c:showVal val="1"/>
          <c:showCatName val="0"/>
          <c:showSerName val="0"/>
          <c:showPercent val="0"/>
          <c:showBubbleSize val="0"/>
        </c:dLbl>
      </c:pivotFmt>
      <c:pivotFmt>
        <c:idx val="4"/>
        <c:marker>
          <c:symbol val="none"/>
        </c:marker>
        <c:dLbl>
          <c:idx val="0"/>
          <c:numFmt formatCode="#,##0" sourceLinked="0"/>
          <c:spPr/>
          <c:txPr>
            <a:bodyPr/>
            <a:lstStyle/>
            <a:p>
              <a:pPr>
                <a:defRPr/>
              </a:pPr>
              <a:endParaRPr lang="en-US"/>
            </a:p>
          </c:txPr>
          <c:showLegendKey val="0"/>
          <c:showVal val="1"/>
          <c:showCatName val="0"/>
          <c:showSerName val="0"/>
          <c:showPercent val="0"/>
          <c:showBubbleSize val="0"/>
        </c:dLbl>
      </c:pivotFmt>
      <c:pivotFmt>
        <c:idx val="5"/>
        <c:marker>
          <c:symbol val="none"/>
        </c:marker>
        <c:dLbl>
          <c:idx val="0"/>
          <c:layout/>
          <c:numFmt formatCode="#,##0" sourceLinked="0"/>
          <c:spPr>
            <a:ln>
              <a:noFill/>
            </a:ln>
          </c:spPr>
          <c:txPr>
            <a:bodyPr/>
            <a:lstStyle/>
            <a:p>
              <a:pPr>
                <a:defRPr sz="1050" b="1">
                  <a:solidFill>
                    <a:schemeClr val="tx2"/>
                  </a:solidFill>
                </a:defRPr>
              </a:pPr>
              <a:endParaRPr lang="en-US"/>
            </a:p>
          </c:txPr>
          <c:dLblPos val="inBase"/>
          <c:showLegendKey val="0"/>
          <c:showVal val="1"/>
          <c:showCatName val="0"/>
          <c:showSerName val="0"/>
          <c:showPercent val="0"/>
          <c:showBubbleSize val="0"/>
        </c:dLbl>
      </c:pivotFmt>
      <c:pivotFmt>
        <c:idx val="6"/>
        <c:marker>
          <c:symbol val="none"/>
        </c:marker>
      </c:pivotFmt>
    </c:pivotFmts>
    <c:plotArea>
      <c:layout/>
      <c:barChart>
        <c:barDir val="col"/>
        <c:grouping val="clustered"/>
        <c:varyColors val="0"/>
        <c:ser>
          <c:idx val="0"/>
          <c:order val="0"/>
          <c:tx>
            <c:strRef>
              <c:f>PIVOT_Data!$E$1</c:f>
              <c:strCache>
                <c:ptCount val="1"/>
                <c:pt idx="0">
                  <c:v>Total</c:v>
                </c:pt>
              </c:strCache>
            </c:strRef>
          </c:tx>
          <c:invertIfNegative val="0"/>
          <c:dLbls>
            <c:numFmt formatCode="#,##0" sourceLinked="0"/>
            <c:spPr>
              <a:ln>
                <a:noFill/>
              </a:ln>
            </c:spPr>
            <c:txPr>
              <a:bodyPr/>
              <a:lstStyle/>
              <a:p>
                <a:pPr>
                  <a:defRPr sz="1050" b="1">
                    <a:solidFill>
                      <a:schemeClr val="tx2"/>
                    </a:solidFill>
                  </a:defRPr>
                </a:pPr>
                <a:endParaRPr lang="en-US"/>
              </a:p>
            </c:txPr>
            <c:dLblPos val="inBase"/>
            <c:showLegendKey val="0"/>
            <c:showVal val="1"/>
            <c:showCatName val="0"/>
            <c:showSerName val="0"/>
            <c:showPercent val="0"/>
            <c:showBubbleSize val="0"/>
            <c:showLeaderLines val="0"/>
          </c:dLbls>
          <c:cat>
            <c:strRef>
              <c:f>PIVOT_Data!$D$2:$D$8</c:f>
              <c:strCache>
                <c:ptCount val="6"/>
                <c:pt idx="0">
                  <c:v>10,000-30,000</c:v>
                </c:pt>
                <c:pt idx="1">
                  <c:v>30,000-50,000</c:v>
                </c:pt>
                <c:pt idx="2">
                  <c:v>50,000-70,000</c:v>
                </c:pt>
                <c:pt idx="3">
                  <c:v>70,000-1,00,000</c:v>
                </c:pt>
                <c:pt idx="4">
                  <c:v>above 1,00,000</c:v>
                </c:pt>
                <c:pt idx="5">
                  <c:v>below 10,000</c:v>
                </c:pt>
              </c:strCache>
            </c:strRef>
          </c:cat>
          <c:val>
            <c:numRef>
              <c:f>PIVOT_Data!$E$2:$E$8</c:f>
              <c:numCache>
                <c:formatCode>General</c:formatCode>
                <c:ptCount val="6"/>
                <c:pt idx="0">
                  <c:v>2049.0495049504952</c:v>
                </c:pt>
                <c:pt idx="1">
                  <c:v>3577.6847290640394</c:v>
                </c:pt>
                <c:pt idx="2">
                  <c:v>4925.908163265306</c:v>
                </c:pt>
                <c:pt idx="3">
                  <c:v>6133.478260869565</c:v>
                </c:pt>
                <c:pt idx="4">
                  <c:v>10064.705882352941</c:v>
                </c:pt>
                <c:pt idx="5">
                  <c:v>1309.04</c:v>
                </c:pt>
              </c:numCache>
            </c:numRef>
          </c:val>
        </c:ser>
        <c:dLbls>
          <c:showLegendKey val="0"/>
          <c:showVal val="0"/>
          <c:showCatName val="0"/>
          <c:showSerName val="0"/>
          <c:showPercent val="0"/>
          <c:showBubbleSize val="0"/>
        </c:dLbls>
        <c:gapWidth val="150"/>
        <c:axId val="135561600"/>
        <c:axId val="135563136"/>
      </c:barChart>
      <c:catAx>
        <c:axId val="135561600"/>
        <c:scaling>
          <c:orientation val="minMax"/>
        </c:scaling>
        <c:delete val="0"/>
        <c:axPos val="b"/>
        <c:numFmt formatCode="General" sourceLinked="0"/>
        <c:majorTickMark val="out"/>
        <c:minorTickMark val="none"/>
        <c:tickLblPos val="nextTo"/>
        <c:spPr>
          <a:noFill/>
        </c:spPr>
        <c:txPr>
          <a:bodyPr/>
          <a:lstStyle/>
          <a:p>
            <a:pPr>
              <a:defRPr sz="800" b="0"/>
            </a:pPr>
            <a:endParaRPr lang="en-US"/>
          </a:p>
        </c:txPr>
        <c:crossAx val="135563136"/>
        <c:crosses val="autoZero"/>
        <c:auto val="0"/>
        <c:lblAlgn val="ctr"/>
        <c:lblOffset val="100"/>
        <c:noMultiLvlLbl val="0"/>
      </c:catAx>
      <c:valAx>
        <c:axId val="135563136"/>
        <c:scaling>
          <c:orientation val="minMax"/>
        </c:scaling>
        <c:delete val="1"/>
        <c:axPos val="l"/>
        <c:numFmt formatCode="General" sourceLinked="1"/>
        <c:majorTickMark val="out"/>
        <c:minorTickMark val="none"/>
        <c:tickLblPos val="nextTo"/>
        <c:crossAx val="135561600"/>
        <c:crosses val="autoZero"/>
        <c:crossBetween val="between"/>
      </c:valAx>
      <c:spPr>
        <a:solidFill>
          <a:schemeClr val="bg2">
            <a:lumMod val="95000"/>
          </a:schemeClr>
        </a:solidFill>
        <a:ln>
          <a:noFill/>
        </a:ln>
      </c:spPr>
    </c:plotArea>
    <c:plotVisOnly val="1"/>
    <c:dispBlanksAs val="gap"/>
    <c:showDLblsOverMax val="0"/>
  </c:chart>
  <c:spPr>
    <a:solidFill>
      <a:schemeClr val="bg2"/>
    </a:solidFill>
    <a:ln cap="flat">
      <a:solidFill>
        <a:schemeClr val="bg2">
          <a:lumMod val="95000"/>
        </a:schemeClr>
      </a:solidFill>
    </a:ln>
  </c:spPr>
  <c:txPr>
    <a:bodyPr/>
    <a:lstStyle/>
    <a:p>
      <a:pPr algn="ctr" rtl="0">
        <a:defRPr lang="en-IN" sz="1400" b="1" i="0" u="none" strike="noStrike" kern="1200" baseline="0">
          <a:solidFill>
            <a:srgbClr val="000000"/>
          </a:solidFill>
          <a:latin typeface="Times New Roman" pitchFamily="18" charset="0"/>
          <a:ea typeface="+mn-ea"/>
          <a:cs typeface="Times New Roman"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[Fuel_Consumption_Analysis_project.xlsx]PIVOT_Data!PivotTable3</c:name>
    <c:fmtId val="2"/>
  </c:pivotSource>
  <c:chart>
    <c:title>
      <c:tx>
        <c:rich>
          <a:bodyPr/>
          <a:lstStyle/>
          <a:p>
            <a:pPr algn="ctr" rtl="0">
              <a:defRPr sz="1400" b="1"/>
            </a:pPr>
            <a:r>
              <a:rPr lang="en-IN" sz="1400" b="1"/>
              <a:t>Avg Fuel by Num Vehicle</a:t>
            </a:r>
          </a:p>
        </c:rich>
      </c:tx>
      <c:layout>
        <c:manualLayout>
          <c:xMode val="edge"/>
          <c:yMode val="edge"/>
          <c:x val="0.16375290854600624"/>
          <c:y val="2.7210884353741496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dLbl>
          <c:idx val="0"/>
          <c:numFmt formatCode="#,##0" sourceLinked="0"/>
          <c:spPr/>
          <c:txPr>
            <a:bodyPr/>
            <a:lstStyle/>
            <a:p>
              <a:pPr>
                <a:defRPr/>
              </a:pPr>
              <a:endParaRPr lang="en-US"/>
            </a:p>
          </c:txPr>
          <c:showLegendKey val="0"/>
          <c:showVal val="1"/>
          <c:showCatName val="0"/>
          <c:showSerName val="0"/>
          <c:showPercent val="0"/>
          <c:showBubbleSize val="0"/>
        </c:dLbl>
      </c:pivotFmt>
      <c:pivotFmt>
        <c:idx val="4"/>
        <c:marker>
          <c:symbol val="none"/>
        </c:marker>
        <c:dLbl>
          <c:idx val="0"/>
          <c:numFmt formatCode="#,##0" sourceLinked="0"/>
          <c:spPr/>
          <c:txPr>
            <a:bodyPr/>
            <a:lstStyle/>
            <a:p>
              <a:pPr>
                <a:defRPr/>
              </a:pPr>
              <a:endParaRPr lang="en-US"/>
            </a:p>
          </c:txPr>
          <c:showLegendKey val="0"/>
          <c:showVal val="1"/>
          <c:showCatName val="0"/>
          <c:showSerName val="0"/>
          <c:showPercent val="0"/>
          <c:showBubbleSize val="0"/>
        </c:dLbl>
      </c:pivotFmt>
      <c:pivotFmt>
        <c:idx val="5"/>
        <c:marker>
          <c:symbol val="none"/>
        </c:marker>
        <c:dLbl>
          <c:idx val="0"/>
          <c:layout/>
          <c:numFmt formatCode="#,##0" sourceLinked="0"/>
          <c:spPr/>
          <c:txPr>
            <a:bodyPr/>
            <a:lstStyle/>
            <a:p>
              <a:pPr>
                <a:defRPr b="1"/>
              </a:pPr>
              <a:endParaRPr lang="en-US"/>
            </a:p>
          </c:txPr>
          <c:dLblPos val="inBase"/>
          <c:showLegendKey val="0"/>
          <c:showVal val="1"/>
          <c:showCatName val="0"/>
          <c:showSerName val="0"/>
          <c:showPercent val="0"/>
          <c:showBubbleSize val="0"/>
        </c:dLbl>
      </c:pivotFmt>
    </c:pivotFmts>
    <c:plotArea>
      <c:layout/>
      <c:barChart>
        <c:barDir val="col"/>
        <c:grouping val="clustered"/>
        <c:varyColors val="0"/>
        <c:ser>
          <c:idx val="0"/>
          <c:order val="0"/>
          <c:tx>
            <c:strRef>
              <c:f>PIVOT_Data!$I$1</c:f>
              <c:strCache>
                <c:ptCount val="1"/>
                <c:pt idx="0">
                  <c:v>Total</c:v>
                </c:pt>
              </c:strCache>
            </c:strRef>
          </c:tx>
          <c:invertIfNegative val="0"/>
          <c:dLbls>
            <c:numFmt formatCode="#,##0" sourceLinked="0"/>
            <c:spPr/>
            <c:txPr>
              <a:bodyPr/>
              <a:lstStyle/>
              <a:p>
                <a:pPr>
                  <a:defRPr b="1"/>
                </a:pPr>
                <a:endParaRPr lang="en-US"/>
              </a:p>
            </c:txPr>
            <c:dLblPos val="inBase"/>
            <c:showLegendKey val="0"/>
            <c:showVal val="1"/>
            <c:showCatName val="0"/>
            <c:showSerName val="0"/>
            <c:showPercent val="0"/>
            <c:showBubbleSize val="0"/>
            <c:showLeaderLines val="0"/>
          </c:dLbls>
          <c:cat>
            <c:strRef>
              <c:f>PIVOT_Data!$H$2:$H$6</c:f>
              <c:strCache>
                <c:ptCount val="4"/>
                <c:pt idx="0">
                  <c:v>1</c:v>
                </c:pt>
                <c:pt idx="1">
                  <c:v>2</c:v>
                </c:pt>
                <c:pt idx="2">
                  <c:v>3</c:v>
                </c:pt>
                <c:pt idx="3">
                  <c:v>4</c:v>
                </c:pt>
              </c:strCache>
            </c:strRef>
          </c:cat>
          <c:val>
            <c:numRef>
              <c:f>PIVOT_Data!$I$2:$I$6</c:f>
              <c:numCache>
                <c:formatCode>General</c:formatCode>
                <c:ptCount val="4"/>
                <c:pt idx="0">
                  <c:v>1657.812324929972</c:v>
                </c:pt>
                <c:pt idx="1">
                  <c:v>5574.4093567251466</c:v>
                </c:pt>
                <c:pt idx="2">
                  <c:v>8728.9473684210534</c:v>
                </c:pt>
                <c:pt idx="3">
                  <c:v>15000</c:v>
                </c:pt>
              </c:numCache>
            </c:numRef>
          </c:val>
        </c:ser>
        <c:dLbls>
          <c:showLegendKey val="0"/>
          <c:showVal val="0"/>
          <c:showCatName val="0"/>
          <c:showSerName val="0"/>
          <c:showPercent val="0"/>
          <c:showBubbleSize val="0"/>
        </c:dLbls>
        <c:gapWidth val="150"/>
        <c:axId val="135605248"/>
        <c:axId val="135619328"/>
      </c:barChart>
      <c:catAx>
        <c:axId val="135605248"/>
        <c:scaling>
          <c:orientation val="minMax"/>
        </c:scaling>
        <c:delete val="0"/>
        <c:axPos val="b"/>
        <c:majorTickMark val="out"/>
        <c:minorTickMark val="none"/>
        <c:tickLblPos val="nextTo"/>
        <c:crossAx val="135619328"/>
        <c:crosses val="autoZero"/>
        <c:auto val="1"/>
        <c:lblAlgn val="ctr"/>
        <c:lblOffset val="100"/>
        <c:noMultiLvlLbl val="0"/>
      </c:catAx>
      <c:valAx>
        <c:axId val="135619328"/>
        <c:scaling>
          <c:orientation val="minMax"/>
        </c:scaling>
        <c:delete val="1"/>
        <c:axPos val="l"/>
        <c:numFmt formatCode="General" sourceLinked="1"/>
        <c:majorTickMark val="out"/>
        <c:minorTickMark val="none"/>
        <c:tickLblPos val="nextTo"/>
        <c:crossAx val="135605248"/>
        <c:crosses val="autoZero"/>
        <c:crossBetween val="between"/>
      </c:valAx>
      <c:spPr>
        <a:solidFill>
          <a:schemeClr val="bg2">
            <a:lumMod val="95000"/>
          </a:schemeClr>
        </a:solidFill>
      </c:spPr>
    </c:plotArea>
    <c:plotVisOnly val="1"/>
    <c:dispBlanksAs val="gap"/>
    <c:showDLblsOverMax val="0"/>
  </c:chart>
  <c:spPr>
    <a:solidFill>
      <a:schemeClr val="bg2"/>
    </a:solidFill>
    <a:ln>
      <a:solidFill>
        <a:schemeClr val="bg2">
          <a:lumMod val="95000"/>
        </a:schemeClr>
      </a:solidFill>
    </a:ln>
  </c:spPr>
  <c:txPr>
    <a:bodyPr/>
    <a:lstStyle/>
    <a:p>
      <a:pPr algn="ctr" rtl="0">
        <a:defRPr lang="en-IN" sz="1100" b="0" i="0" u="none" strike="noStrike" kern="1200" baseline="0">
          <a:solidFill>
            <a:srgbClr val="000000"/>
          </a:solidFill>
          <a:latin typeface="Times New Roman" pitchFamily="18" charset="0"/>
          <a:ea typeface="+mn-ea"/>
          <a:cs typeface="Times New Roman"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Times New Roman" pitchFamily="18" charset="0"/>
                <a:cs typeface="Times New Roman" pitchFamily="18" charset="0"/>
              </a:defRPr>
            </a:pPr>
            <a:r>
              <a:rPr lang="en-IN" sz="1400">
                <a:latin typeface="Times New Roman" pitchFamily="18" charset="0"/>
                <a:cs typeface="Times New Roman" pitchFamily="18" charset="0"/>
              </a:rPr>
              <a:t>Per</a:t>
            </a:r>
            <a:r>
              <a:rPr lang="en-IN" sz="1400" baseline="0">
                <a:latin typeface="Times New Roman" pitchFamily="18" charset="0"/>
                <a:cs typeface="Times New Roman" pitchFamily="18" charset="0"/>
              </a:rPr>
              <a:t> Capita Distribution</a:t>
            </a:r>
            <a:endParaRPr lang="en-IN" sz="1400">
              <a:latin typeface="Times New Roman" pitchFamily="18" charset="0"/>
              <a:cs typeface="Times New Roman" pitchFamily="18" charset="0"/>
            </a:endParaRPr>
          </a:p>
        </c:rich>
      </c:tx>
      <c:layout/>
      <c:overlay val="0"/>
    </c:title>
    <c:autoTitleDeleted val="0"/>
    <c:plotArea>
      <c:layout/>
      <c:barChart>
        <c:barDir val="col"/>
        <c:grouping val="clustered"/>
        <c:varyColors val="0"/>
        <c:ser>
          <c:idx val="0"/>
          <c:order val="0"/>
          <c:tx>
            <c:v>Frequency</c:v>
          </c:tx>
          <c:invertIfNegative val="0"/>
          <c:dLbls>
            <c:spPr>
              <a:ln w="0" cmpd="sng">
                <a:noFill/>
              </a:ln>
            </c:spPr>
            <c:txPr>
              <a:bodyPr/>
              <a:lstStyle/>
              <a:p>
                <a:pPr>
                  <a:defRPr b="1"/>
                </a:pPr>
                <a:endParaRPr lang="en-US"/>
              </a:p>
            </c:txPr>
            <c:dLblPos val="inBase"/>
            <c:showLegendKey val="0"/>
            <c:showVal val="1"/>
            <c:showCatName val="0"/>
            <c:showSerName val="0"/>
            <c:showPercent val="0"/>
            <c:showBubbleSize val="0"/>
            <c:showLeaderLines val="0"/>
          </c:dLbls>
          <c:cat>
            <c:strRef>
              <c:f>Histogram!$A$4:$A$12</c:f>
              <c:strCache>
                <c:ptCount val="9"/>
                <c:pt idx="0">
                  <c:v>500</c:v>
                </c:pt>
                <c:pt idx="1">
                  <c:v>1000</c:v>
                </c:pt>
                <c:pt idx="2">
                  <c:v>1500</c:v>
                </c:pt>
                <c:pt idx="3">
                  <c:v>2000</c:v>
                </c:pt>
                <c:pt idx="4">
                  <c:v>2500</c:v>
                </c:pt>
                <c:pt idx="5">
                  <c:v>3000</c:v>
                </c:pt>
                <c:pt idx="6">
                  <c:v>3500</c:v>
                </c:pt>
                <c:pt idx="7">
                  <c:v>4000</c:v>
                </c:pt>
                <c:pt idx="8">
                  <c:v>More</c:v>
                </c:pt>
              </c:strCache>
            </c:strRef>
          </c:cat>
          <c:val>
            <c:numRef>
              <c:f>Histogram!$B$4:$B$12</c:f>
              <c:numCache>
                <c:formatCode>General</c:formatCode>
                <c:ptCount val="9"/>
                <c:pt idx="0">
                  <c:v>304</c:v>
                </c:pt>
                <c:pt idx="1">
                  <c:v>109</c:v>
                </c:pt>
                <c:pt idx="2">
                  <c:v>69</c:v>
                </c:pt>
                <c:pt idx="3">
                  <c:v>45</c:v>
                </c:pt>
                <c:pt idx="4">
                  <c:v>25</c:v>
                </c:pt>
                <c:pt idx="5">
                  <c:v>4</c:v>
                </c:pt>
                <c:pt idx="6">
                  <c:v>5</c:v>
                </c:pt>
                <c:pt idx="7">
                  <c:v>5</c:v>
                </c:pt>
                <c:pt idx="8">
                  <c:v>1</c:v>
                </c:pt>
              </c:numCache>
            </c:numRef>
          </c:val>
        </c:ser>
        <c:dLbls>
          <c:showLegendKey val="0"/>
          <c:showVal val="0"/>
          <c:showCatName val="0"/>
          <c:showSerName val="0"/>
          <c:showPercent val="0"/>
          <c:showBubbleSize val="0"/>
        </c:dLbls>
        <c:gapWidth val="0"/>
        <c:axId val="135635712"/>
        <c:axId val="135637248"/>
      </c:barChart>
      <c:catAx>
        <c:axId val="135635712"/>
        <c:scaling>
          <c:orientation val="minMax"/>
        </c:scaling>
        <c:delete val="0"/>
        <c:axPos val="b"/>
        <c:numFmt formatCode="General" sourceLinked="0"/>
        <c:majorTickMark val="out"/>
        <c:minorTickMark val="none"/>
        <c:tickLblPos val="nextTo"/>
        <c:txPr>
          <a:bodyPr/>
          <a:lstStyle/>
          <a:p>
            <a:pPr>
              <a:defRPr sz="1000"/>
            </a:pPr>
            <a:endParaRPr lang="en-US"/>
          </a:p>
        </c:txPr>
        <c:crossAx val="135637248"/>
        <c:crosses val="autoZero"/>
        <c:auto val="1"/>
        <c:lblAlgn val="ctr"/>
        <c:lblOffset val="100"/>
        <c:noMultiLvlLbl val="0"/>
      </c:catAx>
      <c:valAx>
        <c:axId val="135637248"/>
        <c:scaling>
          <c:orientation val="minMax"/>
        </c:scaling>
        <c:delete val="1"/>
        <c:axPos val="l"/>
        <c:numFmt formatCode="General" sourceLinked="1"/>
        <c:majorTickMark val="out"/>
        <c:minorTickMark val="none"/>
        <c:tickLblPos val="nextTo"/>
        <c:crossAx val="135635712"/>
        <c:crosses val="autoZero"/>
        <c:crossBetween val="between"/>
      </c:valAx>
      <c:spPr>
        <a:solidFill>
          <a:schemeClr val="bg2">
            <a:lumMod val="95000"/>
          </a:schemeClr>
        </a:solidFill>
        <a:ln>
          <a:noFill/>
        </a:ln>
      </c:spPr>
    </c:plotArea>
    <c:plotVisOnly val="1"/>
    <c:dispBlanksAs val="gap"/>
    <c:showDLblsOverMax val="0"/>
  </c:chart>
  <c:spPr>
    <a:solidFill>
      <a:schemeClr val="bg2"/>
    </a:solidFill>
    <a:ln>
      <a:solidFill>
        <a:schemeClr val="bg2">
          <a:lumMod val="95000"/>
        </a:schemeClr>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38100</xdr:colOff>
      <xdr:row>0</xdr:row>
      <xdr:rowOff>104775</xdr:rowOff>
    </xdr:from>
    <xdr:to>
      <xdr:col>10</xdr:col>
      <xdr:colOff>342900</xdr:colOff>
      <xdr:row>17</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847725</xdr:colOff>
      <xdr:row>15</xdr:row>
      <xdr:rowOff>28575</xdr:rowOff>
    </xdr:from>
    <xdr:to>
      <xdr:col>6</xdr:col>
      <xdr:colOff>609600</xdr:colOff>
      <xdr:row>32</xdr:row>
      <xdr:rowOff>19050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476250</xdr:colOff>
      <xdr:row>12</xdr:row>
      <xdr:rowOff>95250</xdr:rowOff>
    </xdr:from>
    <xdr:to>
      <xdr:col>9</xdr:col>
      <xdr:colOff>323850</xdr:colOff>
      <xdr:row>29</xdr:row>
      <xdr:rowOff>85725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6</xdr:row>
      <xdr:rowOff>19050</xdr:rowOff>
    </xdr:from>
    <xdr:to>
      <xdr:col>5</xdr:col>
      <xdr:colOff>295275</xdr:colOff>
      <xdr:row>23</xdr:row>
      <xdr:rowOff>9525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657225</xdr:colOff>
      <xdr:row>25</xdr:row>
      <xdr:rowOff>9525</xdr:rowOff>
    </xdr:from>
    <xdr:to>
      <xdr:col>5</xdr:col>
      <xdr:colOff>809625</xdr:colOff>
      <xdr:row>41</xdr:row>
      <xdr:rowOff>28575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790575</xdr:colOff>
      <xdr:row>7</xdr:row>
      <xdr:rowOff>19050</xdr:rowOff>
    </xdr:from>
    <xdr:to>
      <xdr:col>6</xdr:col>
      <xdr:colOff>47625</xdr:colOff>
      <xdr:row>24</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171450</xdr:colOff>
      <xdr:row>0</xdr:row>
      <xdr:rowOff>628650</xdr:rowOff>
    </xdr:from>
    <xdr:to>
      <xdr:col>17</xdr:col>
      <xdr:colOff>476250</xdr:colOff>
      <xdr:row>17</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0</xdr:rowOff>
    </xdr:from>
    <xdr:to>
      <xdr:col>9</xdr:col>
      <xdr:colOff>276225</xdr:colOff>
      <xdr:row>16</xdr:row>
      <xdr:rowOff>123825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19050</xdr:colOff>
      <xdr:row>5</xdr:row>
      <xdr:rowOff>85724</xdr:rowOff>
    </xdr:from>
    <xdr:to>
      <xdr:col>12</xdr:col>
      <xdr:colOff>552451</xdr:colOff>
      <xdr:row>22</xdr:row>
      <xdr:rowOff>66674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12</xdr:col>
      <xdr:colOff>247650</xdr:colOff>
      <xdr:row>2</xdr:row>
      <xdr:rowOff>166687</xdr:rowOff>
    </xdr:from>
    <xdr:to>
      <xdr:col>18</xdr:col>
      <xdr:colOff>38100</xdr:colOff>
      <xdr:row>19</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533400</xdr:colOff>
      <xdr:row>32</xdr:row>
      <xdr:rowOff>9525</xdr:rowOff>
    </xdr:from>
    <xdr:to>
      <xdr:col>11</xdr:col>
      <xdr:colOff>581025</xdr:colOff>
      <xdr:row>49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28576</xdr:colOff>
      <xdr:row>10</xdr:row>
      <xdr:rowOff>28576</xdr:rowOff>
    </xdr:from>
    <xdr:to>
      <xdr:col>6</xdr:col>
      <xdr:colOff>580576</xdr:colOff>
      <xdr:row>24</xdr:row>
      <xdr:rowOff>101626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161922</xdr:colOff>
      <xdr:row>10</xdr:row>
      <xdr:rowOff>38100</xdr:rowOff>
    </xdr:from>
    <xdr:to>
      <xdr:col>13</xdr:col>
      <xdr:colOff>104322</xdr:colOff>
      <xdr:row>24</xdr:row>
      <xdr:rowOff>111150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26</xdr:row>
      <xdr:rowOff>19050</xdr:rowOff>
    </xdr:from>
    <xdr:to>
      <xdr:col>6</xdr:col>
      <xdr:colOff>580575</xdr:colOff>
      <xdr:row>40</xdr:row>
      <xdr:rowOff>92100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161925</xdr:colOff>
      <xdr:row>26</xdr:row>
      <xdr:rowOff>9524</xdr:rowOff>
    </xdr:from>
    <xdr:to>
      <xdr:col>13</xdr:col>
      <xdr:colOff>104325</xdr:colOff>
      <xdr:row>40</xdr:row>
      <xdr:rowOff>82574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419100</xdr:colOff>
      <xdr:row>26</xdr:row>
      <xdr:rowOff>0</xdr:rowOff>
    </xdr:from>
    <xdr:to>
      <xdr:col>16</xdr:col>
      <xdr:colOff>419100</xdr:colOff>
      <xdr:row>40</xdr:row>
      <xdr:rowOff>114300</xdr:rowOff>
    </xdr:to>
    <mc:AlternateContent xmlns:mc="http://schemas.openxmlformats.org/markup-compatibility/2006" xmlns:a14="http://schemas.microsoft.com/office/drawing/2010/main">
      <mc:Choice Requires="a14">
        <xdr:graphicFrame macro="">
          <xdr:nvGraphicFramePr>
            <xdr:cNvPr id="8" name="Monthly_income "/>
            <xdr:cNvGraphicFramePr/>
          </xdr:nvGraphicFramePr>
          <xdr:xfrm>
            <a:off x="0" y="0"/>
            <a:ext cx="0" cy="0"/>
          </xdr:xfrm>
          <a:graphic>
            <a:graphicData uri="http://schemas.microsoft.com/office/drawing/2010/slicer">
              <sle:slicer xmlns:sle="http://schemas.microsoft.com/office/drawing/2010/slicer" name="Monthly_income "/>
            </a:graphicData>
          </a:graphic>
        </xdr:graphicFrame>
      </mc:Choice>
      <mc:Fallback xmlns="">
        <xdr:sp macro="" textlink="">
          <xdr:nvSpPr>
            <xdr:cNvPr id="0" name=""/>
            <xdr:cNvSpPr>
              <a:spLocks noTextEdit="1"/>
            </xdr:cNvSpPr>
          </xdr:nvSpPr>
          <xdr:spPr>
            <a:xfrm>
              <a:off x="7734300" y="468630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466725</xdr:colOff>
      <xdr:row>10</xdr:row>
      <xdr:rowOff>38100</xdr:rowOff>
    </xdr:from>
    <xdr:to>
      <xdr:col>16</xdr:col>
      <xdr:colOff>466725</xdr:colOff>
      <xdr:row>24</xdr:row>
      <xdr:rowOff>152400</xdr:rowOff>
    </xdr:to>
    <mc:AlternateContent xmlns:mc="http://schemas.openxmlformats.org/markup-compatibility/2006" xmlns:a14="http://schemas.microsoft.com/office/drawing/2010/main">
      <mc:Choice Requires="a14">
        <xdr:graphicFrame macro="">
          <xdr:nvGraphicFramePr>
            <xdr:cNvPr id="5" name="Filter by Gender "/>
            <xdr:cNvGraphicFramePr/>
          </xdr:nvGraphicFramePr>
          <xdr:xfrm>
            <a:off x="0" y="0"/>
            <a:ext cx="0" cy="0"/>
          </xdr:xfrm>
          <a:graphic>
            <a:graphicData uri="http://schemas.microsoft.com/office/drawing/2010/slicer">
              <sle:slicer xmlns:sle="http://schemas.microsoft.com/office/drawing/2010/slicer" name="Filter by Gender "/>
            </a:graphicData>
          </a:graphic>
        </xdr:graphicFrame>
      </mc:Choice>
      <mc:Fallback xmlns="">
        <xdr:sp macro="" textlink="">
          <xdr:nvSpPr>
            <xdr:cNvPr id="0" name=""/>
            <xdr:cNvSpPr>
              <a:spLocks noTextEdit="1"/>
            </xdr:cNvSpPr>
          </xdr:nvSpPr>
          <xdr:spPr>
            <a:xfrm>
              <a:off x="7953375" y="21526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c:userShapes xmlns:c="http://schemas.openxmlformats.org/drawingml/2006/chart">
  <cdr:relSizeAnchor xmlns:cdr="http://schemas.openxmlformats.org/drawingml/2006/chartDrawing">
    <cdr:from>
      <cdr:x>0.61912</cdr:x>
      <cdr:y>0.30529</cdr:y>
    </cdr:from>
    <cdr:to>
      <cdr:x>0.87312</cdr:x>
      <cdr:y>0.69606</cdr:y>
    </cdr:to>
    <cdr:sp macro="" textlink="">
      <cdr:nvSpPr>
        <cdr:cNvPr id="2" name="TextBox 1"/>
        <cdr:cNvSpPr txBox="1"/>
      </cdr:nvSpPr>
      <cdr:spPr>
        <a:xfrm xmlns:a="http://schemas.openxmlformats.org/drawingml/2006/main">
          <a:off x="2228849" y="71437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Shri" refreshedDate="46098.723580902777" createdVersion="4" refreshedVersion="4" minRefreshableVersion="3" recordCount="567">
  <cacheSource type="worksheet">
    <worksheetSource ref="A1:F568" sheet="Fuel_Data_Used_Avg_Fuel(l)"/>
  </cacheSource>
  <cacheFields count="6">
    <cacheField name=" Type_vehicle " numFmtId="49">
      <sharedItems count="18">
        <s v="bikes"/>
        <s v="bikes, Commercial vehicle"/>
        <s v="Scooty"/>
        <s v="bikes, car, Commercial vehicle"/>
        <s v="bikes, car"/>
        <s v="car, Electric Vehicle"/>
        <s v="bikes, Scooty, car"/>
        <s v="bikes, Commercial vehicle, Tractor"/>
        <s v="car"/>
        <s v="bikes, car, Electric Vehicle"/>
        <s v="bikes, Scooty"/>
        <s v="Scooty, car"/>
        <s v="car, Commercial vehicle"/>
        <s v="bike, Commercial vehicle"/>
        <s v="bikes, Electric Vehicle"/>
        <s v="bike"/>
        <s v="Commercial vehicle"/>
        <s v="Electric Vehicle"/>
      </sharedItems>
    </cacheField>
    <cacheField name="fuel_monthly_bikes" numFmtId="1">
      <sharedItems containsString="0" containsBlank="1" containsNumber="1" minValue="1" maxValue="90"/>
    </cacheField>
    <cacheField name="Fuel_required_monthly_scooty" numFmtId="1">
      <sharedItems containsString="0" containsBlank="1" containsNumber="1" containsInteger="1" minValue="2" maxValue="46"/>
    </cacheField>
    <cacheField name="Fuel_required_monthly_car" numFmtId="1">
      <sharedItems containsString="0" containsBlank="1" containsNumber="1" containsInteger="1" minValue="5" maxValue="70"/>
    </cacheField>
    <cacheField name="Fuel_required_monthly_commercial" numFmtId="1">
      <sharedItems containsString="0" containsBlank="1" containsNumber="1" containsInteger="1" minValue="1" maxValue="110"/>
    </cacheField>
    <cacheField name="Total_monthly_fuel_expense _x000a_" numFmtId="1">
      <sharedItems containsSemiMixedTypes="0" containsString="0" containsNumber="1" containsInteger="1" minValue="200" maxValue="200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hri" refreshedDate="46129.469227893518" createdVersion="4" refreshedVersion="4" minRefreshableVersion="3" recordCount="567">
  <cacheSource type="worksheet">
    <worksheetSource name="Form_Responses34[[ Age ]:[consider_ev_x000a_]]"/>
  </cacheSource>
  <cacheFields count="29">
    <cacheField name=" Age " numFmtId="1">
      <sharedItems containsSemiMixedTypes="0" containsString="0" containsNumber="1" containsInteger="1" minValue="15" maxValue="62"/>
    </cacheField>
    <cacheField name="Gender " numFmtId="49">
      <sharedItems count="2">
        <s v="Female"/>
        <s v="Male"/>
      </sharedItems>
    </cacheField>
    <cacheField name="Monthly_income " numFmtId="1">
      <sharedItems count="6">
        <s v="below 10,000"/>
        <s v="10,000-30,000"/>
        <s v="30,000-50,000"/>
        <s v="above 1,00,000"/>
        <s v="50,000-70,000"/>
        <s v="70,000-1,00,000"/>
      </sharedItems>
    </cacheField>
    <cacheField name="Total_family _members " numFmtId="1">
      <sharedItems containsSemiMixedTypes="0" containsString="0" containsNumber="1" containsInteger="1" minValue="2" maxValue="10"/>
    </cacheField>
    <cacheField name="No._of_vehicles_in_family " numFmtId="1">
      <sharedItems containsSemiMixedTypes="0" containsString="0" containsNumber="1" containsInteger="1" minValue="1" maxValue="4" count="4">
        <n v="1"/>
        <n v="2"/>
        <n v="3"/>
        <n v="4"/>
      </sharedItems>
    </cacheField>
    <cacheField name=" Type_vehicle " numFmtId="49">
      <sharedItems count="18">
        <s v="bikes"/>
        <s v="bikes, Commercial vehicle"/>
        <s v="Scooty"/>
        <s v="bikes, car, Commercial vehicle"/>
        <s v="bikes, car"/>
        <s v="car, Electric Vehicle"/>
        <s v="bikes, Scooty, car"/>
        <s v="bikes, Commercial vehicle, Tractor"/>
        <s v="car"/>
        <s v="bikes, car, Electric Vehicle"/>
        <s v="bikes, Scooty"/>
        <s v="Scooty, car"/>
        <s v="car, Commercial vehicle"/>
        <s v="bike, Commercial vehicle"/>
        <s v="bikes, Electric Vehicle"/>
        <s v="bike"/>
        <s v="Commercial vehicle"/>
        <s v="Electric Vehicle"/>
      </sharedItems>
    </cacheField>
    <cacheField name="fuel_required_Bike " numFmtId="49">
      <sharedItems containsBlank="1"/>
    </cacheField>
    <cacheField name="fuel_required_Scooty " numFmtId="49">
      <sharedItems containsBlank="1"/>
    </cacheField>
    <cacheField name="fuel_required_Car " numFmtId="49">
      <sharedItems containsBlank="1"/>
    </cacheField>
    <cacheField name="fuel_required_Commercial " numFmtId="49">
      <sharedItems containsBlank="1"/>
    </cacheField>
    <cacheField name="Age_bike " numFmtId="1">
      <sharedItems containsString="0" containsBlank="1" containsNumber="1" containsInteger="1" minValue="1" maxValue="38"/>
    </cacheField>
    <cacheField name="Daily_distance_travelled_bike " numFmtId="1">
      <sharedItems containsString="0" containsBlank="1" containsNumber="1" containsInteger="1" minValue="1" maxValue="120"/>
    </cacheField>
    <cacheField name="fuel_monthly_bikes" numFmtId="1">
      <sharedItems containsString="0" containsBlank="1" containsNumber="1" minValue="1" maxValue="90"/>
    </cacheField>
    <cacheField name="Age_Scooty" numFmtId="1">
      <sharedItems containsString="0" containsBlank="1" containsNumber="1" containsInteger="1" minValue="1" maxValue="25"/>
    </cacheField>
    <cacheField name="Daily_distance_travelled_Scooty " numFmtId="1">
      <sharedItems containsString="0" containsBlank="1" containsNumber="1" containsInteger="1" minValue="1" maxValue="50"/>
    </cacheField>
    <cacheField name="Fuel_required_monthly_scooty" numFmtId="1">
      <sharedItems containsString="0" containsBlank="1" containsNumber="1" containsInteger="1" minValue="2" maxValue="46"/>
    </cacheField>
    <cacheField name=" Age_Car" numFmtId="1">
      <sharedItems containsString="0" containsBlank="1" containsNumber="1" containsInteger="1" minValue="1" maxValue="13"/>
    </cacheField>
    <cacheField name="Daily_distance_travelled_Car " numFmtId="1">
      <sharedItems containsString="0" containsBlank="1" containsNumber="1" containsInteger="1" minValue="8" maxValue="100"/>
    </cacheField>
    <cacheField name="Fuel_required_monthly_car" numFmtId="1">
      <sharedItems containsString="0" containsBlank="1" containsNumber="1" containsInteger="1" minValue="5" maxValue="70"/>
    </cacheField>
    <cacheField name="_x000a_Age_commercial" numFmtId="1">
      <sharedItems containsString="0" containsBlank="1" containsNumber="1" containsInteger="1" minValue="2" maxValue="24"/>
    </cacheField>
    <cacheField name="Daily_distance_travelled_commercial" numFmtId="1">
      <sharedItems containsString="0" containsBlank="1" containsNumber="1" containsInteger="1" minValue="0" maxValue="75"/>
    </cacheField>
    <cacheField name="Fuel_required_monthly_commercial" numFmtId="1">
      <sharedItems containsString="0" containsBlank="1" containsNumber="1" containsInteger="1" minValue="1" maxValue="110"/>
    </cacheField>
    <cacheField name="Total_monthly_fuel_expense _x000a_" numFmtId="1">
      <sharedItems containsSemiMixedTypes="0" containsString="0" containsNumber="1" containsInteger="1" minValue="200" maxValue="20000"/>
    </cacheField>
    <cacheField name="Preferred_fuel_brand" numFmtId="49">
      <sharedItems/>
    </cacheField>
    <cacheField name="Distance_home_ workplacr" numFmtId="1">
      <sharedItems containsSemiMixedTypes="0" containsString="0" containsNumber="1" containsInteger="1" minValue="1" maxValue="40"/>
    </cacheField>
    <cacheField name="Main_purpose_vehicle" numFmtId="49">
      <sharedItems/>
    </cacheField>
    <cacheField name="How_often_use_PT_x000a_" numFmtId="49">
      <sharedItems/>
    </cacheField>
    <cacheField name="type_PT_x000a_" numFmtId="49">
      <sharedItems/>
    </cacheField>
    <cacheField name="consider_ev_x000a_" numFmtId="1">
      <sharedItems containsSemiMixedTypes="0" containsString="0" containsNumber="1" containsInteger="1" minValue="0" maxValue="2"/>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Shri" refreshedDate="46132.662300462966" createdVersion="4" refreshedVersion="4" minRefreshableVersion="3" recordCount="4">
  <cacheSource type="worksheet">
    <worksheetSource ref="A1:B5" sheet="Avg_Fuel(LMonth)"/>
  </cacheSource>
  <cacheFields count="2">
    <cacheField name="Vehicle_Type" numFmtId="0">
      <sharedItems count="4">
        <s v="Bike owners"/>
        <s v="Scooty owners"/>
        <s v="Car owners"/>
        <s v="Commercial Vehicle owners"/>
      </sharedItems>
    </cacheField>
    <cacheField name="Avg Monthly Fuel Expense" numFmtId="0">
      <sharedItems containsSemiMixedTypes="0" containsString="0" containsNumber="1" minValue="1413.1818181818182" maxValue="9236.046511627906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Shri" refreshedDate="46133.582706828704" createdVersion="4" refreshedVersion="4" minRefreshableVersion="3" recordCount="567">
  <cacheSource type="worksheet">
    <worksheetSource ref="G1:L568" sheet="Fuel_Data_Used_Avg_Fuel(l)"/>
  </cacheSource>
  <cacheFields count="6">
    <cacheField name="Has_Bike" numFmtId="0">
      <sharedItems containsSemiMixedTypes="0" containsString="0" containsNumber="1" containsInteger="1" minValue="0" maxValue="1"/>
    </cacheField>
    <cacheField name="Has_Scooty" numFmtId="0">
      <sharedItems containsSemiMixedTypes="0" containsString="0" containsNumber="1" containsInteger="1" minValue="0" maxValue="1"/>
    </cacheField>
    <cacheField name="Has_Car" numFmtId="0">
      <sharedItems containsSemiMixedTypes="0" containsString="0" containsNumber="1" containsInteger="1" minValue="0" maxValue="1"/>
    </cacheField>
    <cacheField name="Has_Commercial" numFmtId="0">
      <sharedItems containsSemiMixedTypes="0" containsString="0" containsNumber="1" containsInteger="1" minValue="0" maxValue="1"/>
    </cacheField>
    <cacheField name="Has_EV" numFmtId="0">
      <sharedItems containsSemiMixedTypes="0" containsString="0" containsNumber="1" containsInteger="1" minValue="0" maxValue="1"/>
    </cacheField>
    <cacheField name="Gender " numFmtId="49">
      <sharedItems count="2">
        <s v="Female"/>
        <s v="Male"/>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Shri" refreshedDate="46133.592256018521" createdVersion="4" refreshedVersion="4" minRefreshableVersion="3" recordCount="568">
  <cacheSource type="worksheet">
    <worksheetSource ref="A1:E1048576" sheet="Per_Capita_Expenses"/>
  </cacheSource>
  <cacheFields count="5">
    <cacheField name="Total_monthly_fuel_expense _x000a_" numFmtId="0">
      <sharedItems containsString="0" containsBlank="1" containsNumber="1" containsInteger="1" minValue="200" maxValue="20000" count="151">
        <n v="3000"/>
        <n v="9200"/>
        <n v="1000"/>
        <n v="10000"/>
        <n v="1200"/>
        <n v="1500"/>
        <n v="9500"/>
        <n v="8000"/>
        <n v="6800"/>
        <n v="9000"/>
        <n v="900"/>
        <n v="2000"/>
        <n v="2300"/>
        <n v="11100"/>
        <n v="6000"/>
        <n v="8800"/>
        <n v="2700"/>
        <n v="5200"/>
        <n v="9700"/>
        <n v="8200"/>
        <n v="2400"/>
        <n v="2900"/>
        <n v="8500"/>
        <n v="7000"/>
        <n v="5500"/>
        <n v="650"/>
        <n v="12000"/>
        <n v="500"/>
        <n v="5800"/>
        <n v="850"/>
        <n v="1400"/>
        <n v="3200"/>
        <n v="700"/>
        <n v="11000"/>
        <n v="4500"/>
        <n v="200"/>
        <n v="5000"/>
        <n v="750"/>
        <n v="4000"/>
        <n v="7500"/>
        <n v="4800"/>
        <n v="14000"/>
        <n v="4200"/>
        <n v="2600"/>
        <n v="1100"/>
        <n v="3600"/>
        <n v="1300"/>
        <n v="3800"/>
        <n v="720"/>
        <n v="600"/>
        <n v="4300"/>
        <n v="3400"/>
        <n v="2500"/>
        <n v="20000"/>
        <n v="950"/>
        <n v="5600"/>
        <n v="580"/>
        <n v="7100"/>
        <n v="10200"/>
        <n v="780"/>
        <n v="6400"/>
        <n v="800"/>
        <n v="4900"/>
        <n v="9900"/>
        <n v="990"/>
        <n v="15000"/>
        <n v="1700"/>
        <n v="8700"/>
        <n v="3500"/>
        <n v="1600"/>
        <n v="550"/>
        <n v="1800"/>
        <n v="450"/>
        <n v="400"/>
        <n v="12500"/>
        <n v="7800"/>
        <n v="13200"/>
        <n v="6700"/>
        <n v="4600"/>
        <n v="3900"/>
        <n v="1450"/>
        <n v="13800"/>
        <n v="1150"/>
        <n v="14500"/>
        <n v="1250"/>
        <n v="10800"/>
        <n v="15600"/>
        <n v="4400"/>
        <n v="520"/>
        <n v="3609"/>
        <n v="3700"/>
        <n v="14800"/>
        <n v="1900"/>
        <n v="1550"/>
        <n v="11500"/>
        <n v="4700"/>
        <n v="12800"/>
        <n v="11800"/>
        <n v="420"/>
        <n v="390"/>
        <n v="11600"/>
        <n v="300"/>
        <n v="2800"/>
        <n v="8300"/>
        <n v="330"/>
        <n v="2200"/>
        <n v="910"/>
        <n v="10600"/>
        <n v="350"/>
        <n v="11430"/>
        <n v="1070"/>
        <n v="6500"/>
        <n v="9400"/>
        <n v="1430"/>
        <n v="260"/>
        <n v="1560"/>
        <n v="1690"/>
        <n v="9600"/>
        <n v="1820"/>
        <n v="1180"/>
        <n v="2080"/>
        <n v="4350"/>
        <n v="4160"/>
        <n v="4550"/>
        <n v="1040"/>
        <n v="7200"/>
        <n v="1170"/>
        <n v="3250"/>
        <n v="4100"/>
        <n v="3640"/>
        <n v="3510"/>
        <n v="3380"/>
        <n v="1950"/>
        <n v="3840"/>
        <n v="5400"/>
        <n v="880"/>
        <n v="2100"/>
        <n v="9300"/>
        <n v="430"/>
        <n v="980"/>
        <n v="630"/>
        <n v="3520"/>
        <n v="1049"/>
        <n v="530"/>
        <n v="4890"/>
        <n v="8100"/>
        <n v="555"/>
        <n v="4480"/>
        <n v="6600"/>
        <n v="680"/>
        <m/>
      </sharedItems>
    </cacheField>
    <cacheField name="Total_family _members " numFmtId="0">
      <sharedItems containsString="0" containsBlank="1" containsNumber="1" containsInteger="1" minValue="2" maxValue="10"/>
    </cacheField>
    <cacheField name="Per_Capita_Fuel_Expense" numFmtId="0">
      <sharedItems containsString="0" containsBlank="1" containsNumber="1" minValue="40" maxValue="5000"/>
    </cacheField>
    <cacheField name="Gender " numFmtId="0">
      <sharedItems containsBlank="1"/>
    </cacheField>
    <cacheField name="Monthly_income " numFmtId="0">
      <sharedItems containsBlank="1" count="7">
        <s v="below 10,000"/>
        <s v="10,000-30,000"/>
        <s v="30,000-50,000"/>
        <s v="above 1,00,000"/>
        <s v="50,000-70,000"/>
        <s v="70,000-1,00,00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7">
  <r>
    <x v="0"/>
    <n v="30"/>
    <m/>
    <m/>
    <m/>
    <n v="3000"/>
  </r>
  <r>
    <x v="1"/>
    <n v="75"/>
    <m/>
    <m/>
    <n v="1"/>
    <n v="9200"/>
  </r>
  <r>
    <x v="2"/>
    <m/>
    <n v="10"/>
    <m/>
    <m/>
    <n v="1000"/>
  </r>
  <r>
    <x v="0"/>
    <n v="20"/>
    <m/>
    <m/>
    <m/>
    <n v="1000"/>
  </r>
  <r>
    <x v="3"/>
    <n v="8"/>
    <m/>
    <n v="45"/>
    <n v="60"/>
    <n v="10000"/>
  </r>
  <r>
    <x v="2"/>
    <m/>
    <n v="10"/>
    <m/>
    <m/>
    <n v="1200"/>
  </r>
  <r>
    <x v="4"/>
    <n v="20"/>
    <m/>
    <n v="70"/>
    <m/>
    <n v="1000"/>
  </r>
  <r>
    <x v="0"/>
    <n v="28"/>
    <m/>
    <m/>
    <m/>
    <n v="3000"/>
  </r>
  <r>
    <x v="2"/>
    <m/>
    <n v="12"/>
    <m/>
    <m/>
    <n v="1500"/>
  </r>
  <r>
    <x v="5"/>
    <m/>
    <m/>
    <n v="60"/>
    <m/>
    <n v="9500"/>
  </r>
  <r>
    <x v="2"/>
    <m/>
    <n v="8"/>
    <m/>
    <m/>
    <n v="1500"/>
  </r>
  <r>
    <x v="1"/>
    <n v="10"/>
    <m/>
    <m/>
    <n v="70"/>
    <n v="8000"/>
  </r>
  <r>
    <x v="4"/>
    <n v="12"/>
    <m/>
    <n v="55"/>
    <m/>
    <n v="6800"/>
  </r>
  <r>
    <x v="4"/>
    <n v="7"/>
    <m/>
    <n v="70"/>
    <m/>
    <n v="9000"/>
  </r>
  <r>
    <x v="6"/>
    <n v="13"/>
    <n v="9"/>
    <n v="65"/>
    <m/>
    <n v="9000"/>
  </r>
  <r>
    <x v="2"/>
    <m/>
    <n v="7"/>
    <m/>
    <m/>
    <n v="900"/>
  </r>
  <r>
    <x v="4"/>
    <n v="6"/>
    <m/>
    <n v="25"/>
    <m/>
    <n v="2000"/>
  </r>
  <r>
    <x v="0"/>
    <n v="18"/>
    <m/>
    <m/>
    <m/>
    <n v="2300"/>
  </r>
  <r>
    <x v="2"/>
    <m/>
    <n v="10"/>
    <m/>
    <m/>
    <n v="1200"/>
  </r>
  <r>
    <x v="7"/>
    <n v="10"/>
    <m/>
    <m/>
    <n v="80"/>
    <n v="11100"/>
  </r>
  <r>
    <x v="8"/>
    <m/>
    <m/>
    <n v="50"/>
    <m/>
    <n v="6000"/>
  </r>
  <r>
    <x v="9"/>
    <n v="6"/>
    <m/>
    <n v="55"/>
    <m/>
    <n v="8800"/>
  </r>
  <r>
    <x v="0"/>
    <n v="24"/>
    <m/>
    <m/>
    <m/>
    <n v="2700"/>
  </r>
  <r>
    <x v="10"/>
    <n v="9"/>
    <n v="8"/>
    <m/>
    <m/>
    <n v="3000"/>
  </r>
  <r>
    <x v="11"/>
    <m/>
    <n v="9"/>
    <n v="40"/>
    <m/>
    <n v="5200"/>
  </r>
  <r>
    <x v="4"/>
    <n v="7"/>
    <m/>
    <n v="70"/>
    <m/>
    <n v="9700"/>
  </r>
  <r>
    <x v="1"/>
    <n v="12"/>
    <m/>
    <m/>
    <n v="65"/>
    <n v="8200"/>
  </r>
  <r>
    <x v="0"/>
    <n v="20"/>
    <m/>
    <m/>
    <m/>
    <n v="2400"/>
  </r>
  <r>
    <x v="0"/>
    <n v="26"/>
    <m/>
    <m/>
    <m/>
    <n v="2900"/>
  </r>
  <r>
    <x v="6"/>
    <n v="16"/>
    <n v="6"/>
    <n v="60"/>
    <m/>
    <n v="9500"/>
  </r>
  <r>
    <x v="8"/>
    <m/>
    <m/>
    <n v="45"/>
    <m/>
    <n v="5200"/>
  </r>
  <r>
    <x v="4"/>
    <n v="7"/>
    <m/>
    <n v="65"/>
    <m/>
    <n v="8500"/>
  </r>
  <r>
    <x v="1"/>
    <n v="14"/>
    <m/>
    <m/>
    <n v="55"/>
    <n v="7000"/>
  </r>
  <r>
    <x v="4"/>
    <n v="12"/>
    <m/>
    <n v="24"/>
    <m/>
    <n v="5500"/>
  </r>
  <r>
    <x v="2"/>
    <m/>
    <n v="7"/>
    <m/>
    <m/>
    <n v="900"/>
  </r>
  <r>
    <x v="1"/>
    <n v="10"/>
    <m/>
    <m/>
    <n v="42"/>
    <n v="5200"/>
  </r>
  <r>
    <x v="2"/>
    <m/>
    <n v="5"/>
    <m/>
    <m/>
    <n v="650"/>
  </r>
  <r>
    <x v="3"/>
    <n v="15"/>
    <m/>
    <n v="26"/>
    <n v="26"/>
    <n v="12000"/>
  </r>
  <r>
    <x v="8"/>
    <m/>
    <m/>
    <n v="20"/>
    <m/>
    <n v="2400"/>
  </r>
  <r>
    <x v="0"/>
    <n v="14"/>
    <m/>
    <m/>
    <m/>
    <n v="1500"/>
  </r>
  <r>
    <x v="2"/>
    <m/>
    <n v="4"/>
    <m/>
    <m/>
    <n v="500"/>
  </r>
  <r>
    <x v="4"/>
    <n v="9"/>
    <m/>
    <n v="9"/>
    <m/>
    <n v="5800"/>
  </r>
  <r>
    <x v="0"/>
    <n v="7"/>
    <m/>
    <m/>
    <m/>
    <n v="850"/>
  </r>
  <r>
    <x v="0"/>
    <n v="14"/>
    <m/>
    <m/>
    <m/>
    <n v="1400"/>
  </r>
  <r>
    <x v="11"/>
    <m/>
    <n v="7"/>
    <n v="20"/>
    <m/>
    <n v="3200"/>
  </r>
  <r>
    <x v="1"/>
    <n v="16"/>
    <m/>
    <m/>
    <n v="45"/>
    <n v="6800"/>
  </r>
  <r>
    <x v="2"/>
    <m/>
    <n v="6"/>
    <m/>
    <m/>
    <n v="700"/>
  </r>
  <r>
    <x v="3"/>
    <n v="12"/>
    <m/>
    <n v="28"/>
    <n v="55"/>
    <n v="11000"/>
  </r>
  <r>
    <x v="2"/>
    <m/>
    <n v="8"/>
    <m/>
    <m/>
    <n v="850"/>
  </r>
  <r>
    <x v="10"/>
    <n v="18"/>
    <n v="16"/>
    <m/>
    <m/>
    <n v="4500"/>
  </r>
  <r>
    <x v="10"/>
    <n v="5"/>
    <n v="5"/>
    <m/>
    <m/>
    <n v="200"/>
  </r>
  <r>
    <x v="8"/>
    <m/>
    <m/>
    <n v="24"/>
    <m/>
    <n v="2700"/>
  </r>
  <r>
    <x v="1"/>
    <n v="10"/>
    <m/>
    <m/>
    <n v="38"/>
    <n v="5000"/>
  </r>
  <r>
    <x v="2"/>
    <m/>
    <n v="6"/>
    <m/>
    <m/>
    <n v="750"/>
  </r>
  <r>
    <x v="0"/>
    <n v="10"/>
    <m/>
    <m/>
    <m/>
    <n v="650"/>
  </r>
  <r>
    <x v="10"/>
    <n v="12"/>
    <n v="10"/>
    <m/>
    <m/>
    <n v="4000"/>
  </r>
  <r>
    <x v="0"/>
    <n v="1"/>
    <m/>
    <m/>
    <m/>
    <n v="650"/>
  </r>
  <r>
    <x v="0"/>
    <n v="8"/>
    <m/>
    <m/>
    <m/>
    <n v="650"/>
  </r>
  <r>
    <x v="10"/>
    <n v="8"/>
    <n v="6"/>
    <m/>
    <m/>
    <n v="650"/>
  </r>
  <r>
    <x v="2"/>
    <m/>
    <n v="10"/>
    <m/>
    <m/>
    <n v="1000"/>
  </r>
  <r>
    <x v="0"/>
    <n v="60"/>
    <m/>
    <m/>
    <m/>
    <n v="1000"/>
  </r>
  <r>
    <x v="1"/>
    <n v="55"/>
    <m/>
    <m/>
    <n v="55"/>
    <n v="7500"/>
  </r>
  <r>
    <x v="2"/>
    <m/>
    <n v="7"/>
    <m/>
    <m/>
    <n v="900"/>
  </r>
  <r>
    <x v="4"/>
    <n v="15"/>
    <m/>
    <n v="22"/>
    <m/>
    <n v="5500"/>
  </r>
  <r>
    <x v="2"/>
    <m/>
    <n v="6"/>
    <m/>
    <m/>
    <n v="700"/>
  </r>
  <r>
    <x v="0"/>
    <n v="10"/>
    <m/>
    <m/>
    <m/>
    <n v="1200"/>
  </r>
  <r>
    <x v="8"/>
    <m/>
    <m/>
    <n v="24"/>
    <m/>
    <n v="3200"/>
  </r>
  <r>
    <x v="4"/>
    <n v="14"/>
    <m/>
    <n v="19"/>
    <m/>
    <n v="4800"/>
  </r>
  <r>
    <x v="2"/>
    <m/>
    <n v="6"/>
    <m/>
    <m/>
    <n v="750"/>
  </r>
  <r>
    <x v="12"/>
    <m/>
    <m/>
    <n v="25"/>
    <n v="65"/>
    <n v="10000"/>
  </r>
  <r>
    <x v="8"/>
    <m/>
    <m/>
    <n v="19"/>
    <m/>
    <n v="2300"/>
  </r>
  <r>
    <x v="0"/>
    <n v="19"/>
    <m/>
    <m/>
    <m/>
    <n v="2000"/>
  </r>
  <r>
    <x v="4"/>
    <n v="10"/>
    <m/>
    <n v="40"/>
    <m/>
    <n v="5000"/>
  </r>
  <r>
    <x v="2"/>
    <m/>
    <n v="6"/>
    <m/>
    <m/>
    <n v="1000"/>
  </r>
  <r>
    <x v="1"/>
    <n v="7"/>
    <m/>
    <m/>
    <n v="70"/>
    <n v="9500"/>
  </r>
  <r>
    <x v="11"/>
    <m/>
    <n v="4"/>
    <n v="5"/>
    <m/>
    <n v="4800"/>
  </r>
  <r>
    <x v="12"/>
    <m/>
    <m/>
    <n v="50"/>
    <n v="80"/>
    <n v="14000"/>
  </r>
  <r>
    <x v="0"/>
    <n v="6"/>
    <m/>
    <m/>
    <m/>
    <n v="1500"/>
  </r>
  <r>
    <x v="0"/>
    <n v="12"/>
    <m/>
    <m/>
    <m/>
    <n v="2000"/>
  </r>
  <r>
    <x v="2"/>
    <m/>
    <n v="7"/>
    <m/>
    <m/>
    <n v="1200"/>
  </r>
  <r>
    <x v="5"/>
    <m/>
    <m/>
    <n v="30"/>
    <m/>
    <n v="3200"/>
  </r>
  <r>
    <x v="2"/>
    <m/>
    <n v="5"/>
    <m/>
    <m/>
    <n v="900"/>
  </r>
  <r>
    <x v="1"/>
    <n v="9"/>
    <m/>
    <m/>
    <n v="90"/>
    <n v="12000"/>
  </r>
  <r>
    <x v="0"/>
    <n v="20"/>
    <m/>
    <m/>
    <m/>
    <n v="650"/>
  </r>
  <r>
    <x v="4"/>
    <n v="9"/>
    <m/>
    <n v="21"/>
    <m/>
    <n v="4200"/>
  </r>
  <r>
    <x v="8"/>
    <m/>
    <m/>
    <n v="20"/>
    <m/>
    <n v="2600"/>
  </r>
  <r>
    <x v="0"/>
    <n v="10"/>
    <m/>
    <m/>
    <m/>
    <n v="1100"/>
  </r>
  <r>
    <x v="2"/>
    <m/>
    <n v="5"/>
    <m/>
    <m/>
    <n v="650"/>
  </r>
  <r>
    <x v="4"/>
    <n v="8"/>
    <m/>
    <n v="18"/>
    <m/>
    <n v="3600"/>
  </r>
  <r>
    <x v="0"/>
    <n v="11"/>
    <m/>
    <m/>
    <m/>
    <n v="1300"/>
  </r>
  <r>
    <x v="2"/>
    <m/>
    <n v="5"/>
    <m/>
    <m/>
    <n v="650"/>
  </r>
  <r>
    <x v="4"/>
    <n v="9"/>
    <m/>
    <n v="17"/>
    <m/>
    <n v="3800"/>
  </r>
  <r>
    <x v="2"/>
    <m/>
    <n v="6"/>
    <m/>
    <m/>
    <n v="720"/>
  </r>
  <r>
    <x v="8"/>
    <m/>
    <m/>
    <n v="18"/>
    <m/>
    <n v="2300"/>
  </r>
  <r>
    <x v="0"/>
    <n v="10"/>
    <m/>
    <m/>
    <m/>
    <n v="1200"/>
  </r>
  <r>
    <x v="2"/>
    <m/>
    <n v="5"/>
    <m/>
    <m/>
    <n v="600"/>
  </r>
  <r>
    <x v="1"/>
    <n v="11"/>
    <m/>
    <m/>
    <n v="60"/>
    <n v="8200"/>
  </r>
  <r>
    <x v="1"/>
    <n v="13"/>
    <m/>
    <m/>
    <n v="70"/>
    <n v="9000"/>
  </r>
  <r>
    <x v="8"/>
    <m/>
    <m/>
    <n v="19"/>
    <m/>
    <n v="2400"/>
  </r>
  <r>
    <x v="1"/>
    <n v="10"/>
    <m/>
    <m/>
    <n v="55"/>
    <n v="7000"/>
  </r>
  <r>
    <x v="2"/>
    <m/>
    <n v="6"/>
    <m/>
    <m/>
    <n v="700"/>
  </r>
  <r>
    <x v="4"/>
    <n v="9"/>
    <m/>
    <n v="21"/>
    <m/>
    <n v="4300"/>
  </r>
  <r>
    <x v="4"/>
    <n v="9"/>
    <m/>
    <n v="22"/>
    <m/>
    <n v="3400"/>
  </r>
  <r>
    <x v="0"/>
    <n v="5"/>
    <m/>
    <m/>
    <m/>
    <n v="600"/>
  </r>
  <r>
    <x v="4"/>
    <n v="11"/>
    <m/>
    <n v="22"/>
    <m/>
    <n v="4800"/>
  </r>
  <r>
    <x v="1"/>
    <n v="7"/>
    <m/>
    <m/>
    <n v="65"/>
    <n v="5800"/>
  </r>
  <r>
    <x v="2"/>
    <m/>
    <n v="6"/>
    <m/>
    <m/>
    <n v="750"/>
  </r>
  <r>
    <x v="2"/>
    <m/>
    <n v="10"/>
    <m/>
    <m/>
    <n v="1100"/>
  </r>
  <r>
    <x v="1"/>
    <n v="11"/>
    <m/>
    <m/>
    <n v="65"/>
    <n v="8500"/>
  </r>
  <r>
    <x v="3"/>
    <n v="7"/>
    <m/>
    <n v="27"/>
    <n v="58"/>
    <n v="9500"/>
  </r>
  <r>
    <x v="8"/>
    <m/>
    <m/>
    <n v="20"/>
    <m/>
    <n v="2500"/>
  </r>
  <r>
    <x v="2"/>
    <m/>
    <n v="6"/>
    <m/>
    <m/>
    <n v="700"/>
  </r>
  <r>
    <x v="9"/>
    <n v="7"/>
    <m/>
    <n v="26"/>
    <m/>
    <n v="5500"/>
  </r>
  <r>
    <x v="2"/>
    <m/>
    <n v="5"/>
    <m/>
    <m/>
    <n v="650"/>
  </r>
  <r>
    <x v="4"/>
    <n v="5"/>
    <m/>
    <n v="32"/>
    <m/>
    <n v="5200"/>
  </r>
  <r>
    <x v="0"/>
    <n v="6"/>
    <m/>
    <m/>
    <m/>
    <n v="650"/>
  </r>
  <r>
    <x v="9"/>
    <n v="6"/>
    <m/>
    <n v="35"/>
    <m/>
    <n v="8200"/>
  </r>
  <r>
    <x v="0"/>
    <n v="12"/>
    <m/>
    <m/>
    <m/>
    <n v="1400"/>
  </r>
  <r>
    <x v="2"/>
    <m/>
    <n v="5"/>
    <m/>
    <m/>
    <n v="600"/>
  </r>
  <r>
    <x v="0"/>
    <n v="6"/>
    <m/>
    <m/>
    <m/>
    <n v="750"/>
  </r>
  <r>
    <x v="0"/>
    <n v="30"/>
    <m/>
    <m/>
    <m/>
    <n v="20000"/>
  </r>
  <r>
    <x v="0"/>
    <n v="10"/>
    <m/>
    <m/>
    <m/>
    <n v="3000"/>
  </r>
  <r>
    <x v="0"/>
    <n v="30"/>
    <m/>
    <m/>
    <m/>
    <n v="950"/>
  </r>
  <r>
    <x v="4"/>
    <n v="10"/>
    <m/>
    <n v="34"/>
    <m/>
    <n v="5600"/>
  </r>
  <r>
    <x v="2"/>
    <m/>
    <n v="5"/>
    <m/>
    <m/>
    <n v="580"/>
  </r>
  <r>
    <x v="4"/>
    <n v="12"/>
    <m/>
    <n v="38"/>
    <m/>
    <n v="7100"/>
  </r>
  <r>
    <x v="2"/>
    <m/>
    <n v="6"/>
    <m/>
    <m/>
    <n v="650"/>
  </r>
  <r>
    <x v="1"/>
    <n v="5"/>
    <m/>
    <m/>
    <n v="60"/>
    <n v="5200"/>
  </r>
  <r>
    <x v="2"/>
    <m/>
    <n v="4"/>
    <m/>
    <m/>
    <n v="500"/>
  </r>
  <r>
    <x v="9"/>
    <n v="12"/>
    <m/>
    <n v="42"/>
    <m/>
    <n v="10200"/>
  </r>
  <r>
    <x v="0"/>
    <n v="7"/>
    <m/>
    <m/>
    <m/>
    <n v="720"/>
  </r>
  <r>
    <x v="0"/>
    <n v="8"/>
    <m/>
    <m/>
    <m/>
    <n v="900"/>
  </r>
  <r>
    <x v="2"/>
    <m/>
    <n v="7"/>
    <m/>
    <m/>
    <n v="780"/>
  </r>
  <r>
    <x v="4"/>
    <n v="9"/>
    <m/>
    <n v="32"/>
    <m/>
    <n v="4800"/>
  </r>
  <r>
    <x v="2"/>
    <m/>
    <n v="6"/>
    <m/>
    <m/>
    <n v="850"/>
  </r>
  <r>
    <x v="1"/>
    <n v="5"/>
    <m/>
    <m/>
    <n v="70"/>
    <n v="6400"/>
  </r>
  <r>
    <x v="2"/>
    <m/>
    <n v="7"/>
    <m/>
    <m/>
    <n v="800"/>
  </r>
  <r>
    <x v="4"/>
    <n v="8"/>
    <m/>
    <n v="30"/>
    <m/>
    <n v="4900"/>
  </r>
  <r>
    <x v="0"/>
    <n v="7"/>
    <m/>
    <m/>
    <m/>
    <n v="720"/>
  </r>
  <r>
    <x v="9"/>
    <n v="11"/>
    <m/>
    <n v="38"/>
    <m/>
    <n v="9900"/>
  </r>
  <r>
    <x v="2"/>
    <m/>
    <n v="6"/>
    <m/>
    <m/>
    <n v="650"/>
  </r>
  <r>
    <x v="0"/>
    <n v="8"/>
    <m/>
    <m/>
    <m/>
    <n v="990"/>
  </r>
  <r>
    <x v="2"/>
    <m/>
    <n v="5"/>
    <m/>
    <m/>
    <n v="600"/>
  </r>
  <r>
    <x v="6"/>
    <n v="5"/>
    <n v="10"/>
    <n v="24"/>
    <m/>
    <n v="5000"/>
  </r>
  <r>
    <x v="10"/>
    <n v="5"/>
    <n v="5"/>
    <m/>
    <m/>
    <n v="1000"/>
  </r>
  <r>
    <x v="10"/>
    <n v="2"/>
    <n v="6"/>
    <m/>
    <m/>
    <n v="1000"/>
  </r>
  <r>
    <x v="6"/>
    <n v="46"/>
    <n v="46"/>
    <n v="46"/>
    <m/>
    <n v="15000"/>
  </r>
  <r>
    <x v="4"/>
    <n v="14"/>
    <m/>
    <n v="22"/>
    <m/>
    <n v="4200"/>
  </r>
  <r>
    <x v="2"/>
    <m/>
    <n v="7"/>
    <m/>
    <m/>
    <n v="700"/>
  </r>
  <r>
    <x v="1"/>
    <n v="8"/>
    <m/>
    <m/>
    <n v="65"/>
    <n v="4200"/>
  </r>
  <r>
    <x v="4"/>
    <n v="10"/>
    <m/>
    <n v="30"/>
    <m/>
    <n v="5200"/>
  </r>
  <r>
    <x v="0"/>
    <n v="5"/>
    <m/>
    <m/>
    <m/>
    <n v="600"/>
  </r>
  <r>
    <x v="1"/>
    <n v="8"/>
    <m/>
    <m/>
    <n v="70"/>
    <n v="9500"/>
  </r>
  <r>
    <x v="2"/>
    <m/>
    <n v="5"/>
    <m/>
    <m/>
    <n v="600"/>
  </r>
  <r>
    <x v="4"/>
    <n v="7"/>
    <m/>
    <n v="26"/>
    <m/>
    <n v="4900"/>
  </r>
  <r>
    <x v="0"/>
    <n v="5"/>
    <m/>
    <m/>
    <m/>
    <n v="650"/>
  </r>
  <r>
    <x v="0"/>
    <n v="14"/>
    <m/>
    <m/>
    <m/>
    <n v="1700"/>
  </r>
  <r>
    <x v="11"/>
    <m/>
    <n v="6"/>
    <n v="23"/>
    <m/>
    <n v="3800"/>
  </r>
  <r>
    <x v="1"/>
    <n v="8"/>
    <m/>
    <m/>
    <n v="65"/>
    <n v="8700"/>
  </r>
  <r>
    <x v="2"/>
    <m/>
    <n v="4"/>
    <m/>
    <m/>
    <n v="500"/>
  </r>
  <r>
    <x v="1"/>
    <n v="9"/>
    <m/>
    <m/>
    <n v="50"/>
    <n v="4200"/>
  </r>
  <r>
    <x v="2"/>
    <m/>
    <n v="5"/>
    <m/>
    <m/>
    <n v="1000"/>
  </r>
  <r>
    <x v="4"/>
    <n v="7"/>
    <m/>
    <n v="20"/>
    <m/>
    <n v="4800"/>
  </r>
  <r>
    <x v="2"/>
    <m/>
    <n v="6"/>
    <m/>
    <m/>
    <n v="900"/>
  </r>
  <r>
    <x v="3"/>
    <n v="6"/>
    <m/>
    <n v="18"/>
    <n v="40"/>
    <n v="9200"/>
  </r>
  <r>
    <x v="8"/>
    <m/>
    <m/>
    <n v="25"/>
    <m/>
    <n v="3500"/>
  </r>
  <r>
    <x v="1"/>
    <n v="5"/>
    <m/>
    <m/>
    <n v="35"/>
    <n v="4000"/>
  </r>
  <r>
    <x v="2"/>
    <m/>
    <n v="8"/>
    <m/>
    <m/>
    <n v="1600"/>
  </r>
  <r>
    <x v="3"/>
    <n v="8"/>
    <m/>
    <n v="30"/>
    <n v="40"/>
    <n v="12000"/>
  </r>
  <r>
    <x v="2"/>
    <m/>
    <n v="5"/>
    <m/>
    <m/>
    <n v="850"/>
  </r>
  <r>
    <x v="4"/>
    <n v="10"/>
    <m/>
    <n v="30"/>
    <m/>
    <n v="6000"/>
  </r>
  <r>
    <x v="0"/>
    <n v="4"/>
    <m/>
    <m/>
    <m/>
    <n v="550"/>
  </r>
  <r>
    <x v="9"/>
    <n v="6"/>
    <m/>
    <n v="35"/>
    <m/>
    <n v="9000"/>
  </r>
  <r>
    <x v="11"/>
    <m/>
    <n v="5"/>
    <n v="28"/>
    <m/>
    <n v="5000"/>
  </r>
  <r>
    <x v="0"/>
    <n v="12"/>
    <m/>
    <m/>
    <m/>
    <n v="1500"/>
  </r>
  <r>
    <x v="2"/>
    <m/>
    <n v="4"/>
    <m/>
    <m/>
    <n v="550"/>
  </r>
  <r>
    <x v="1"/>
    <n v="7"/>
    <m/>
    <m/>
    <n v="55"/>
    <n v="7000"/>
  </r>
  <r>
    <x v="0"/>
    <n v="13"/>
    <m/>
    <m/>
    <m/>
    <n v="1600"/>
  </r>
  <r>
    <x v="2"/>
    <m/>
    <n v="5"/>
    <m/>
    <m/>
    <n v="600"/>
  </r>
  <r>
    <x v="13"/>
    <n v="7"/>
    <m/>
    <m/>
    <n v="70"/>
    <n v="9000"/>
  </r>
  <r>
    <x v="11"/>
    <m/>
    <n v="4"/>
    <n v="28"/>
    <m/>
    <n v="5200"/>
  </r>
  <r>
    <x v="0"/>
    <n v="15"/>
    <m/>
    <m/>
    <m/>
    <n v="1800"/>
  </r>
  <r>
    <x v="3"/>
    <n v="9"/>
    <m/>
    <n v="32"/>
    <n v="80"/>
    <n v="14000"/>
  </r>
  <r>
    <x v="2"/>
    <m/>
    <n v="4"/>
    <m/>
    <m/>
    <n v="500"/>
  </r>
  <r>
    <x v="0"/>
    <n v="7"/>
    <m/>
    <m/>
    <m/>
    <n v="850"/>
  </r>
  <r>
    <x v="2"/>
    <m/>
    <n v="4"/>
    <m/>
    <m/>
    <n v="450"/>
  </r>
  <r>
    <x v="2"/>
    <m/>
    <n v="6"/>
    <m/>
    <m/>
    <n v="750"/>
  </r>
  <r>
    <x v="1"/>
    <n v="9"/>
    <m/>
    <m/>
    <n v="62"/>
    <n v="8200"/>
  </r>
  <r>
    <x v="0"/>
    <n v="5"/>
    <m/>
    <m/>
    <m/>
    <n v="1500"/>
  </r>
  <r>
    <x v="10"/>
    <n v="20"/>
    <n v="11"/>
    <m/>
    <m/>
    <n v="3000"/>
  </r>
  <r>
    <x v="2"/>
    <m/>
    <n v="10"/>
    <m/>
    <m/>
    <n v="500"/>
  </r>
  <r>
    <x v="0"/>
    <n v="20"/>
    <m/>
    <m/>
    <m/>
    <n v="20000"/>
  </r>
  <r>
    <x v="8"/>
    <m/>
    <m/>
    <n v="24"/>
    <m/>
    <n v="850"/>
  </r>
  <r>
    <x v="2"/>
    <m/>
    <n v="20"/>
    <m/>
    <m/>
    <n v="1000"/>
  </r>
  <r>
    <x v="10"/>
    <n v="90"/>
    <n v="15"/>
    <m/>
    <m/>
    <n v="10000"/>
  </r>
  <r>
    <x v="0"/>
    <n v="10"/>
    <m/>
    <m/>
    <m/>
    <n v="1000"/>
  </r>
  <r>
    <x v="10"/>
    <n v="30"/>
    <n v="19"/>
    <m/>
    <m/>
    <n v="5500"/>
  </r>
  <r>
    <x v="2"/>
    <m/>
    <n v="4"/>
    <m/>
    <m/>
    <n v="400"/>
  </r>
  <r>
    <x v="6"/>
    <n v="30"/>
    <n v="15"/>
    <n v="45"/>
    <m/>
    <n v="7000"/>
  </r>
  <r>
    <x v="0"/>
    <n v="8"/>
    <m/>
    <m/>
    <m/>
    <n v="850"/>
  </r>
  <r>
    <x v="6"/>
    <n v="30"/>
    <n v="30"/>
    <n v="15"/>
    <m/>
    <n v="7500"/>
  </r>
  <r>
    <x v="2"/>
    <m/>
    <n v="12"/>
    <m/>
    <m/>
    <n v="750"/>
  </r>
  <r>
    <x v="0"/>
    <n v="15"/>
    <m/>
    <m/>
    <m/>
    <n v="2000"/>
  </r>
  <r>
    <x v="10"/>
    <n v="30"/>
    <n v="15"/>
    <m/>
    <m/>
    <n v="4000"/>
  </r>
  <r>
    <x v="10"/>
    <n v="5"/>
    <n v="2"/>
    <m/>
    <m/>
    <n v="1000"/>
  </r>
  <r>
    <x v="10"/>
    <n v="5"/>
    <n v="10"/>
    <m/>
    <m/>
    <n v="1000"/>
  </r>
  <r>
    <x v="0"/>
    <n v="10"/>
    <m/>
    <m/>
    <m/>
    <n v="1000"/>
  </r>
  <r>
    <x v="10"/>
    <n v="8"/>
    <n v="6"/>
    <m/>
    <m/>
    <n v="1500"/>
  </r>
  <r>
    <x v="0"/>
    <n v="53"/>
    <m/>
    <m/>
    <m/>
    <n v="5000"/>
  </r>
  <r>
    <x v="0"/>
    <n v="10"/>
    <m/>
    <m/>
    <m/>
    <n v="1000"/>
  </r>
  <r>
    <x v="0"/>
    <n v="30"/>
    <m/>
    <m/>
    <m/>
    <n v="1000"/>
  </r>
  <r>
    <x v="10"/>
    <n v="30"/>
    <n v="30"/>
    <m/>
    <m/>
    <n v="1500"/>
  </r>
  <r>
    <x v="0"/>
    <n v="30"/>
    <m/>
    <m/>
    <m/>
    <n v="550"/>
  </r>
  <r>
    <x v="0"/>
    <n v="20"/>
    <m/>
    <m/>
    <m/>
    <n v="1000"/>
  </r>
  <r>
    <x v="8"/>
    <m/>
    <m/>
    <n v="5"/>
    <m/>
    <n v="950"/>
  </r>
  <r>
    <x v="0"/>
    <n v="8"/>
    <m/>
    <m/>
    <m/>
    <n v="550"/>
  </r>
  <r>
    <x v="4"/>
    <n v="3.5"/>
    <m/>
    <n v="25"/>
    <m/>
    <n v="6000"/>
  </r>
  <r>
    <x v="2"/>
    <m/>
    <n v="15"/>
    <m/>
    <m/>
    <n v="1800"/>
  </r>
  <r>
    <x v="0"/>
    <n v="4"/>
    <m/>
    <m/>
    <m/>
    <n v="400"/>
  </r>
  <r>
    <x v="9"/>
    <n v="3.5"/>
    <m/>
    <n v="30"/>
    <m/>
    <n v="4500"/>
  </r>
  <r>
    <x v="4"/>
    <n v="10"/>
    <m/>
    <n v="35"/>
    <m/>
    <n v="4500"/>
  </r>
  <r>
    <x v="2"/>
    <m/>
    <n v="8"/>
    <m/>
    <m/>
    <n v="900"/>
  </r>
  <r>
    <x v="3"/>
    <n v="7"/>
    <m/>
    <n v="40"/>
    <n v="1"/>
    <n v="14000"/>
  </r>
  <r>
    <x v="0"/>
    <n v="7"/>
    <m/>
    <m/>
    <m/>
    <n v="750"/>
  </r>
  <r>
    <x v="1"/>
    <n v="3"/>
    <m/>
    <m/>
    <n v="70"/>
    <n v="7000"/>
  </r>
  <r>
    <x v="2"/>
    <m/>
    <n v="9"/>
    <m/>
    <m/>
    <n v="1200"/>
  </r>
  <r>
    <x v="3"/>
    <n v="8"/>
    <m/>
    <n v="38"/>
    <n v="85"/>
    <n v="12500"/>
  </r>
  <r>
    <x v="8"/>
    <m/>
    <m/>
    <n v="20"/>
    <m/>
    <n v="3000"/>
  </r>
  <r>
    <x v="1"/>
    <n v="5"/>
    <m/>
    <m/>
    <n v="75"/>
    <n v="8000"/>
  </r>
  <r>
    <x v="2"/>
    <m/>
    <n v="7"/>
    <m/>
    <m/>
    <n v="900"/>
  </r>
  <r>
    <x v="0"/>
    <n v="12"/>
    <m/>
    <m/>
    <m/>
    <n v="1400"/>
  </r>
  <r>
    <x v="2"/>
    <m/>
    <n v="5"/>
    <m/>
    <m/>
    <n v="600"/>
  </r>
  <r>
    <x v="1"/>
    <n v="6"/>
    <m/>
    <m/>
    <n v="65"/>
    <n v="7800"/>
  </r>
  <r>
    <x v="8"/>
    <m/>
    <m/>
    <n v="24"/>
    <m/>
    <n v="3200"/>
  </r>
  <r>
    <x v="3"/>
    <n v="8"/>
    <m/>
    <n v="28"/>
    <n v="95"/>
    <n v="13200"/>
  </r>
  <r>
    <x v="2"/>
    <m/>
    <n v="4"/>
    <m/>
    <m/>
    <n v="500"/>
  </r>
  <r>
    <x v="4"/>
    <n v="5"/>
    <m/>
    <n v="20"/>
    <m/>
    <n v="3800"/>
  </r>
  <r>
    <x v="0"/>
    <n v="7"/>
    <m/>
    <m/>
    <m/>
    <n v="850"/>
  </r>
  <r>
    <x v="1"/>
    <n v="4"/>
    <m/>
    <m/>
    <n v="55"/>
    <n v="6700"/>
  </r>
  <r>
    <x v="8"/>
    <m/>
    <m/>
    <n v="32"/>
    <m/>
    <n v="4600"/>
  </r>
  <r>
    <x v="0"/>
    <n v="10"/>
    <m/>
    <m/>
    <m/>
    <n v="1300"/>
  </r>
  <r>
    <x v="2"/>
    <m/>
    <n v="7"/>
    <m/>
    <m/>
    <n v="750"/>
  </r>
  <r>
    <x v="4"/>
    <n v="7"/>
    <m/>
    <n v="22"/>
    <m/>
    <n v="3900"/>
  </r>
  <r>
    <x v="0"/>
    <n v="8"/>
    <m/>
    <m/>
    <m/>
    <n v="1000"/>
  </r>
  <r>
    <x v="1"/>
    <n v="5"/>
    <m/>
    <m/>
    <n v="70"/>
    <n v="8500"/>
  </r>
  <r>
    <x v="8"/>
    <m/>
    <m/>
    <n v="24"/>
    <m/>
    <n v="3600"/>
  </r>
  <r>
    <x v="2"/>
    <m/>
    <n v="4"/>
    <m/>
    <m/>
    <n v="400"/>
  </r>
  <r>
    <x v="14"/>
    <n v="6"/>
    <m/>
    <m/>
    <m/>
    <n v="1600"/>
  </r>
  <r>
    <x v="3"/>
    <n v="4"/>
    <m/>
    <n v="20"/>
    <n v="85"/>
    <n v="1200"/>
  </r>
  <r>
    <x v="8"/>
    <m/>
    <m/>
    <n v="26"/>
    <m/>
    <n v="3900"/>
  </r>
  <r>
    <x v="0"/>
    <n v="11"/>
    <m/>
    <m/>
    <m/>
    <n v="1450"/>
  </r>
  <r>
    <x v="2"/>
    <m/>
    <n v="6"/>
    <m/>
    <m/>
    <n v="500"/>
  </r>
  <r>
    <x v="1"/>
    <n v="4"/>
    <m/>
    <m/>
    <n v="75"/>
    <n v="9000"/>
  </r>
  <r>
    <x v="8"/>
    <m/>
    <m/>
    <n v="30"/>
    <m/>
    <n v="4500"/>
  </r>
  <r>
    <x v="0"/>
    <n v="4"/>
    <m/>
    <m/>
    <m/>
    <n v="500"/>
  </r>
  <r>
    <x v="4"/>
    <n v="6"/>
    <m/>
    <n v="22"/>
    <m/>
    <n v="4200"/>
  </r>
  <r>
    <x v="2"/>
    <m/>
    <n v="5"/>
    <m/>
    <m/>
    <n v="650"/>
  </r>
  <r>
    <x v="3"/>
    <n v="3"/>
    <m/>
    <n v="22"/>
    <n v="90"/>
    <n v="13800"/>
  </r>
  <r>
    <x v="0"/>
    <n v="9"/>
    <m/>
    <m/>
    <m/>
    <n v="1100"/>
  </r>
  <r>
    <x v="1"/>
    <n v="5"/>
    <m/>
    <m/>
    <n v="88"/>
    <n v="10200"/>
  </r>
  <r>
    <x v="0"/>
    <n v="9"/>
    <m/>
    <m/>
    <m/>
    <n v="1150"/>
  </r>
  <r>
    <x v="2"/>
    <m/>
    <n v="5"/>
    <m/>
    <m/>
    <n v="650"/>
  </r>
  <r>
    <x v="3"/>
    <n v="3"/>
    <m/>
    <n v="20"/>
    <n v="1"/>
    <n v="14500"/>
  </r>
  <r>
    <x v="8"/>
    <m/>
    <m/>
    <n v="25"/>
    <m/>
    <n v="3800"/>
  </r>
  <r>
    <x v="0"/>
    <n v="8"/>
    <m/>
    <m/>
    <m/>
    <n v="1000"/>
  </r>
  <r>
    <x v="0"/>
    <n v="10"/>
    <m/>
    <m/>
    <m/>
    <n v="1250"/>
  </r>
  <r>
    <x v="1"/>
    <n v="4"/>
    <m/>
    <m/>
    <n v="85"/>
    <n v="10800"/>
  </r>
  <r>
    <x v="2"/>
    <m/>
    <n v="5"/>
    <m/>
    <m/>
    <n v="650"/>
  </r>
  <r>
    <x v="3"/>
    <n v="3"/>
    <m/>
    <n v="18"/>
    <n v="110"/>
    <n v="15600"/>
  </r>
  <r>
    <x v="8"/>
    <m/>
    <m/>
    <n v="30"/>
    <m/>
    <n v="4400"/>
  </r>
  <r>
    <x v="10"/>
    <n v="9"/>
    <n v="4"/>
    <m/>
    <m/>
    <n v="1800"/>
  </r>
  <r>
    <x v="2"/>
    <m/>
    <n v="4"/>
    <m/>
    <m/>
    <n v="520"/>
  </r>
  <r>
    <x v="4"/>
    <n v="6"/>
    <m/>
    <n v="20"/>
    <m/>
    <n v="3609"/>
  </r>
  <r>
    <x v="1"/>
    <n v="5"/>
    <m/>
    <m/>
    <n v="72"/>
    <n v="9200"/>
  </r>
  <r>
    <x v="8"/>
    <m/>
    <m/>
    <n v="24"/>
    <m/>
    <n v="3700"/>
  </r>
  <r>
    <x v="0"/>
    <n v="7"/>
    <m/>
    <m/>
    <m/>
    <n v="900"/>
  </r>
  <r>
    <x v="2"/>
    <m/>
    <n v="5"/>
    <m/>
    <m/>
    <n v="650"/>
  </r>
  <r>
    <x v="3"/>
    <n v="3"/>
    <m/>
    <n v="22"/>
    <n v="105"/>
    <n v="14800"/>
  </r>
  <r>
    <x v="0"/>
    <n v="8"/>
    <m/>
    <m/>
    <m/>
    <n v="1000"/>
  </r>
  <r>
    <x v="0"/>
    <n v="35"/>
    <m/>
    <m/>
    <m/>
    <n v="1900"/>
  </r>
  <r>
    <x v="0"/>
    <n v="10"/>
    <m/>
    <m/>
    <m/>
    <n v="1300"/>
  </r>
  <r>
    <x v="2"/>
    <m/>
    <n v="3"/>
    <m/>
    <m/>
    <n v="400"/>
  </r>
  <r>
    <x v="1"/>
    <n v="4"/>
    <m/>
    <m/>
    <n v="68"/>
    <n v="9700"/>
  </r>
  <r>
    <x v="0"/>
    <n v="9"/>
    <m/>
    <m/>
    <m/>
    <n v="1100"/>
  </r>
  <r>
    <x v="8"/>
    <m/>
    <m/>
    <n v="25"/>
    <m/>
    <n v="3900"/>
  </r>
  <r>
    <x v="4"/>
    <n v="6"/>
    <m/>
    <n v="20"/>
    <m/>
    <n v="3700"/>
  </r>
  <r>
    <x v="2"/>
    <m/>
    <n v="4"/>
    <m/>
    <m/>
    <n v="550"/>
  </r>
  <r>
    <x v="1"/>
    <n v="4"/>
    <m/>
    <m/>
    <n v="88"/>
    <n v="11000"/>
  </r>
  <r>
    <x v="0"/>
    <n v="8"/>
    <m/>
    <m/>
    <m/>
    <n v="1000"/>
  </r>
  <r>
    <x v="4"/>
    <n v="5"/>
    <m/>
    <n v="22"/>
    <m/>
    <n v="4000"/>
  </r>
  <r>
    <x v="0"/>
    <n v="12"/>
    <m/>
    <m/>
    <m/>
    <n v="1550"/>
  </r>
  <r>
    <x v="2"/>
    <m/>
    <n v="6"/>
    <m/>
    <m/>
    <n v="780"/>
  </r>
  <r>
    <x v="1"/>
    <n v="4"/>
    <m/>
    <m/>
    <n v="90"/>
    <n v="11500"/>
  </r>
  <r>
    <x v="8"/>
    <m/>
    <m/>
    <n v="26"/>
    <m/>
    <n v="4000"/>
  </r>
  <r>
    <x v="4"/>
    <n v="6"/>
    <m/>
    <n v="23"/>
    <m/>
    <n v="4200"/>
  </r>
  <r>
    <x v="0"/>
    <n v="9"/>
    <m/>
    <m/>
    <m/>
    <n v="1100"/>
  </r>
  <r>
    <x v="1"/>
    <n v="3"/>
    <m/>
    <m/>
    <n v="90"/>
    <n v="12000"/>
  </r>
  <r>
    <x v="8"/>
    <m/>
    <m/>
    <n v="27"/>
    <m/>
    <n v="4700"/>
  </r>
  <r>
    <x v="2"/>
    <m/>
    <n v="4"/>
    <m/>
    <m/>
    <n v="520"/>
  </r>
  <r>
    <x v="4"/>
    <n v="5"/>
    <m/>
    <n v="24"/>
    <m/>
    <n v="4200"/>
  </r>
  <r>
    <x v="0"/>
    <n v="11"/>
    <m/>
    <m/>
    <m/>
    <n v="1450"/>
  </r>
  <r>
    <x v="2"/>
    <m/>
    <n v="5"/>
    <m/>
    <m/>
    <n v="650"/>
  </r>
  <r>
    <x v="1"/>
    <n v="3"/>
    <m/>
    <m/>
    <n v="98"/>
    <n v="12800"/>
  </r>
  <r>
    <x v="8"/>
    <m/>
    <m/>
    <n v="26"/>
    <m/>
    <n v="4000"/>
  </r>
  <r>
    <x v="4"/>
    <n v="6"/>
    <m/>
    <n v="22"/>
    <m/>
    <n v="4000"/>
  </r>
  <r>
    <x v="2"/>
    <m/>
    <n v="5"/>
    <m/>
    <m/>
    <n v="650"/>
  </r>
  <r>
    <x v="1"/>
    <n v="4"/>
    <m/>
    <m/>
    <n v="92"/>
    <n v="11800"/>
  </r>
  <r>
    <x v="8"/>
    <m/>
    <m/>
    <n v="39"/>
    <m/>
    <n v="4400"/>
  </r>
  <r>
    <x v="2"/>
    <m/>
    <n v="4"/>
    <m/>
    <m/>
    <n v="520"/>
  </r>
  <r>
    <x v="4"/>
    <n v="5"/>
    <m/>
    <n v="25"/>
    <m/>
    <n v="4500"/>
  </r>
  <r>
    <x v="0"/>
    <n v="10"/>
    <m/>
    <m/>
    <m/>
    <n v="1300"/>
  </r>
  <r>
    <x v="4"/>
    <n v="5"/>
    <m/>
    <n v="21"/>
    <m/>
    <n v="3600"/>
  </r>
  <r>
    <x v="1"/>
    <n v="4"/>
    <m/>
    <m/>
    <n v="85"/>
    <n v="11000"/>
  </r>
  <r>
    <x v="2"/>
    <m/>
    <n v="8"/>
    <m/>
    <m/>
    <n v="650"/>
  </r>
  <r>
    <x v="0"/>
    <n v="11"/>
    <m/>
    <m/>
    <m/>
    <n v="1000"/>
  </r>
  <r>
    <x v="2"/>
    <m/>
    <n v="4"/>
    <m/>
    <m/>
    <n v="420"/>
  </r>
  <r>
    <x v="1"/>
    <n v="4"/>
    <m/>
    <m/>
    <n v="85"/>
    <n v="10800"/>
  </r>
  <r>
    <x v="8"/>
    <m/>
    <m/>
    <n v="26"/>
    <m/>
    <n v="4000"/>
  </r>
  <r>
    <x v="0"/>
    <n v="9"/>
    <m/>
    <m/>
    <m/>
    <n v="1000"/>
  </r>
  <r>
    <x v="4"/>
    <n v="6"/>
    <m/>
    <n v="22"/>
    <m/>
    <n v="4000"/>
  </r>
  <r>
    <x v="0"/>
    <n v="10"/>
    <m/>
    <m/>
    <m/>
    <n v="1300"/>
  </r>
  <r>
    <x v="15"/>
    <n v="3"/>
    <m/>
    <m/>
    <m/>
    <n v="390"/>
  </r>
  <r>
    <x v="0"/>
    <n v="30"/>
    <m/>
    <m/>
    <m/>
    <n v="3000"/>
  </r>
  <r>
    <x v="1"/>
    <n v="4"/>
    <m/>
    <m/>
    <n v="90"/>
    <n v="11600"/>
  </r>
  <r>
    <x v="2"/>
    <m/>
    <n v="5"/>
    <m/>
    <m/>
    <n v="650"/>
  </r>
  <r>
    <x v="4"/>
    <n v="5"/>
    <m/>
    <n v="24"/>
    <m/>
    <n v="4300"/>
  </r>
  <r>
    <x v="0"/>
    <n v="8"/>
    <m/>
    <m/>
    <m/>
    <n v="850"/>
  </r>
  <r>
    <x v="8"/>
    <m/>
    <m/>
    <n v="24"/>
    <m/>
    <n v="3000"/>
  </r>
  <r>
    <x v="15"/>
    <n v="8"/>
    <m/>
    <m/>
    <m/>
    <n v="300"/>
  </r>
  <r>
    <x v="8"/>
    <m/>
    <m/>
    <n v="28"/>
    <m/>
    <n v="2800"/>
  </r>
  <r>
    <x v="2"/>
    <m/>
    <n v="9"/>
    <m/>
    <m/>
    <n v="900"/>
  </r>
  <r>
    <x v="4"/>
    <n v="6"/>
    <m/>
    <n v="22"/>
    <m/>
    <n v="4000"/>
  </r>
  <r>
    <x v="2"/>
    <m/>
    <n v="5"/>
    <m/>
    <m/>
    <n v="650"/>
  </r>
  <r>
    <x v="1"/>
    <n v="3"/>
    <m/>
    <m/>
    <n v="90"/>
    <n v="12000"/>
  </r>
  <r>
    <x v="0"/>
    <n v="9"/>
    <m/>
    <m/>
    <m/>
    <n v="1000"/>
  </r>
  <r>
    <x v="8"/>
    <m/>
    <m/>
    <n v="24"/>
    <m/>
    <n v="3000"/>
  </r>
  <r>
    <x v="0"/>
    <n v="8"/>
    <m/>
    <m/>
    <m/>
    <n v="850"/>
  </r>
  <r>
    <x v="1"/>
    <n v="4"/>
    <m/>
    <m/>
    <n v="88"/>
    <n v="11800"/>
  </r>
  <r>
    <x v="0"/>
    <n v="28"/>
    <m/>
    <m/>
    <m/>
    <n v="3000"/>
  </r>
  <r>
    <x v="2"/>
    <m/>
    <n v="3"/>
    <m/>
    <m/>
    <n v="390"/>
  </r>
  <r>
    <x v="4"/>
    <n v="6"/>
    <m/>
    <n v="23"/>
    <m/>
    <n v="4000"/>
  </r>
  <r>
    <x v="0"/>
    <n v="5"/>
    <m/>
    <m/>
    <m/>
    <n v="650"/>
  </r>
  <r>
    <x v="2"/>
    <m/>
    <n v="10"/>
    <m/>
    <m/>
    <n v="780"/>
  </r>
  <r>
    <x v="16"/>
    <m/>
    <m/>
    <m/>
    <n v="85"/>
    <n v="8300"/>
  </r>
  <r>
    <x v="4"/>
    <n v="5"/>
    <m/>
    <n v="24"/>
    <m/>
    <n v="4000"/>
  </r>
  <r>
    <x v="2"/>
    <m/>
    <n v="4"/>
    <m/>
    <m/>
    <n v="520"/>
  </r>
  <r>
    <x v="0"/>
    <n v="12"/>
    <m/>
    <m/>
    <m/>
    <n v="1500"/>
  </r>
  <r>
    <x v="4"/>
    <n v="4"/>
    <m/>
    <n v="19"/>
    <m/>
    <n v="330"/>
  </r>
  <r>
    <x v="2"/>
    <m/>
    <n v="4"/>
    <m/>
    <m/>
    <n v="520"/>
  </r>
  <r>
    <x v="16"/>
    <m/>
    <m/>
    <m/>
    <n v="90"/>
    <n v="9000"/>
  </r>
  <r>
    <x v="14"/>
    <n v="5"/>
    <m/>
    <m/>
    <m/>
    <n v="2200"/>
  </r>
  <r>
    <x v="0"/>
    <n v="10"/>
    <m/>
    <m/>
    <m/>
    <n v="1300"/>
  </r>
  <r>
    <x v="2"/>
    <m/>
    <n v="4"/>
    <m/>
    <m/>
    <n v="520"/>
  </r>
  <r>
    <x v="4"/>
    <n v="4"/>
    <m/>
    <n v="20"/>
    <m/>
    <n v="3200"/>
  </r>
  <r>
    <x v="0"/>
    <n v="7"/>
    <m/>
    <m/>
    <m/>
    <n v="910"/>
  </r>
  <r>
    <x v="1"/>
    <n v="3"/>
    <m/>
    <m/>
    <n v="88"/>
    <n v="10600"/>
  </r>
  <r>
    <x v="8"/>
    <m/>
    <m/>
    <n v="25"/>
    <m/>
    <n v="3900"/>
  </r>
  <r>
    <x v="2"/>
    <m/>
    <n v="3"/>
    <m/>
    <m/>
    <n v="350"/>
  </r>
  <r>
    <x v="4"/>
    <n v="5"/>
    <m/>
    <n v="21"/>
    <m/>
    <n v="3700"/>
  </r>
  <r>
    <x v="0"/>
    <n v="10"/>
    <m/>
    <m/>
    <m/>
    <n v="1300"/>
  </r>
  <r>
    <x v="0"/>
    <n v="9"/>
    <m/>
    <m/>
    <m/>
    <n v="1000"/>
  </r>
  <r>
    <x v="2"/>
    <m/>
    <n v="6"/>
    <m/>
    <m/>
    <n v="780"/>
  </r>
  <r>
    <x v="4"/>
    <n v="5"/>
    <m/>
    <n v="21"/>
    <m/>
    <n v="3800"/>
  </r>
  <r>
    <x v="0"/>
    <n v="4"/>
    <m/>
    <m/>
    <m/>
    <n v="520"/>
  </r>
  <r>
    <x v="0"/>
    <n v="8"/>
    <m/>
    <m/>
    <m/>
    <n v="900"/>
  </r>
  <r>
    <x v="1"/>
    <n v="3"/>
    <m/>
    <m/>
    <n v="80"/>
    <n v="9900"/>
  </r>
  <r>
    <x v="0"/>
    <n v="11"/>
    <m/>
    <m/>
    <m/>
    <n v="11430"/>
  </r>
  <r>
    <x v="2"/>
    <m/>
    <n v="3"/>
    <m/>
    <m/>
    <n v="390"/>
  </r>
  <r>
    <x v="4"/>
    <n v="5"/>
    <m/>
    <n v="23"/>
    <m/>
    <n v="4000"/>
  </r>
  <r>
    <x v="8"/>
    <m/>
    <m/>
    <n v="18"/>
    <m/>
    <n v="2900"/>
  </r>
  <r>
    <x v="2"/>
    <m/>
    <n v="9"/>
    <m/>
    <m/>
    <n v="1070"/>
  </r>
  <r>
    <x v="0"/>
    <n v="12"/>
    <m/>
    <m/>
    <m/>
    <n v="1300"/>
  </r>
  <r>
    <x v="0"/>
    <n v="22"/>
    <m/>
    <m/>
    <m/>
    <n v="2400"/>
  </r>
  <r>
    <x v="0"/>
    <n v="15"/>
    <m/>
    <m/>
    <m/>
    <n v="1700"/>
  </r>
  <r>
    <x v="8"/>
    <m/>
    <m/>
    <n v="55"/>
    <m/>
    <n v="6500"/>
  </r>
  <r>
    <x v="2"/>
    <m/>
    <n v="8"/>
    <m/>
    <m/>
    <n v="900"/>
  </r>
  <r>
    <x v="0"/>
    <n v="18"/>
    <m/>
    <m/>
    <m/>
    <n v="2000"/>
  </r>
  <r>
    <x v="0"/>
    <n v="24"/>
    <m/>
    <m/>
    <m/>
    <n v="2600"/>
  </r>
  <r>
    <x v="0"/>
    <n v="20"/>
    <m/>
    <m/>
    <m/>
    <n v="2200"/>
  </r>
  <r>
    <x v="8"/>
    <m/>
    <m/>
    <n v="24"/>
    <m/>
    <n v="3800"/>
  </r>
  <r>
    <x v="2"/>
    <m/>
    <n v="4"/>
    <m/>
    <m/>
    <n v="520"/>
  </r>
  <r>
    <x v="1"/>
    <n v="3"/>
    <m/>
    <m/>
    <n v="90"/>
    <n v="11000"/>
  </r>
  <r>
    <x v="0"/>
    <n v="9"/>
    <m/>
    <m/>
    <m/>
    <n v="1000"/>
  </r>
  <r>
    <x v="16"/>
    <m/>
    <m/>
    <m/>
    <n v="70"/>
    <n v="9400"/>
  </r>
  <r>
    <x v="16"/>
    <m/>
    <m/>
    <m/>
    <n v="85"/>
    <n v="6800"/>
  </r>
  <r>
    <x v="4"/>
    <n v="5"/>
    <m/>
    <n v="23"/>
    <m/>
    <n v="4000"/>
  </r>
  <r>
    <x v="2"/>
    <m/>
    <n v="3"/>
    <m/>
    <m/>
    <n v="390"/>
  </r>
  <r>
    <x v="4"/>
    <n v="5"/>
    <m/>
    <n v="22"/>
    <m/>
    <n v="3900"/>
  </r>
  <r>
    <x v="0"/>
    <n v="9"/>
    <m/>
    <m/>
    <m/>
    <n v="1070"/>
  </r>
  <r>
    <x v="0"/>
    <n v="10"/>
    <m/>
    <m/>
    <m/>
    <n v="1300"/>
  </r>
  <r>
    <x v="10"/>
    <n v="7"/>
    <n v="3"/>
    <m/>
    <m/>
    <n v="1300"/>
  </r>
  <r>
    <x v="2"/>
    <m/>
    <n v="5"/>
    <m/>
    <m/>
    <n v="650"/>
  </r>
  <r>
    <x v="0"/>
    <n v="4"/>
    <m/>
    <m/>
    <m/>
    <n v="520"/>
  </r>
  <r>
    <x v="2"/>
    <m/>
    <n v="3"/>
    <m/>
    <m/>
    <n v="390"/>
  </r>
  <r>
    <x v="6"/>
    <n v="5"/>
    <n v="4"/>
    <n v="20"/>
    <m/>
    <n v="4500"/>
  </r>
  <r>
    <x v="0"/>
    <n v="11"/>
    <m/>
    <m/>
    <m/>
    <n v="1430"/>
  </r>
  <r>
    <x v="2"/>
    <m/>
    <n v="2"/>
    <m/>
    <m/>
    <n v="260"/>
  </r>
  <r>
    <x v="0"/>
    <n v="12"/>
    <m/>
    <m/>
    <m/>
    <n v="1560"/>
  </r>
  <r>
    <x v="0"/>
    <n v="12"/>
    <m/>
    <m/>
    <m/>
    <n v="1690"/>
  </r>
  <r>
    <x v="0"/>
    <n v="3"/>
    <m/>
    <m/>
    <m/>
    <n v="390"/>
  </r>
  <r>
    <x v="4"/>
    <n v="6"/>
    <m/>
    <n v="21"/>
    <m/>
    <n v="3600"/>
  </r>
  <r>
    <x v="2"/>
    <m/>
    <n v="5"/>
    <m/>
    <m/>
    <n v="650"/>
  </r>
  <r>
    <x v="16"/>
    <m/>
    <m/>
    <m/>
    <n v="95"/>
    <n v="9600"/>
  </r>
  <r>
    <x v="0"/>
    <n v="11"/>
    <m/>
    <m/>
    <m/>
    <n v="1430"/>
  </r>
  <r>
    <x v="1"/>
    <n v="6"/>
    <m/>
    <m/>
    <n v="80"/>
    <n v="9200"/>
  </r>
  <r>
    <x v="2"/>
    <m/>
    <n v="5"/>
    <m/>
    <m/>
    <n v="520"/>
  </r>
  <r>
    <x v="0"/>
    <n v="12"/>
    <m/>
    <m/>
    <m/>
    <n v="1560"/>
  </r>
  <r>
    <x v="0"/>
    <n v="3"/>
    <m/>
    <m/>
    <m/>
    <n v="390"/>
  </r>
  <r>
    <x v="0"/>
    <n v="24"/>
    <m/>
    <m/>
    <m/>
    <n v="1820"/>
  </r>
  <r>
    <x v="2"/>
    <m/>
    <n v="2"/>
    <m/>
    <m/>
    <n v="260"/>
  </r>
  <r>
    <x v="4"/>
    <n v="5"/>
    <m/>
    <n v="22"/>
    <m/>
    <n v="3900"/>
  </r>
  <r>
    <x v="2"/>
    <m/>
    <n v="3"/>
    <m/>
    <m/>
    <n v="390"/>
  </r>
  <r>
    <x v="0"/>
    <n v="13"/>
    <m/>
    <m/>
    <m/>
    <n v="1690"/>
  </r>
  <r>
    <x v="1"/>
    <n v="4"/>
    <m/>
    <m/>
    <n v="90"/>
    <n v="11000"/>
  </r>
  <r>
    <x v="2"/>
    <m/>
    <n v="5"/>
    <m/>
    <m/>
    <n v="650"/>
  </r>
  <r>
    <x v="6"/>
    <n v="4"/>
    <n v="3"/>
    <n v="24"/>
    <m/>
    <n v="4400"/>
  </r>
  <r>
    <x v="0"/>
    <n v="3"/>
    <m/>
    <m/>
    <m/>
    <n v="390"/>
  </r>
  <r>
    <x v="8"/>
    <m/>
    <m/>
    <n v="26"/>
    <m/>
    <n v="4000"/>
  </r>
  <r>
    <x v="0"/>
    <n v="11"/>
    <m/>
    <m/>
    <m/>
    <n v="1430"/>
  </r>
  <r>
    <x v="0"/>
    <n v="3"/>
    <m/>
    <m/>
    <m/>
    <n v="9400"/>
  </r>
  <r>
    <x v="1"/>
    <n v="4"/>
    <m/>
    <m/>
    <n v="70"/>
    <n v="8800"/>
  </r>
  <r>
    <x v="2"/>
    <m/>
    <n v="4"/>
    <m/>
    <m/>
    <n v="520"/>
  </r>
  <r>
    <x v="4"/>
    <n v="6"/>
    <m/>
    <n v="21"/>
    <m/>
    <n v="3700"/>
  </r>
  <r>
    <x v="16"/>
    <m/>
    <m/>
    <m/>
    <n v="90"/>
    <n v="9200"/>
  </r>
  <r>
    <x v="0"/>
    <n v="6"/>
    <m/>
    <m/>
    <m/>
    <n v="780"/>
  </r>
  <r>
    <x v="2"/>
    <m/>
    <n v="7"/>
    <m/>
    <m/>
    <n v="780"/>
  </r>
  <r>
    <x v="0"/>
    <n v="11"/>
    <m/>
    <m/>
    <m/>
    <n v="1180"/>
  </r>
  <r>
    <x v="4"/>
    <n v="5"/>
    <m/>
    <n v="23"/>
    <m/>
    <n v="3600"/>
  </r>
  <r>
    <x v="2"/>
    <m/>
    <n v="4"/>
    <m/>
    <m/>
    <n v="520"/>
  </r>
  <r>
    <x v="0"/>
    <n v="16"/>
    <m/>
    <m/>
    <m/>
    <n v="2080"/>
  </r>
  <r>
    <x v="0"/>
    <n v="3"/>
    <m/>
    <m/>
    <m/>
    <n v="390"/>
  </r>
  <r>
    <x v="8"/>
    <m/>
    <m/>
    <n v="27"/>
    <m/>
    <n v="4350"/>
  </r>
  <r>
    <x v="0"/>
    <n v="5"/>
    <m/>
    <m/>
    <m/>
    <n v="520"/>
  </r>
  <r>
    <x v="0"/>
    <n v="11"/>
    <m/>
    <m/>
    <m/>
    <n v="11430"/>
  </r>
  <r>
    <x v="0"/>
    <n v="8"/>
    <m/>
    <m/>
    <m/>
    <n v="900"/>
  </r>
  <r>
    <x v="2"/>
    <m/>
    <n v="7"/>
    <m/>
    <m/>
    <n v="910"/>
  </r>
  <r>
    <x v="0"/>
    <n v="12"/>
    <m/>
    <m/>
    <m/>
    <n v="1560"/>
  </r>
  <r>
    <x v="4"/>
    <n v="6"/>
    <m/>
    <n v="26"/>
    <m/>
    <n v="4160"/>
  </r>
  <r>
    <x v="2"/>
    <m/>
    <n v="4"/>
    <m/>
    <m/>
    <n v="520"/>
  </r>
  <r>
    <x v="0"/>
    <n v="15"/>
    <m/>
    <m/>
    <m/>
    <n v="1560"/>
  </r>
  <r>
    <x v="0"/>
    <n v="3"/>
    <m/>
    <m/>
    <m/>
    <n v="390"/>
  </r>
  <r>
    <x v="8"/>
    <m/>
    <m/>
    <n v="28"/>
    <m/>
    <n v="4550"/>
  </r>
  <r>
    <x v="0"/>
    <n v="5"/>
    <m/>
    <m/>
    <m/>
    <n v="650"/>
  </r>
  <r>
    <x v="10"/>
    <n v="7"/>
    <n v="4"/>
    <m/>
    <m/>
    <n v="1430"/>
  </r>
  <r>
    <x v="0"/>
    <n v="8"/>
    <m/>
    <m/>
    <m/>
    <n v="1040"/>
  </r>
  <r>
    <x v="2"/>
    <m/>
    <n v="6"/>
    <m/>
    <m/>
    <n v="780"/>
  </r>
  <r>
    <x v="16"/>
    <m/>
    <m/>
    <m/>
    <n v="85"/>
    <n v="7200"/>
  </r>
  <r>
    <x v="0"/>
    <n v="9"/>
    <m/>
    <m/>
    <m/>
    <n v="1170"/>
  </r>
  <r>
    <x v="4"/>
    <n v="5"/>
    <m/>
    <n v="20"/>
    <m/>
    <n v="3250"/>
  </r>
  <r>
    <x v="0"/>
    <n v="32"/>
    <m/>
    <m/>
    <m/>
    <n v="4550"/>
  </r>
  <r>
    <x v="2"/>
    <m/>
    <n v="4"/>
    <m/>
    <m/>
    <n v="520"/>
  </r>
  <r>
    <x v="0"/>
    <n v="11"/>
    <m/>
    <m/>
    <m/>
    <n v="1430"/>
  </r>
  <r>
    <x v="0"/>
    <n v="6"/>
    <m/>
    <m/>
    <m/>
    <n v="780"/>
  </r>
  <r>
    <x v="8"/>
    <m/>
    <m/>
    <n v="26"/>
    <m/>
    <n v="4100"/>
  </r>
  <r>
    <x v="0"/>
    <n v="7"/>
    <m/>
    <m/>
    <m/>
    <n v="910"/>
  </r>
  <r>
    <x v="2"/>
    <m/>
    <n v="7"/>
    <m/>
    <m/>
    <n v="910"/>
  </r>
  <r>
    <x v="0"/>
    <n v="10"/>
    <m/>
    <m/>
    <m/>
    <n v="1300"/>
  </r>
  <r>
    <x v="4"/>
    <n v="9"/>
    <m/>
    <n v="22"/>
    <m/>
    <n v="3640"/>
  </r>
  <r>
    <x v="2"/>
    <m/>
    <n v="3"/>
    <m/>
    <m/>
    <n v="390"/>
  </r>
  <r>
    <x v="0"/>
    <n v="14"/>
    <m/>
    <m/>
    <m/>
    <n v="1820"/>
  </r>
  <r>
    <x v="0"/>
    <n v="4"/>
    <m/>
    <m/>
    <m/>
    <n v="520"/>
  </r>
  <r>
    <x v="8"/>
    <m/>
    <m/>
    <n v="24"/>
    <m/>
    <n v="3900"/>
  </r>
  <r>
    <x v="0"/>
    <n v="9"/>
    <m/>
    <m/>
    <m/>
    <n v="1170"/>
  </r>
  <r>
    <x v="2"/>
    <m/>
    <n v="6"/>
    <m/>
    <m/>
    <n v="780"/>
  </r>
  <r>
    <x v="0"/>
    <n v="7"/>
    <m/>
    <m/>
    <m/>
    <n v="910"/>
  </r>
  <r>
    <x v="2"/>
    <m/>
    <n v="5"/>
    <m/>
    <m/>
    <n v="650"/>
  </r>
  <r>
    <x v="0"/>
    <n v="12"/>
    <m/>
    <m/>
    <m/>
    <n v="1560"/>
  </r>
  <r>
    <x v="4"/>
    <n v="5"/>
    <m/>
    <n v="22"/>
    <m/>
    <n v="3510"/>
  </r>
  <r>
    <x v="2"/>
    <m/>
    <n v="3"/>
    <m/>
    <m/>
    <n v="390"/>
  </r>
  <r>
    <x v="0"/>
    <n v="16"/>
    <m/>
    <m/>
    <m/>
    <n v="2080"/>
  </r>
  <r>
    <x v="0"/>
    <n v="3"/>
    <m/>
    <m/>
    <m/>
    <n v="390"/>
  </r>
  <r>
    <x v="8"/>
    <m/>
    <m/>
    <n v="26"/>
    <m/>
    <n v="4160"/>
  </r>
  <r>
    <x v="0"/>
    <n v="4"/>
    <m/>
    <m/>
    <m/>
    <n v="520"/>
  </r>
  <r>
    <x v="0"/>
    <n v="11"/>
    <m/>
    <m/>
    <m/>
    <n v="1430"/>
  </r>
  <r>
    <x v="0"/>
    <n v="7"/>
    <m/>
    <m/>
    <m/>
    <n v="910"/>
  </r>
  <r>
    <x v="2"/>
    <m/>
    <n v="5"/>
    <m/>
    <m/>
    <n v="650"/>
  </r>
  <r>
    <x v="0"/>
    <n v="9"/>
    <m/>
    <m/>
    <m/>
    <n v="1170"/>
  </r>
  <r>
    <x v="0"/>
    <n v="8"/>
    <m/>
    <m/>
    <m/>
    <n v="900"/>
  </r>
  <r>
    <x v="4"/>
    <n v="5"/>
    <m/>
    <n v="21"/>
    <m/>
    <n v="3380"/>
  </r>
  <r>
    <x v="2"/>
    <m/>
    <n v="3"/>
    <m/>
    <m/>
    <n v="390"/>
  </r>
  <r>
    <x v="0"/>
    <n v="15"/>
    <m/>
    <m/>
    <m/>
    <n v="1950"/>
  </r>
  <r>
    <x v="0"/>
    <n v="3"/>
    <m/>
    <m/>
    <m/>
    <n v="390"/>
  </r>
  <r>
    <x v="8"/>
    <m/>
    <m/>
    <n v="27"/>
    <m/>
    <n v="4350"/>
  </r>
  <r>
    <x v="0"/>
    <n v="4"/>
    <m/>
    <m/>
    <m/>
    <n v="520"/>
  </r>
  <r>
    <x v="0"/>
    <n v="12"/>
    <m/>
    <m/>
    <m/>
    <n v="1560"/>
  </r>
  <r>
    <x v="2"/>
    <m/>
    <n v="4"/>
    <m/>
    <m/>
    <n v="420"/>
  </r>
  <r>
    <x v="8"/>
    <m/>
    <m/>
    <n v="24"/>
    <m/>
    <n v="3840"/>
  </r>
  <r>
    <x v="1"/>
    <n v="6"/>
    <m/>
    <m/>
    <n v="45"/>
    <n v="5400"/>
  </r>
  <r>
    <x v="2"/>
    <m/>
    <n v="8"/>
    <m/>
    <m/>
    <n v="880"/>
  </r>
  <r>
    <x v="8"/>
    <m/>
    <m/>
    <n v="20"/>
    <m/>
    <n v="2000"/>
  </r>
  <r>
    <x v="8"/>
    <m/>
    <m/>
    <n v="22"/>
    <m/>
    <n v="2300"/>
  </r>
  <r>
    <x v="0"/>
    <n v="10"/>
    <m/>
    <m/>
    <m/>
    <n v="1000"/>
  </r>
  <r>
    <x v="8"/>
    <m/>
    <m/>
    <n v="26"/>
    <m/>
    <n v="2800"/>
  </r>
  <r>
    <x v="0"/>
    <n v="5"/>
    <m/>
    <m/>
    <m/>
    <n v="580"/>
  </r>
  <r>
    <x v="0"/>
    <n v="11"/>
    <m/>
    <m/>
    <m/>
    <n v="1430"/>
  </r>
  <r>
    <x v="2"/>
    <m/>
    <n v="5"/>
    <m/>
    <m/>
    <n v="650"/>
  </r>
  <r>
    <x v="1"/>
    <n v="6"/>
    <m/>
    <m/>
    <n v="60"/>
    <n v="7800"/>
  </r>
  <r>
    <x v="8"/>
    <m/>
    <m/>
    <n v="30"/>
    <m/>
    <n v="4800"/>
  </r>
  <r>
    <x v="2"/>
    <m/>
    <n v="3"/>
    <m/>
    <m/>
    <n v="390"/>
  </r>
  <r>
    <x v="4"/>
    <n v="4"/>
    <m/>
    <n v="22"/>
    <m/>
    <n v="3500"/>
  </r>
  <r>
    <x v="0"/>
    <n v="9"/>
    <m/>
    <m/>
    <m/>
    <n v="1000"/>
  </r>
  <r>
    <x v="8"/>
    <m/>
    <m/>
    <n v="20"/>
    <m/>
    <n v="2100"/>
  </r>
  <r>
    <x v="0"/>
    <n v="9"/>
    <m/>
    <m/>
    <m/>
    <n v="1170"/>
  </r>
  <r>
    <x v="8"/>
    <m/>
    <m/>
    <n v="20"/>
    <m/>
    <n v="3200"/>
  </r>
  <r>
    <x v="0"/>
    <n v="11"/>
    <m/>
    <m/>
    <m/>
    <n v="1430"/>
  </r>
  <r>
    <x v="1"/>
    <n v="3"/>
    <m/>
    <m/>
    <n v="75"/>
    <n v="9300"/>
  </r>
  <r>
    <x v="2"/>
    <m/>
    <n v="7"/>
    <m/>
    <m/>
    <n v="780"/>
  </r>
  <r>
    <x v="0"/>
    <n v="6"/>
    <m/>
    <m/>
    <m/>
    <n v="780"/>
  </r>
  <r>
    <x v="4"/>
    <n v="5"/>
    <m/>
    <n v="22"/>
    <m/>
    <n v="3600"/>
  </r>
  <r>
    <x v="8"/>
    <m/>
    <m/>
    <n v="23"/>
    <m/>
    <n v="3600"/>
  </r>
  <r>
    <x v="1"/>
    <n v="5"/>
    <m/>
    <m/>
    <n v="60"/>
    <n v="7500"/>
  </r>
  <r>
    <x v="17"/>
    <m/>
    <m/>
    <m/>
    <m/>
    <n v="1200"/>
  </r>
  <r>
    <x v="2"/>
    <m/>
    <n v="4"/>
    <m/>
    <m/>
    <n v="430"/>
  </r>
  <r>
    <x v="0"/>
    <n v="10"/>
    <m/>
    <m/>
    <m/>
    <n v="1000"/>
  </r>
  <r>
    <x v="17"/>
    <m/>
    <m/>
    <m/>
    <m/>
    <n v="1100"/>
  </r>
  <r>
    <x v="4"/>
    <n v="3"/>
    <m/>
    <n v="18"/>
    <m/>
    <n v="3000"/>
  </r>
  <r>
    <x v="0"/>
    <n v="8"/>
    <m/>
    <m/>
    <m/>
    <n v="900"/>
  </r>
  <r>
    <x v="8"/>
    <m/>
    <m/>
    <n v="19"/>
    <m/>
    <n v="1900"/>
  </r>
  <r>
    <x v="2"/>
    <m/>
    <n v="6"/>
    <m/>
    <m/>
    <n v="650"/>
  </r>
  <r>
    <x v="1"/>
    <n v="4"/>
    <m/>
    <m/>
    <n v="60"/>
    <n v="8700"/>
  </r>
  <r>
    <x v="8"/>
    <m/>
    <m/>
    <n v="22"/>
    <m/>
    <n v="3000"/>
  </r>
  <r>
    <x v="4"/>
    <n v="5"/>
    <m/>
    <n v="21"/>
    <m/>
    <n v="3600"/>
  </r>
  <r>
    <x v="2"/>
    <m/>
    <n v="6"/>
    <m/>
    <m/>
    <n v="600"/>
  </r>
  <r>
    <x v="0"/>
    <n v="12"/>
    <m/>
    <m/>
    <m/>
    <n v="1300"/>
  </r>
  <r>
    <x v="5"/>
    <m/>
    <m/>
    <n v="19"/>
    <m/>
    <n v="3000"/>
  </r>
  <r>
    <x v="0"/>
    <n v="9"/>
    <m/>
    <m/>
    <m/>
    <n v="980"/>
  </r>
  <r>
    <x v="0"/>
    <n v="7"/>
    <m/>
    <m/>
    <m/>
    <n v="910"/>
  </r>
  <r>
    <x v="8"/>
    <m/>
    <m/>
    <n v="21"/>
    <m/>
    <n v="2300"/>
  </r>
  <r>
    <x v="0"/>
    <n v="22"/>
    <m/>
    <m/>
    <m/>
    <n v="2300"/>
  </r>
  <r>
    <x v="2"/>
    <m/>
    <n v="6"/>
    <m/>
    <m/>
    <n v="630"/>
  </r>
  <r>
    <x v="0"/>
    <n v="18"/>
    <m/>
    <m/>
    <m/>
    <n v="1820"/>
  </r>
  <r>
    <x v="4"/>
    <n v="5"/>
    <m/>
    <n v="23"/>
    <m/>
    <n v="3900"/>
  </r>
  <r>
    <x v="2"/>
    <m/>
    <n v="7"/>
    <m/>
    <m/>
    <n v="780"/>
  </r>
  <r>
    <x v="4"/>
    <n v="6"/>
    <m/>
    <n v="20"/>
    <m/>
    <n v="3200"/>
  </r>
  <r>
    <x v="1"/>
    <n v="5"/>
    <m/>
    <m/>
    <n v="55"/>
    <n v="6700"/>
  </r>
  <r>
    <x v="2"/>
    <m/>
    <n v="6"/>
    <m/>
    <m/>
    <n v="780"/>
  </r>
  <r>
    <x v="4"/>
    <n v="8"/>
    <m/>
    <n v="21"/>
    <m/>
    <n v="3900"/>
  </r>
  <r>
    <x v="8"/>
    <m/>
    <m/>
    <n v="22"/>
    <m/>
    <n v="3520"/>
  </r>
  <r>
    <x v="0"/>
    <n v="8"/>
    <m/>
    <m/>
    <m/>
    <n v="1049"/>
  </r>
  <r>
    <x v="2"/>
    <m/>
    <n v="5"/>
    <m/>
    <m/>
    <n v="530"/>
  </r>
  <r>
    <x v="8"/>
    <m/>
    <m/>
    <n v="29"/>
    <m/>
    <n v="4890"/>
  </r>
  <r>
    <x v="0"/>
    <n v="10"/>
    <m/>
    <m/>
    <m/>
    <n v="1180"/>
  </r>
  <r>
    <x v="1"/>
    <n v="4"/>
    <m/>
    <m/>
    <n v="65"/>
    <n v="8100"/>
  </r>
  <r>
    <x v="5"/>
    <m/>
    <m/>
    <n v="18"/>
    <m/>
    <n v="2600"/>
  </r>
  <r>
    <x v="2"/>
    <m/>
    <n v="6"/>
    <m/>
    <m/>
    <n v="3000"/>
  </r>
  <r>
    <x v="2"/>
    <m/>
    <n v="30"/>
    <m/>
    <m/>
    <n v="555"/>
  </r>
  <r>
    <x v="0"/>
    <n v="22"/>
    <m/>
    <m/>
    <m/>
    <n v="650"/>
  </r>
  <r>
    <x v="0"/>
    <n v="22"/>
    <m/>
    <m/>
    <m/>
    <n v="750"/>
  </r>
  <r>
    <x v="0"/>
    <n v="22"/>
    <m/>
    <m/>
    <m/>
    <n v="950"/>
  </r>
  <r>
    <x v="2"/>
    <m/>
    <n v="7"/>
    <m/>
    <m/>
    <n v="1000"/>
  </r>
  <r>
    <x v="2"/>
    <m/>
    <n v="30"/>
    <m/>
    <m/>
    <n v="3000"/>
  </r>
  <r>
    <x v="2"/>
    <m/>
    <n v="25"/>
    <m/>
    <m/>
    <n v="1000"/>
  </r>
  <r>
    <x v="0"/>
    <n v="35"/>
    <m/>
    <m/>
    <m/>
    <n v="750"/>
  </r>
  <r>
    <x v="0"/>
    <n v="22"/>
    <m/>
    <m/>
    <m/>
    <n v="950"/>
  </r>
  <r>
    <x v="5"/>
    <m/>
    <m/>
    <n v="18"/>
    <m/>
    <n v="2600"/>
  </r>
  <r>
    <x v="1"/>
    <n v="4"/>
    <m/>
    <m/>
    <n v="65"/>
    <n v="8100"/>
  </r>
  <r>
    <x v="0"/>
    <n v="9"/>
    <m/>
    <m/>
    <m/>
    <n v="1170"/>
  </r>
  <r>
    <x v="8"/>
    <m/>
    <m/>
    <n v="28"/>
    <m/>
    <n v="4480"/>
  </r>
  <r>
    <x v="4"/>
    <n v="6"/>
    <m/>
    <n v="21"/>
    <m/>
    <n v="3510"/>
  </r>
  <r>
    <x v="2"/>
    <m/>
    <n v="6"/>
    <m/>
    <m/>
    <n v="520"/>
  </r>
  <r>
    <x v="1"/>
    <n v="4"/>
    <m/>
    <m/>
    <n v="85"/>
    <n v="7200"/>
  </r>
  <r>
    <x v="0"/>
    <n v="12"/>
    <m/>
    <m/>
    <m/>
    <n v="1560"/>
  </r>
  <r>
    <x v="2"/>
    <m/>
    <n v="4"/>
    <m/>
    <m/>
    <n v="520"/>
  </r>
  <r>
    <x v="0"/>
    <n v="11"/>
    <m/>
    <m/>
    <m/>
    <n v="1180"/>
  </r>
  <r>
    <x v="1"/>
    <n v="4"/>
    <m/>
    <m/>
    <n v="52"/>
    <n v="6600"/>
  </r>
  <r>
    <x v="2"/>
    <m/>
    <n v="6"/>
    <m/>
    <m/>
    <n v="680"/>
  </r>
  <r>
    <x v="8"/>
    <m/>
    <m/>
    <n v="19"/>
    <m/>
    <n v="2000"/>
  </r>
</pivotCacheRecords>
</file>

<file path=xl/pivotCache/pivotCacheRecords2.xml><?xml version="1.0" encoding="utf-8"?>
<pivotCacheRecords xmlns="http://schemas.openxmlformats.org/spreadsheetml/2006/main" xmlns:r="http://schemas.openxmlformats.org/officeDocument/2006/relationships" count="567">
  <r>
    <n v="21"/>
    <x v="0"/>
    <x v="0"/>
    <n v="4"/>
    <x v="0"/>
    <x v="0"/>
    <s v="Petrol"/>
    <m/>
    <m/>
    <m/>
    <n v="10"/>
    <n v="11"/>
    <n v="30"/>
    <m/>
    <m/>
    <m/>
    <m/>
    <m/>
    <m/>
    <m/>
    <m/>
    <m/>
    <n v="3000"/>
    <s v="Indian Oil"/>
    <n v="11"/>
    <s v="College"/>
    <s v="Daily"/>
    <s v="Bus"/>
    <n v="1"/>
  </r>
  <r>
    <n v="29"/>
    <x v="1"/>
    <x v="1"/>
    <n v="4"/>
    <x v="1"/>
    <x v="1"/>
    <s v="Petrol"/>
    <m/>
    <m/>
    <s v="Diesel"/>
    <n v="7"/>
    <n v="20"/>
    <n v="75"/>
    <m/>
    <m/>
    <m/>
    <m/>
    <m/>
    <m/>
    <n v="7"/>
    <n v="50"/>
    <n v="1"/>
    <n v="9200"/>
    <s v="Indian Oil"/>
    <n v="11"/>
    <s v="Agriculture-related"/>
    <s v="Rarely"/>
    <s v="Bus"/>
    <n v="1"/>
  </r>
  <r>
    <n v="20"/>
    <x v="0"/>
    <x v="1"/>
    <n v="6"/>
    <x v="0"/>
    <x v="2"/>
    <m/>
    <s v="Petrol"/>
    <m/>
    <m/>
    <m/>
    <m/>
    <m/>
    <n v="1"/>
    <n v="10"/>
    <n v="10"/>
    <m/>
    <m/>
    <m/>
    <m/>
    <m/>
    <m/>
    <n v="1000"/>
    <s v="Indian Oil"/>
    <n v="14"/>
    <s v="College"/>
    <s v="Daily"/>
    <s v="Bus"/>
    <n v="0"/>
  </r>
  <r>
    <n v="20"/>
    <x v="1"/>
    <x v="1"/>
    <n v="5"/>
    <x v="0"/>
    <x v="0"/>
    <s v="Petrol"/>
    <m/>
    <m/>
    <m/>
    <n v="3"/>
    <n v="30"/>
    <n v="20"/>
    <m/>
    <m/>
    <m/>
    <m/>
    <m/>
    <m/>
    <m/>
    <m/>
    <m/>
    <n v="1000"/>
    <s v="Indian Oil"/>
    <n v="10"/>
    <s v="School pickup/drop"/>
    <s v="Daily"/>
    <s v="I don’t use public transport"/>
    <n v="2"/>
  </r>
  <r>
    <n v="28"/>
    <x v="1"/>
    <x v="2"/>
    <n v="5"/>
    <x v="2"/>
    <x v="3"/>
    <s v="Petrol"/>
    <m/>
    <s v="Diesel"/>
    <s v="Diesel"/>
    <n v="5"/>
    <n v="10"/>
    <n v="8"/>
    <m/>
    <m/>
    <m/>
    <n v="6"/>
    <n v="25"/>
    <n v="45"/>
    <n v="7"/>
    <n v="20"/>
    <n v="60"/>
    <n v="10000"/>
    <s v="HP"/>
    <n v="15"/>
    <s v="Agriculture-related"/>
    <s v="Rarely"/>
    <s v="Private Bus"/>
    <n v="0"/>
  </r>
  <r>
    <n v="20"/>
    <x v="0"/>
    <x v="0"/>
    <n v="3"/>
    <x v="0"/>
    <x v="2"/>
    <m/>
    <s v="Petrol"/>
    <m/>
    <m/>
    <m/>
    <m/>
    <m/>
    <n v="2"/>
    <n v="12"/>
    <n v="10"/>
    <m/>
    <m/>
    <m/>
    <m/>
    <m/>
    <m/>
    <n v="1200"/>
    <s v="BPCL"/>
    <n v="6"/>
    <s v="College"/>
    <s v="Weekly"/>
    <s v="Shared Rickshaw"/>
    <n v="1"/>
  </r>
  <r>
    <n v="35"/>
    <x v="0"/>
    <x v="2"/>
    <n v="2"/>
    <x v="1"/>
    <x v="4"/>
    <s v="Petrol"/>
    <m/>
    <s v="Diesel"/>
    <m/>
    <n v="6"/>
    <n v="10"/>
    <n v="20"/>
    <m/>
    <m/>
    <m/>
    <n v="13"/>
    <n v="45"/>
    <n v="70"/>
    <m/>
    <m/>
    <m/>
    <n v="1000"/>
    <s v="Shell"/>
    <n v="21"/>
    <s v="Office"/>
    <s v="Rarely"/>
    <s v="Auto"/>
    <n v="0"/>
  </r>
  <r>
    <n v="26"/>
    <x v="1"/>
    <x v="1"/>
    <n v="6"/>
    <x v="0"/>
    <x v="0"/>
    <s v="Petrol"/>
    <m/>
    <m/>
    <m/>
    <n v="8"/>
    <n v="40"/>
    <n v="28"/>
    <m/>
    <m/>
    <m/>
    <m/>
    <m/>
    <m/>
    <m/>
    <m/>
    <m/>
    <n v="3000"/>
    <s v="Indian Oil"/>
    <n v="18"/>
    <s v="Market/Shopping"/>
    <s v="Weekly"/>
    <s v="Bus"/>
    <n v="2"/>
  </r>
  <r>
    <n v="23"/>
    <x v="0"/>
    <x v="2"/>
    <n v="3"/>
    <x v="0"/>
    <x v="2"/>
    <m/>
    <s v="Petrol"/>
    <m/>
    <m/>
    <m/>
    <m/>
    <m/>
    <n v="3"/>
    <n v="18"/>
    <n v="12"/>
    <m/>
    <m/>
    <m/>
    <m/>
    <m/>
    <m/>
    <n v="1500"/>
    <s v="BPCL"/>
    <n v="7"/>
    <s v="Office"/>
    <s v="Weekly"/>
    <s v="Auto"/>
    <n v="2"/>
  </r>
  <r>
    <n v="32"/>
    <x v="1"/>
    <x v="3"/>
    <n v="4"/>
    <x v="1"/>
    <x v="5"/>
    <m/>
    <m/>
    <s v="Petrol"/>
    <m/>
    <m/>
    <m/>
    <m/>
    <m/>
    <m/>
    <m/>
    <n v="3"/>
    <n v="40"/>
    <n v="60"/>
    <m/>
    <m/>
    <m/>
    <n v="9500"/>
    <s v="Reliance"/>
    <n v="20"/>
    <s v="Office"/>
    <s v="Never"/>
    <s v="I don’t use public transport"/>
    <n v="1"/>
  </r>
  <r>
    <n v="19"/>
    <x v="1"/>
    <x v="0"/>
    <n v="3"/>
    <x v="0"/>
    <x v="2"/>
    <m/>
    <s v="Petrol"/>
    <m/>
    <m/>
    <m/>
    <m/>
    <m/>
    <n v="1"/>
    <n v="10"/>
    <n v="8"/>
    <m/>
    <m/>
    <m/>
    <m/>
    <m/>
    <m/>
    <n v="1500"/>
    <s v="BPCL"/>
    <n v="5"/>
    <s v="College"/>
    <s v="Weekly"/>
    <s v="Shared Rickshaw"/>
    <n v="2"/>
  </r>
  <r>
    <n v="27"/>
    <x v="1"/>
    <x v="2"/>
    <n v="5"/>
    <x v="1"/>
    <x v="1"/>
    <s v="Petrol"/>
    <m/>
    <m/>
    <s v="Diesel"/>
    <n v="6"/>
    <n v="15"/>
    <n v="10"/>
    <m/>
    <m/>
    <m/>
    <m/>
    <m/>
    <m/>
    <n v="5"/>
    <n v="25"/>
    <n v="70"/>
    <n v="8000"/>
    <s v="HP"/>
    <n v="14"/>
    <s v="Agriculture-related"/>
    <s v="Rarely"/>
    <s v="Bus"/>
    <n v="0"/>
  </r>
  <r>
    <n v="23"/>
    <x v="0"/>
    <x v="4"/>
    <n v="4"/>
    <x v="1"/>
    <x v="4"/>
    <s v="Petrol"/>
    <m/>
    <s v="Petrol"/>
    <m/>
    <n v="3"/>
    <n v="20"/>
    <n v="12"/>
    <m/>
    <m/>
    <m/>
    <n v="4"/>
    <n v="30"/>
    <n v="55"/>
    <m/>
    <m/>
    <m/>
    <n v="6800"/>
    <s v="Indian Oil"/>
    <n v="10"/>
    <s v="Work"/>
    <s v="Monthly"/>
    <s v="Bus"/>
    <n v="2"/>
  </r>
  <r>
    <n v="26"/>
    <x v="1"/>
    <x v="4"/>
    <n v="4"/>
    <x v="1"/>
    <x v="4"/>
    <s v="Petrol"/>
    <m/>
    <s v="Petrol"/>
    <m/>
    <n v="5"/>
    <n v="10"/>
    <n v="7"/>
    <m/>
    <m/>
    <m/>
    <n v="2"/>
    <n v="45"/>
    <n v="70"/>
    <m/>
    <m/>
    <m/>
    <n v="9000"/>
    <s v="HP"/>
    <n v="18"/>
    <s v="Office"/>
    <s v="Rarely"/>
    <s v="I don’t use public transport"/>
    <n v="1"/>
  </r>
  <r>
    <n v="30"/>
    <x v="1"/>
    <x v="2"/>
    <n v="5"/>
    <x v="2"/>
    <x v="6"/>
    <s v="Petrol"/>
    <s v="Petrol"/>
    <s v="Petrol"/>
    <m/>
    <n v="4"/>
    <n v="18"/>
    <n v="13"/>
    <n v="2"/>
    <n v="12"/>
    <n v="9"/>
    <n v="5"/>
    <n v="40"/>
    <n v="65"/>
    <m/>
    <m/>
    <m/>
    <n v="9000"/>
    <s v="BPCL"/>
    <n v="15"/>
    <s v="Office"/>
    <s v="Rarely"/>
    <s v="Auto"/>
    <n v="1"/>
  </r>
  <r>
    <n v="21"/>
    <x v="0"/>
    <x v="0"/>
    <n v="4"/>
    <x v="0"/>
    <x v="2"/>
    <m/>
    <s v="Petrol"/>
    <m/>
    <m/>
    <m/>
    <m/>
    <m/>
    <n v="1"/>
    <n v="10"/>
    <n v="7"/>
    <m/>
    <m/>
    <m/>
    <m/>
    <m/>
    <m/>
    <n v="900"/>
    <s v="BPCL"/>
    <n v="5"/>
    <s v="College"/>
    <s v="Weekly"/>
    <s v="Shared Rickshaw"/>
    <n v="2"/>
  </r>
  <r>
    <n v="20"/>
    <x v="1"/>
    <x v="0"/>
    <n v="5"/>
    <x v="2"/>
    <x v="4"/>
    <s v="Petrol"/>
    <m/>
    <s v="Petrol"/>
    <m/>
    <n v="8"/>
    <n v="3"/>
    <n v="6"/>
    <m/>
    <m/>
    <m/>
    <n v="7"/>
    <n v="10"/>
    <n v="25"/>
    <m/>
    <m/>
    <m/>
    <n v="2000"/>
    <s v="HP"/>
    <n v="9"/>
    <s v="Office"/>
    <s v="Daily"/>
    <s v="Bus, Shared Rickshaw"/>
    <n v="1"/>
  </r>
  <r>
    <n v="25"/>
    <x v="1"/>
    <x v="2"/>
    <n v="3"/>
    <x v="0"/>
    <x v="0"/>
    <s v="Petrol"/>
    <m/>
    <m/>
    <m/>
    <n v="3"/>
    <n v="22"/>
    <n v="18"/>
    <m/>
    <m/>
    <m/>
    <m/>
    <m/>
    <m/>
    <m/>
    <m/>
    <m/>
    <n v="2300"/>
    <s v="Indian Oil"/>
    <n v="10"/>
    <s v="Office"/>
    <s v="Monthly"/>
    <s v="Bus"/>
    <n v="2"/>
  </r>
  <r>
    <n v="19"/>
    <x v="0"/>
    <x v="0"/>
    <n v="4"/>
    <x v="0"/>
    <x v="2"/>
    <m/>
    <s v="Petrol"/>
    <m/>
    <m/>
    <m/>
    <m/>
    <m/>
    <n v="2"/>
    <n v="15"/>
    <n v="10"/>
    <m/>
    <m/>
    <m/>
    <m/>
    <m/>
    <m/>
    <n v="1200"/>
    <s v="BPCL"/>
    <n v="6"/>
    <s v="College"/>
    <s v="Weekly"/>
    <s v="Shared Rickshaw"/>
    <n v="1"/>
  </r>
  <r>
    <n v="35"/>
    <x v="1"/>
    <x v="2"/>
    <n v="6"/>
    <x v="2"/>
    <x v="7"/>
    <s v="Petrol"/>
    <m/>
    <m/>
    <s v="Diesel"/>
    <n v="10"/>
    <n v="15"/>
    <n v="10"/>
    <m/>
    <m/>
    <m/>
    <m/>
    <m/>
    <m/>
    <n v="8"/>
    <n v="35"/>
    <n v="80"/>
    <n v="11100"/>
    <s v="Indian Oil"/>
    <n v="12"/>
    <s v="Agriculture-related"/>
    <s v="Rarely"/>
    <s v="Bus"/>
    <n v="0"/>
  </r>
  <r>
    <n v="24"/>
    <x v="0"/>
    <x v="2"/>
    <n v="3"/>
    <x v="0"/>
    <x v="8"/>
    <m/>
    <m/>
    <s v="Petrol"/>
    <m/>
    <m/>
    <m/>
    <m/>
    <m/>
    <m/>
    <m/>
    <n v="2"/>
    <n v="30"/>
    <n v="50"/>
    <m/>
    <m/>
    <m/>
    <n v="6000"/>
    <s v="Shell"/>
    <n v="10"/>
    <s v="Office"/>
    <s v="Monthly"/>
    <s v="Bus"/>
    <n v="1"/>
  </r>
  <r>
    <n v="31"/>
    <x v="1"/>
    <x v="5"/>
    <n v="5"/>
    <x v="2"/>
    <x v="9"/>
    <s v="Petrol"/>
    <m/>
    <s v="Petrol"/>
    <m/>
    <n v="4"/>
    <n v="8"/>
    <n v="6"/>
    <m/>
    <m/>
    <m/>
    <n v="6"/>
    <n v="35"/>
    <n v="55"/>
    <m/>
    <m/>
    <m/>
    <n v="8800"/>
    <s v="Shell"/>
    <n v="14"/>
    <s v="Office"/>
    <s v="Never"/>
    <s v="I don’t use public transport"/>
    <n v="1"/>
  </r>
  <r>
    <n v="27"/>
    <x v="1"/>
    <x v="0"/>
    <n v="4"/>
    <x v="0"/>
    <x v="0"/>
    <s v="Petrol"/>
    <m/>
    <m/>
    <m/>
    <n v="6"/>
    <n v="35"/>
    <n v="24"/>
    <m/>
    <m/>
    <m/>
    <m/>
    <m/>
    <m/>
    <m/>
    <m/>
    <m/>
    <n v="2700"/>
    <s v="BPCL"/>
    <n v="14"/>
    <s v="Other"/>
    <s v="Weekly"/>
    <s v="Bus"/>
    <n v="2"/>
  </r>
  <r>
    <n v="27"/>
    <x v="0"/>
    <x v="1"/>
    <n v="6"/>
    <x v="1"/>
    <x v="10"/>
    <s v="Petrol"/>
    <s v="Petrol"/>
    <m/>
    <m/>
    <n v="5"/>
    <n v="12"/>
    <n v="9"/>
    <n v="3"/>
    <n v="10"/>
    <n v="8"/>
    <m/>
    <m/>
    <m/>
    <m/>
    <m/>
    <m/>
    <n v="3000"/>
    <s v="Indian Oil"/>
    <n v="4"/>
    <s v="Market/Shopping"/>
    <s v="Weekly"/>
    <s v="Auto"/>
    <n v="2"/>
  </r>
  <r>
    <n v="28"/>
    <x v="0"/>
    <x v="1"/>
    <n v="5"/>
    <x v="1"/>
    <x v="11"/>
    <m/>
    <s v="Petrol"/>
    <s v="Petrol"/>
    <m/>
    <m/>
    <m/>
    <m/>
    <n v="5"/>
    <n v="12"/>
    <n v="9"/>
    <n v="8"/>
    <n v="20"/>
    <n v="40"/>
    <m/>
    <m/>
    <m/>
    <n v="5200"/>
    <s v="Indian Oil"/>
    <n v="8"/>
    <s v="School pickup/drop"/>
    <s v="Rarely"/>
    <s v="Auto"/>
    <n v="0"/>
  </r>
  <r>
    <n v="34"/>
    <x v="1"/>
    <x v="4"/>
    <n v="4"/>
    <x v="1"/>
    <x v="4"/>
    <s v="Petrol"/>
    <m/>
    <s v="Diesel"/>
    <m/>
    <n v="7"/>
    <n v="10"/>
    <n v="7"/>
    <m/>
    <m/>
    <m/>
    <n v="4"/>
    <n v="50"/>
    <n v="70"/>
    <m/>
    <m/>
    <m/>
    <n v="9700"/>
    <s v="BPCL"/>
    <n v="15"/>
    <s v="Office"/>
    <s v="Rarely"/>
    <s v="Train"/>
    <n v="2"/>
  </r>
  <r>
    <n v="30"/>
    <x v="0"/>
    <x v="2"/>
    <n v="5"/>
    <x v="1"/>
    <x v="1"/>
    <s v="Petrol"/>
    <m/>
    <m/>
    <s v="Diesel"/>
    <n v="6"/>
    <n v="18"/>
    <n v="12"/>
    <m/>
    <m/>
    <m/>
    <m/>
    <m/>
    <m/>
    <n v="10"/>
    <n v="25"/>
    <n v="65"/>
    <n v="8200"/>
    <s v="Indian Oil"/>
    <n v="8"/>
    <s v="Agriculture-related"/>
    <s v="Monthly"/>
    <s v="Bus"/>
    <n v="0"/>
  </r>
  <r>
    <n v="22"/>
    <x v="1"/>
    <x v="1"/>
    <n v="3"/>
    <x v="0"/>
    <x v="0"/>
    <s v="Petrol"/>
    <m/>
    <m/>
    <m/>
    <n v="2"/>
    <n v="30"/>
    <n v="20"/>
    <m/>
    <m/>
    <m/>
    <m/>
    <m/>
    <m/>
    <m/>
    <m/>
    <m/>
    <n v="2400"/>
    <s v="HP"/>
    <n v="7"/>
    <s v="College"/>
    <s v="Weekly"/>
    <s v="Bus"/>
    <n v="1"/>
  </r>
  <r>
    <n v="28"/>
    <x v="1"/>
    <x v="0"/>
    <n v="4"/>
    <x v="0"/>
    <x v="0"/>
    <s v="Petrol"/>
    <m/>
    <m/>
    <m/>
    <n v="8"/>
    <n v="40"/>
    <n v="26"/>
    <m/>
    <m/>
    <m/>
    <m/>
    <m/>
    <m/>
    <m/>
    <m/>
    <m/>
    <n v="2900"/>
    <s v="BPCL"/>
    <n v="12"/>
    <s v="Other"/>
    <s v="Monthly"/>
    <s v="Bus"/>
    <n v="2"/>
  </r>
  <r>
    <n v="33"/>
    <x v="1"/>
    <x v="4"/>
    <n v="6"/>
    <x v="2"/>
    <x v="6"/>
    <s v="Petrol"/>
    <s v="Petrol"/>
    <s v="Petrol"/>
    <m/>
    <n v="4"/>
    <n v="25"/>
    <n v="16"/>
    <n v="3"/>
    <n v="8"/>
    <n v="6"/>
    <n v="5"/>
    <n v="40"/>
    <n v="60"/>
    <m/>
    <m/>
    <m/>
    <n v="9500"/>
    <s v="HP"/>
    <n v="20"/>
    <s v="Office"/>
    <s v="Rarely"/>
    <s v="Bus"/>
    <n v="1"/>
  </r>
  <r>
    <n v="26"/>
    <x v="0"/>
    <x v="2"/>
    <n v="3"/>
    <x v="0"/>
    <x v="8"/>
    <m/>
    <m/>
    <s v="Petrol"/>
    <m/>
    <m/>
    <m/>
    <m/>
    <m/>
    <m/>
    <m/>
    <n v="3"/>
    <n v="25"/>
    <n v="45"/>
    <m/>
    <m/>
    <m/>
    <n v="5200"/>
    <s v="Indian Oil"/>
    <n v="9"/>
    <s v="Office"/>
    <s v="Monthly"/>
    <s v="Auto"/>
    <n v="1"/>
  </r>
  <r>
    <n v="30"/>
    <x v="1"/>
    <x v="5"/>
    <n v="4"/>
    <x v="1"/>
    <x v="4"/>
    <s v="Petrol"/>
    <m/>
    <s v="Diesel"/>
    <m/>
    <n v="2"/>
    <n v="10"/>
    <n v="7"/>
    <m/>
    <m/>
    <m/>
    <n v="3"/>
    <n v="50"/>
    <n v="65"/>
    <m/>
    <m/>
    <m/>
    <n v="8500"/>
    <s v="BPCL"/>
    <n v="18"/>
    <s v="Office"/>
    <s v="Rarely"/>
    <s v="I don’t use public transport"/>
    <n v="2"/>
  </r>
  <r>
    <n v="33"/>
    <x v="1"/>
    <x v="1"/>
    <n v="5"/>
    <x v="1"/>
    <x v="1"/>
    <s v="Petrol"/>
    <m/>
    <m/>
    <s v="Diesel"/>
    <n v="9"/>
    <n v="20"/>
    <n v="14"/>
    <m/>
    <m/>
    <m/>
    <m/>
    <m/>
    <m/>
    <n v="12"/>
    <n v="18"/>
    <n v="55"/>
    <n v="7000"/>
    <s v="HP"/>
    <n v="10"/>
    <s v="Agriculture-related"/>
    <s v="Rarely"/>
    <s v="Private Bus"/>
    <n v="0"/>
  </r>
  <r>
    <n v="38"/>
    <x v="1"/>
    <x v="4"/>
    <n v="5"/>
    <x v="1"/>
    <x v="4"/>
    <s v="Petrol"/>
    <m/>
    <s v="Petrol"/>
    <m/>
    <n v="9"/>
    <n v="15"/>
    <n v="12"/>
    <m/>
    <m/>
    <m/>
    <n v="4"/>
    <n v="20"/>
    <n v="24"/>
    <m/>
    <m/>
    <m/>
    <n v="5500"/>
    <s v="Reliance"/>
    <n v="12"/>
    <s v="Other"/>
    <s v="Never"/>
    <s v="I don’t use public transport"/>
    <n v="0"/>
  </r>
  <r>
    <n v="29"/>
    <x v="0"/>
    <x v="2"/>
    <n v="3"/>
    <x v="0"/>
    <x v="2"/>
    <m/>
    <s v="Petrol"/>
    <m/>
    <m/>
    <m/>
    <m/>
    <m/>
    <n v="3"/>
    <n v="9"/>
    <n v="7"/>
    <m/>
    <m/>
    <m/>
    <m/>
    <m/>
    <m/>
    <n v="900"/>
    <s v="Indian Oil"/>
    <n v="4"/>
    <s v="Office"/>
    <s v="Monthly"/>
    <s v="Auto"/>
    <n v="1"/>
  </r>
  <r>
    <n v="26"/>
    <x v="1"/>
    <x v="1"/>
    <n v="6"/>
    <x v="1"/>
    <x v="1"/>
    <s v="Petrol"/>
    <m/>
    <m/>
    <s v="Diesel"/>
    <n v="4"/>
    <n v="14"/>
    <n v="10"/>
    <m/>
    <m/>
    <m/>
    <m/>
    <m/>
    <m/>
    <n v="7"/>
    <n v="32"/>
    <n v="42"/>
    <n v="5200"/>
    <s v="HP"/>
    <n v="10"/>
    <s v="Agriculture-related"/>
    <s v="Rarely"/>
    <s v="Bus"/>
    <n v="2"/>
  </r>
  <r>
    <n v="20"/>
    <x v="0"/>
    <x v="0"/>
    <n v="4"/>
    <x v="0"/>
    <x v="2"/>
    <m/>
    <s v="Petrol"/>
    <m/>
    <m/>
    <m/>
    <m/>
    <m/>
    <n v="1"/>
    <n v="8"/>
    <n v="5"/>
    <m/>
    <m/>
    <m/>
    <m/>
    <m/>
    <m/>
    <n v="650"/>
    <s v="BPCL"/>
    <n v="5"/>
    <s v="College"/>
    <s v="Weekly"/>
    <s v="Bus"/>
    <n v="1"/>
  </r>
  <r>
    <n v="42"/>
    <x v="1"/>
    <x v="5"/>
    <n v="5"/>
    <x v="2"/>
    <x v="3"/>
    <s v="Petrol"/>
    <m/>
    <s v="Petrol"/>
    <s v="Diesel"/>
    <n v="8"/>
    <n v="20"/>
    <n v="15"/>
    <m/>
    <m/>
    <m/>
    <n v="5"/>
    <n v="22"/>
    <n v="26"/>
    <n v="6"/>
    <n v="45"/>
    <n v="26"/>
    <n v="12000"/>
    <s v="Indian Oil"/>
    <n v="15"/>
    <s v="Office"/>
    <s v="Never"/>
    <s v="I don’t use public transport"/>
    <n v="2"/>
  </r>
  <r>
    <n v="31"/>
    <x v="0"/>
    <x v="4"/>
    <n v="4"/>
    <x v="0"/>
    <x v="8"/>
    <m/>
    <m/>
    <s v="Petrol"/>
    <m/>
    <m/>
    <m/>
    <m/>
    <m/>
    <m/>
    <m/>
    <n v="3"/>
    <n v="16"/>
    <n v="20"/>
    <m/>
    <m/>
    <m/>
    <n v="2400"/>
    <s v="Shell"/>
    <n v="6"/>
    <s v="Office"/>
    <s v="Rarely"/>
    <s v="Auto"/>
    <n v="1"/>
  </r>
  <r>
    <n v="24"/>
    <x v="1"/>
    <x v="1"/>
    <n v="3"/>
    <x v="0"/>
    <x v="0"/>
    <s v="Petrol"/>
    <m/>
    <m/>
    <m/>
    <n v="2"/>
    <n v="18"/>
    <n v="14"/>
    <m/>
    <m/>
    <m/>
    <m/>
    <m/>
    <m/>
    <m/>
    <m/>
    <m/>
    <n v="1500"/>
    <s v="BPCL"/>
    <n v="9"/>
    <s v="Office"/>
    <s v="Monthly"/>
    <s v="Bus"/>
    <n v="1"/>
  </r>
  <r>
    <n v="47"/>
    <x v="0"/>
    <x v="0"/>
    <n v="4"/>
    <x v="0"/>
    <x v="2"/>
    <m/>
    <s v="Petrol"/>
    <m/>
    <m/>
    <m/>
    <m/>
    <m/>
    <n v="6"/>
    <n v="5"/>
    <n v="4"/>
    <m/>
    <m/>
    <m/>
    <m/>
    <m/>
    <m/>
    <n v="500"/>
    <s v="Indian Oil"/>
    <n v="3"/>
    <s v="Household work"/>
    <s v="Weekly"/>
    <s v="Shared Rickshaw"/>
    <n v="2"/>
  </r>
  <r>
    <n v="34"/>
    <x v="1"/>
    <x v="3"/>
    <n v="4"/>
    <x v="1"/>
    <x v="4"/>
    <s v="Petrol"/>
    <m/>
    <s v="Petrol"/>
    <m/>
    <n v="3"/>
    <n v="12"/>
    <n v="9"/>
    <m/>
    <m/>
    <m/>
    <n v="2"/>
    <n v="25"/>
    <n v="9"/>
    <m/>
    <m/>
    <m/>
    <n v="5800"/>
    <s v="Shell"/>
    <n v="10"/>
    <s v="Business"/>
    <s v="Never"/>
    <s v="I don’t use public transport"/>
    <n v="1"/>
  </r>
  <r>
    <n v="22"/>
    <x v="0"/>
    <x v="0"/>
    <n v="5"/>
    <x v="0"/>
    <x v="0"/>
    <s v="Petrol"/>
    <m/>
    <m/>
    <m/>
    <n v="2"/>
    <n v="10"/>
    <n v="7"/>
    <m/>
    <m/>
    <m/>
    <m/>
    <m/>
    <m/>
    <m/>
    <m/>
    <m/>
    <n v="850"/>
    <s v="HP"/>
    <n v="6"/>
    <s v="College"/>
    <s v="Weekly"/>
    <s v="Bus"/>
    <n v="2"/>
  </r>
  <r>
    <n v="22"/>
    <x v="1"/>
    <x v="1"/>
    <n v="4"/>
    <x v="0"/>
    <x v="0"/>
    <s v="Petrol"/>
    <m/>
    <m/>
    <m/>
    <n v="4"/>
    <n v="18"/>
    <n v="14"/>
    <m/>
    <m/>
    <m/>
    <m/>
    <m/>
    <m/>
    <m/>
    <m/>
    <m/>
    <n v="1400"/>
    <s v="Indian Oil"/>
    <n v="9"/>
    <s v="Office"/>
    <s v="Rarely"/>
    <s v="Bus"/>
    <n v="2"/>
  </r>
  <r>
    <n v="27"/>
    <x v="0"/>
    <x v="2"/>
    <n v="3"/>
    <x v="1"/>
    <x v="11"/>
    <m/>
    <s v="Petrol"/>
    <s v="Petrol"/>
    <m/>
    <m/>
    <m/>
    <m/>
    <n v="3"/>
    <n v="10"/>
    <n v="7"/>
    <n v="6"/>
    <n v="14"/>
    <n v="20"/>
    <m/>
    <m/>
    <m/>
    <n v="3200"/>
    <s v="BPCL"/>
    <n v="7"/>
    <s v="Office"/>
    <s v="Monthly"/>
    <s v="Bus"/>
    <n v="1"/>
  </r>
  <r>
    <n v="40"/>
    <x v="1"/>
    <x v="2"/>
    <n v="5"/>
    <x v="1"/>
    <x v="1"/>
    <s v="Petrol"/>
    <m/>
    <m/>
    <s v="Diesel"/>
    <n v="7"/>
    <n v="20"/>
    <n v="16"/>
    <m/>
    <m/>
    <m/>
    <m/>
    <m/>
    <m/>
    <n v="5"/>
    <n v="35"/>
    <n v="45"/>
    <n v="6800"/>
    <s v="HP"/>
    <n v="11"/>
    <s v="Agriculture-related"/>
    <s v="Rarely"/>
    <s v="Shared Rickshaw"/>
    <n v="0"/>
  </r>
  <r>
    <n v="32"/>
    <x v="0"/>
    <x v="1"/>
    <n v="4"/>
    <x v="0"/>
    <x v="2"/>
    <m/>
    <s v="Petrol"/>
    <m/>
    <m/>
    <m/>
    <m/>
    <m/>
    <n v="4"/>
    <n v="8"/>
    <n v="6"/>
    <m/>
    <m/>
    <m/>
    <m/>
    <m/>
    <m/>
    <n v="700"/>
    <s v="Indian Oil"/>
    <n v="4"/>
    <s v="Market/Shopping"/>
    <s v="Weekly"/>
    <s v="Auto"/>
    <n v="2"/>
  </r>
  <r>
    <n v="45"/>
    <x v="1"/>
    <x v="5"/>
    <n v="5"/>
    <x v="2"/>
    <x v="3"/>
    <s v="Petrol"/>
    <m/>
    <s v="Petrol"/>
    <s v="Diesel"/>
    <n v="10"/>
    <n v="15"/>
    <n v="12"/>
    <m/>
    <m/>
    <m/>
    <n v="8"/>
    <n v="25"/>
    <n v="28"/>
    <n v="6"/>
    <n v="40"/>
    <n v="55"/>
    <n v="11000"/>
    <s v="Reliance"/>
    <n v="13"/>
    <s v="Business"/>
    <s v="Never"/>
    <s v="I don’t use public transport"/>
    <n v="0"/>
  </r>
  <r>
    <n v="19"/>
    <x v="0"/>
    <x v="0"/>
    <n v="3"/>
    <x v="0"/>
    <x v="2"/>
    <m/>
    <s v="Petrol"/>
    <m/>
    <m/>
    <m/>
    <m/>
    <m/>
    <n v="2"/>
    <n v="12"/>
    <n v="8"/>
    <m/>
    <m/>
    <m/>
    <m/>
    <m/>
    <m/>
    <n v="850"/>
    <s v="BPCL"/>
    <n v="6"/>
    <s v="College"/>
    <s v="Weekly"/>
    <s v="Bus"/>
    <n v="1"/>
  </r>
  <r>
    <n v="36"/>
    <x v="1"/>
    <x v="4"/>
    <n v="4"/>
    <x v="1"/>
    <x v="10"/>
    <s v="Petrol"/>
    <s v="Petrol"/>
    <m/>
    <m/>
    <n v="5"/>
    <n v="22"/>
    <n v="18"/>
    <n v="3"/>
    <n v="12"/>
    <n v="16"/>
    <m/>
    <m/>
    <m/>
    <m/>
    <m/>
    <m/>
    <n v="4500"/>
    <s v="Indian Oil"/>
    <n v="10"/>
    <s v="Office"/>
    <s v="Rarely"/>
    <s v="Private Bus"/>
    <n v="2"/>
  </r>
  <r>
    <n v="21"/>
    <x v="0"/>
    <x v="0"/>
    <n v="5"/>
    <x v="2"/>
    <x v="10"/>
    <s v="Petrol"/>
    <s v="Petrol"/>
    <m/>
    <m/>
    <n v="4"/>
    <n v="10"/>
    <n v="5"/>
    <n v="3"/>
    <n v="10"/>
    <n v="5"/>
    <m/>
    <m/>
    <m/>
    <m/>
    <m/>
    <m/>
    <n v="200"/>
    <s v="HP"/>
    <n v="10"/>
    <s v="College"/>
    <s v="Daily"/>
    <s v="Bus"/>
    <n v="0"/>
  </r>
  <r>
    <n v="23"/>
    <x v="0"/>
    <x v="2"/>
    <n v="3"/>
    <x v="0"/>
    <x v="8"/>
    <m/>
    <m/>
    <s v="Petrol"/>
    <m/>
    <m/>
    <m/>
    <m/>
    <m/>
    <m/>
    <m/>
    <n v="5"/>
    <n v="24"/>
    <n v="24"/>
    <m/>
    <m/>
    <m/>
    <n v="2700"/>
    <s v="Shell"/>
    <n v="9"/>
    <s v="Office"/>
    <s v="Monthly"/>
    <s v="Auto"/>
    <n v="1"/>
  </r>
  <r>
    <n v="28"/>
    <x v="1"/>
    <x v="1"/>
    <n v="6"/>
    <x v="1"/>
    <x v="1"/>
    <s v="Petrol"/>
    <m/>
    <m/>
    <s v="Diesel"/>
    <n v="3"/>
    <n v="14"/>
    <n v="10"/>
    <m/>
    <m/>
    <m/>
    <m/>
    <m/>
    <m/>
    <n v="4"/>
    <n v="28"/>
    <n v="38"/>
    <n v="5000"/>
    <s v="HP"/>
    <n v="10"/>
    <s v="Agriculture-related"/>
    <s v="Rarely"/>
    <s v="Shared Rickshaw"/>
    <n v="2"/>
  </r>
  <r>
    <n v="21"/>
    <x v="0"/>
    <x v="0"/>
    <n v="4"/>
    <x v="0"/>
    <x v="2"/>
    <m/>
    <s v="Petrol"/>
    <m/>
    <m/>
    <m/>
    <m/>
    <m/>
    <n v="1"/>
    <n v="10"/>
    <n v="6"/>
    <m/>
    <m/>
    <m/>
    <m/>
    <m/>
    <m/>
    <n v="750"/>
    <s v="Indian Oil"/>
    <n v="5"/>
    <s v="College"/>
    <s v="Weekly"/>
    <s v="Bus"/>
    <n v="1"/>
  </r>
  <r>
    <n v="21"/>
    <x v="0"/>
    <x v="0"/>
    <n v="5"/>
    <x v="0"/>
    <x v="0"/>
    <s v="Petrol"/>
    <m/>
    <m/>
    <m/>
    <n v="3"/>
    <n v="4"/>
    <n v="10"/>
    <m/>
    <m/>
    <m/>
    <m/>
    <m/>
    <m/>
    <m/>
    <m/>
    <m/>
    <n v="650"/>
    <s v="Indian Oil"/>
    <n v="4"/>
    <s v="Office"/>
    <s v="Daily"/>
    <s v="Bus"/>
    <n v="1"/>
  </r>
  <r>
    <n v="40"/>
    <x v="1"/>
    <x v="2"/>
    <n v="4"/>
    <x v="1"/>
    <x v="10"/>
    <s v="Petrol"/>
    <s v="Petrol"/>
    <m/>
    <m/>
    <n v="13"/>
    <n v="2"/>
    <n v="12"/>
    <n v="1"/>
    <n v="3"/>
    <n v="10"/>
    <m/>
    <m/>
    <m/>
    <m/>
    <m/>
    <m/>
    <n v="4000"/>
    <s v="Indian Oil"/>
    <n v="1"/>
    <s v="Work "/>
    <s v="Monthly"/>
    <s v="Auto"/>
    <n v="2"/>
  </r>
  <r>
    <n v="22"/>
    <x v="0"/>
    <x v="0"/>
    <n v="5"/>
    <x v="0"/>
    <x v="0"/>
    <s v="Petrol"/>
    <m/>
    <m/>
    <m/>
    <n v="2"/>
    <n v="40"/>
    <n v="1"/>
    <m/>
    <m/>
    <m/>
    <m/>
    <m/>
    <m/>
    <m/>
    <m/>
    <m/>
    <n v="650"/>
    <s v="Indian Oil"/>
    <n v="6"/>
    <s v="Work"/>
    <s v="Never"/>
    <s v="I don’t use public transport"/>
    <n v="1"/>
  </r>
  <r>
    <n v="21"/>
    <x v="1"/>
    <x v="1"/>
    <n v="5"/>
    <x v="0"/>
    <x v="0"/>
    <s v="Petrol"/>
    <m/>
    <m/>
    <m/>
    <n v="6"/>
    <n v="12"/>
    <n v="8"/>
    <m/>
    <m/>
    <m/>
    <m/>
    <m/>
    <m/>
    <m/>
    <m/>
    <m/>
    <n v="650"/>
    <s v="Indian Oil"/>
    <n v="6"/>
    <s v="Work"/>
    <s v="Never"/>
    <s v="I don’t use public transport"/>
    <n v="1"/>
  </r>
  <r>
    <n v="20"/>
    <x v="0"/>
    <x v="1"/>
    <n v="6"/>
    <x v="1"/>
    <x v="10"/>
    <s v="Diesel"/>
    <s v="Petrol"/>
    <m/>
    <m/>
    <n v="6"/>
    <n v="12"/>
    <n v="8"/>
    <n v="3"/>
    <n v="8"/>
    <n v="6"/>
    <m/>
    <m/>
    <m/>
    <m/>
    <m/>
    <m/>
    <n v="650"/>
    <s v="HP"/>
    <n v="10"/>
    <s v="Market/Shopping"/>
    <s v="Rarely"/>
    <s v="Bus, Auto"/>
    <n v="1"/>
  </r>
  <r>
    <n v="20"/>
    <x v="1"/>
    <x v="0"/>
    <n v="5"/>
    <x v="0"/>
    <x v="2"/>
    <m/>
    <s v="Petrol"/>
    <m/>
    <m/>
    <m/>
    <m/>
    <m/>
    <n v="10"/>
    <n v="2"/>
    <n v="10"/>
    <m/>
    <m/>
    <m/>
    <m/>
    <m/>
    <m/>
    <n v="1000"/>
    <s v="Indian Oil"/>
    <n v="6"/>
    <s v="Work"/>
    <s v="Never"/>
    <s v="I don’t use public transport"/>
    <n v="1"/>
  </r>
  <r>
    <n v="25"/>
    <x v="1"/>
    <x v="0"/>
    <n v="3"/>
    <x v="1"/>
    <x v="0"/>
    <s v="Petrol"/>
    <m/>
    <m/>
    <m/>
    <n v="5"/>
    <n v="20"/>
    <n v="60"/>
    <m/>
    <m/>
    <m/>
    <m/>
    <m/>
    <m/>
    <m/>
    <m/>
    <m/>
    <n v="1000"/>
    <s v="HP"/>
    <n v="15"/>
    <s v="Agriculture-related"/>
    <s v="Rarely"/>
    <s v="Bus"/>
    <n v="0"/>
  </r>
  <r>
    <n v="48"/>
    <x v="1"/>
    <x v="2"/>
    <n v="6"/>
    <x v="1"/>
    <x v="1"/>
    <s v="Petrol"/>
    <m/>
    <m/>
    <s v="Diesel"/>
    <n v="8"/>
    <n v="16"/>
    <n v="55"/>
    <m/>
    <m/>
    <m/>
    <m/>
    <m/>
    <m/>
    <n v="10"/>
    <n v="40"/>
    <n v="55"/>
    <n v="7500"/>
    <s v="HP"/>
    <n v="8"/>
    <s v="Agriculture-related"/>
    <s v="Rarely"/>
    <s v="Bus"/>
    <n v="0"/>
  </r>
  <r>
    <n v="25"/>
    <x v="0"/>
    <x v="1"/>
    <n v="3"/>
    <x v="0"/>
    <x v="2"/>
    <m/>
    <s v="Petrol"/>
    <m/>
    <m/>
    <m/>
    <m/>
    <m/>
    <n v="2"/>
    <n v="11"/>
    <n v="7"/>
    <m/>
    <m/>
    <m/>
    <m/>
    <m/>
    <m/>
    <n v="900"/>
    <s v="Indian Oil"/>
    <n v="6"/>
    <s v="Office"/>
    <s v="Monthly"/>
    <s v="Auto"/>
    <n v="1"/>
  </r>
  <r>
    <n v="33"/>
    <x v="1"/>
    <x v="4"/>
    <n v="4"/>
    <x v="1"/>
    <x v="4"/>
    <s v="Petrol"/>
    <m/>
    <s v="Petrol"/>
    <m/>
    <n v="7"/>
    <n v="20"/>
    <n v="15"/>
    <m/>
    <m/>
    <m/>
    <n v="3"/>
    <n v="18"/>
    <n v="22"/>
    <m/>
    <m/>
    <m/>
    <n v="5500"/>
    <s v="BPCL"/>
    <n v="12"/>
    <s v="Business"/>
    <s v="Rarely"/>
    <s v="Bus"/>
    <n v="2"/>
  </r>
  <r>
    <n v="21"/>
    <x v="0"/>
    <x v="0"/>
    <n v="5"/>
    <x v="0"/>
    <x v="2"/>
    <m/>
    <s v="Petrol"/>
    <m/>
    <m/>
    <m/>
    <m/>
    <m/>
    <n v="1"/>
    <n v="9"/>
    <n v="6"/>
    <m/>
    <m/>
    <m/>
    <m/>
    <m/>
    <m/>
    <n v="700"/>
    <s v="Indian Oil"/>
    <n v="5"/>
    <s v="College"/>
    <s v="Weekly"/>
    <s v="Bus"/>
    <n v="1"/>
  </r>
  <r>
    <n v="50"/>
    <x v="1"/>
    <x v="1"/>
    <n v="6"/>
    <x v="0"/>
    <x v="0"/>
    <s v="Petrol"/>
    <m/>
    <m/>
    <m/>
    <n v="11"/>
    <n v="14"/>
    <n v="10"/>
    <m/>
    <m/>
    <m/>
    <m/>
    <m/>
    <m/>
    <m/>
    <m/>
    <m/>
    <n v="1200"/>
    <s v="HP"/>
    <n v="7"/>
    <s v="Agriculture-related"/>
    <s v="Rarely"/>
    <s v="Shared Rickshaw"/>
    <n v="0"/>
  </r>
  <r>
    <n v="34"/>
    <x v="0"/>
    <x v="5"/>
    <n v="3"/>
    <x v="0"/>
    <x v="8"/>
    <m/>
    <m/>
    <s v="Petrol"/>
    <m/>
    <m/>
    <m/>
    <m/>
    <m/>
    <m/>
    <m/>
    <n v="4"/>
    <n v="20"/>
    <n v="24"/>
    <m/>
    <m/>
    <m/>
    <n v="3200"/>
    <s v="Shell"/>
    <n v="10"/>
    <s v="Office"/>
    <s v="Monthly"/>
    <s v="Bus"/>
    <n v="1"/>
  </r>
  <r>
    <n v="30"/>
    <x v="1"/>
    <x v="2"/>
    <n v="4"/>
    <x v="1"/>
    <x v="4"/>
    <s v="Petrol"/>
    <m/>
    <s v="Petrol"/>
    <m/>
    <n v="5"/>
    <n v="18"/>
    <n v="14"/>
    <m/>
    <m/>
    <m/>
    <n v="3"/>
    <n v="15"/>
    <n v="19"/>
    <m/>
    <m/>
    <m/>
    <n v="4800"/>
    <s v="Indian Oil"/>
    <n v="8"/>
    <s v="Office"/>
    <s v="Rarely"/>
    <s v="Auto"/>
    <n v="2"/>
  </r>
  <r>
    <n v="22"/>
    <x v="0"/>
    <x v="0"/>
    <n v="4"/>
    <x v="0"/>
    <x v="2"/>
    <m/>
    <s v="Petrol"/>
    <m/>
    <m/>
    <m/>
    <m/>
    <m/>
    <n v="2"/>
    <n v="10"/>
    <n v="6"/>
    <m/>
    <m/>
    <m/>
    <m/>
    <m/>
    <m/>
    <n v="750"/>
    <s v="BPCL"/>
    <n v="4"/>
    <s v="College"/>
    <s v="Weekly"/>
    <s v="Bus"/>
    <n v="1"/>
  </r>
  <r>
    <n v="39"/>
    <x v="1"/>
    <x v="4"/>
    <n v="5"/>
    <x v="1"/>
    <x v="12"/>
    <m/>
    <m/>
    <s v="Diesel"/>
    <s v="Petrol"/>
    <m/>
    <m/>
    <m/>
    <m/>
    <m/>
    <m/>
    <n v="6"/>
    <n v="22"/>
    <n v="25"/>
    <n v="8"/>
    <n v="45"/>
    <n v="65"/>
    <n v="10000"/>
    <s v="Reliance"/>
    <n v="12"/>
    <s v="Business"/>
    <s v="Never"/>
    <s v="I don’t use public transport"/>
    <n v="0"/>
  </r>
  <r>
    <n v="28"/>
    <x v="0"/>
    <x v="2"/>
    <n v="3"/>
    <x v="0"/>
    <x v="8"/>
    <m/>
    <m/>
    <s v="Petrol"/>
    <m/>
    <m/>
    <m/>
    <m/>
    <m/>
    <m/>
    <m/>
    <n v="3"/>
    <n v="16"/>
    <n v="19"/>
    <m/>
    <m/>
    <m/>
    <n v="2300"/>
    <s v="Indian Oil"/>
    <n v="8"/>
    <s v="Office"/>
    <s v="Monthly"/>
    <s v="Auto"/>
    <n v="1"/>
  </r>
  <r>
    <n v="45"/>
    <x v="1"/>
    <x v="2"/>
    <n v="4"/>
    <x v="0"/>
    <x v="0"/>
    <s v="Petrol"/>
    <m/>
    <m/>
    <m/>
    <n v="8"/>
    <n v="10"/>
    <n v="19"/>
    <m/>
    <m/>
    <m/>
    <m/>
    <m/>
    <m/>
    <m/>
    <m/>
    <m/>
    <n v="2000"/>
    <s v="Indian Oil"/>
    <n v="2"/>
    <s v="Work "/>
    <s v="Monthly"/>
    <s v="Bus"/>
    <n v="0"/>
  </r>
  <r>
    <n v="23"/>
    <x v="1"/>
    <x v="2"/>
    <n v="4"/>
    <x v="1"/>
    <x v="4"/>
    <s v="Petrol"/>
    <m/>
    <s v="Petrol"/>
    <m/>
    <n v="3"/>
    <n v="18"/>
    <n v="10"/>
    <m/>
    <m/>
    <m/>
    <n v="5"/>
    <n v="25"/>
    <n v="40"/>
    <m/>
    <m/>
    <m/>
    <n v="5000"/>
    <s v="Indian Oil"/>
    <n v="12"/>
    <s v="Office"/>
    <s v="Rarely"/>
    <s v="Auto"/>
    <n v="2"/>
  </r>
  <r>
    <n v="21"/>
    <x v="0"/>
    <x v="0"/>
    <n v="5"/>
    <x v="0"/>
    <x v="2"/>
    <m/>
    <s v="Petrol"/>
    <m/>
    <m/>
    <m/>
    <m/>
    <m/>
    <n v="6"/>
    <n v="10"/>
    <n v="6"/>
    <m/>
    <m/>
    <m/>
    <m/>
    <m/>
    <m/>
    <n v="1000"/>
    <s v="BPCL"/>
    <n v="7"/>
    <s v="College"/>
    <s v="Weekly"/>
    <s v="Bus"/>
    <n v="1"/>
  </r>
  <r>
    <n v="34"/>
    <x v="1"/>
    <x v="1"/>
    <n v="6"/>
    <x v="1"/>
    <x v="1"/>
    <s v="Petrol"/>
    <m/>
    <m/>
    <s v="Diesel"/>
    <n v="9"/>
    <n v="12"/>
    <n v="7"/>
    <m/>
    <m/>
    <m/>
    <m/>
    <m/>
    <m/>
    <n v="7"/>
    <n v="35"/>
    <n v="70"/>
    <n v="9500"/>
    <s v="HP"/>
    <n v="8"/>
    <s v="Agriculture-related"/>
    <s v="Rarely"/>
    <s v="Auto"/>
    <n v="0"/>
  </r>
  <r>
    <n v="25"/>
    <x v="0"/>
    <x v="4"/>
    <n v="3"/>
    <x v="1"/>
    <x v="11"/>
    <m/>
    <s v="Petrol"/>
    <s v="Petrol"/>
    <m/>
    <m/>
    <m/>
    <m/>
    <n v="3"/>
    <n v="5"/>
    <n v="4"/>
    <n v="2"/>
    <n v="20"/>
    <n v="5"/>
    <m/>
    <m/>
    <m/>
    <n v="4800"/>
    <s v="Indian Oil"/>
    <n v="9"/>
    <s v="Office"/>
    <s v="Rarely"/>
    <s v="Other"/>
    <n v="2"/>
  </r>
  <r>
    <n v="29"/>
    <x v="1"/>
    <x v="3"/>
    <n v="4"/>
    <x v="2"/>
    <x v="12"/>
    <m/>
    <m/>
    <s v="Petrol"/>
    <s v="Diesel"/>
    <m/>
    <m/>
    <m/>
    <m/>
    <m/>
    <m/>
    <n v="1"/>
    <n v="30"/>
    <n v="50"/>
    <n v="3"/>
    <n v="40"/>
    <n v="80"/>
    <n v="14000"/>
    <s v="Shell"/>
    <n v="10"/>
    <s v="Business"/>
    <s v="Never"/>
    <s v="I don’t use public transport"/>
    <n v="0"/>
  </r>
  <r>
    <n v="22"/>
    <x v="0"/>
    <x v="1"/>
    <n v="5"/>
    <x v="0"/>
    <x v="0"/>
    <s v="Petrol"/>
    <m/>
    <m/>
    <m/>
    <n v="10"/>
    <n v="8"/>
    <n v="6"/>
    <m/>
    <m/>
    <m/>
    <m/>
    <m/>
    <m/>
    <m/>
    <m/>
    <m/>
    <n v="1500"/>
    <s v="Indian Oil"/>
    <n v="6"/>
    <s v="Market/Shopping"/>
    <s v="Monthly"/>
    <s v="Auto"/>
    <n v="2"/>
  </r>
  <r>
    <n v="20"/>
    <x v="1"/>
    <x v="0"/>
    <n v="3"/>
    <x v="0"/>
    <x v="0"/>
    <s v="Petrol"/>
    <m/>
    <m/>
    <m/>
    <n v="2"/>
    <n v="22"/>
    <n v="12"/>
    <m/>
    <m/>
    <m/>
    <m/>
    <m/>
    <m/>
    <m/>
    <m/>
    <m/>
    <n v="2000"/>
    <s v="BPCL"/>
    <n v="11"/>
    <s v="College"/>
    <s v="Weekly"/>
    <s v="Shared Rickshaw"/>
    <n v="1"/>
  </r>
  <r>
    <n v="32"/>
    <x v="1"/>
    <x v="0"/>
    <n v="4"/>
    <x v="0"/>
    <x v="2"/>
    <m/>
    <s v="Petrol"/>
    <m/>
    <m/>
    <m/>
    <m/>
    <m/>
    <n v="5"/>
    <n v="12"/>
    <n v="7"/>
    <m/>
    <m/>
    <m/>
    <m/>
    <m/>
    <m/>
    <n v="1200"/>
    <s v="HP"/>
    <n v="5"/>
    <s v="Work"/>
    <s v="Weekly"/>
    <s v="Bus"/>
    <n v="0"/>
  </r>
  <r>
    <n v="37"/>
    <x v="1"/>
    <x v="4"/>
    <n v="3"/>
    <x v="1"/>
    <x v="5"/>
    <m/>
    <m/>
    <s v="Petrol"/>
    <m/>
    <m/>
    <m/>
    <m/>
    <m/>
    <m/>
    <m/>
    <n v="6"/>
    <n v="18"/>
    <n v="30"/>
    <m/>
    <m/>
    <m/>
    <n v="3200"/>
    <s v="Indian Oil"/>
    <n v="10"/>
    <s v="Office"/>
    <s v="Rarely"/>
    <s v="I don’t use public transport"/>
    <n v="1"/>
  </r>
  <r>
    <n v="19"/>
    <x v="0"/>
    <x v="1"/>
    <n v="6"/>
    <x v="0"/>
    <x v="2"/>
    <m/>
    <s v="Petrol"/>
    <m/>
    <m/>
    <m/>
    <m/>
    <m/>
    <n v="3"/>
    <n v="6"/>
    <n v="5"/>
    <m/>
    <m/>
    <m/>
    <m/>
    <m/>
    <m/>
    <n v="900"/>
    <s v="Indian Oil"/>
    <n v="4"/>
    <s v="College"/>
    <s v="Daily"/>
    <s v="Bus"/>
    <n v="1"/>
  </r>
  <r>
    <n v="40"/>
    <x v="1"/>
    <x v="2"/>
    <n v="6"/>
    <x v="1"/>
    <x v="1"/>
    <s v="Petrol"/>
    <m/>
    <m/>
    <s v="Diesel"/>
    <n v="6"/>
    <n v="15"/>
    <n v="9"/>
    <m/>
    <m/>
    <m/>
    <m/>
    <m/>
    <m/>
    <n v="10"/>
    <n v="50"/>
    <n v="90"/>
    <n v="12000"/>
    <s v="HP"/>
    <n v="6"/>
    <s v="Agriculture-related"/>
    <s v="Rarely"/>
    <s v="Other"/>
    <n v="0"/>
  </r>
  <r>
    <n v="18"/>
    <x v="0"/>
    <x v="4"/>
    <n v="6"/>
    <x v="1"/>
    <x v="0"/>
    <s v="Petrol"/>
    <m/>
    <m/>
    <m/>
    <n v="6"/>
    <n v="10"/>
    <n v="20"/>
    <m/>
    <m/>
    <m/>
    <m/>
    <m/>
    <m/>
    <m/>
    <m/>
    <m/>
    <n v="650"/>
    <s v="Indian Oil"/>
    <n v="10"/>
    <s v="Office"/>
    <s v="Weekly"/>
    <s v="Bus"/>
    <n v="1"/>
  </r>
  <r>
    <n v="36"/>
    <x v="1"/>
    <x v="2"/>
    <n v="5"/>
    <x v="1"/>
    <x v="4"/>
    <s v="Petrol"/>
    <m/>
    <s v="Petrol"/>
    <m/>
    <n v="7"/>
    <n v="12"/>
    <n v="9"/>
    <m/>
    <m/>
    <m/>
    <n v="4"/>
    <n v="16"/>
    <n v="21"/>
    <m/>
    <m/>
    <m/>
    <n v="4200"/>
    <s v="BPCL"/>
    <n v="7"/>
    <s v="Business"/>
    <s v="Never"/>
    <s v="I don’t use public transport"/>
    <n v="2"/>
  </r>
  <r>
    <n v="28"/>
    <x v="0"/>
    <x v="4"/>
    <n v="3"/>
    <x v="0"/>
    <x v="8"/>
    <m/>
    <m/>
    <s v="Petrol"/>
    <m/>
    <m/>
    <m/>
    <m/>
    <m/>
    <m/>
    <m/>
    <n v="3"/>
    <n v="18"/>
    <n v="20"/>
    <m/>
    <m/>
    <m/>
    <n v="2600"/>
    <s v="Indian Oil"/>
    <n v="9"/>
    <s v="Office"/>
    <s v="Monthly"/>
    <s v="Auto"/>
    <n v="1"/>
  </r>
  <r>
    <n v="42"/>
    <x v="1"/>
    <x v="1"/>
    <n v="6"/>
    <x v="0"/>
    <x v="0"/>
    <s v="Petrol"/>
    <m/>
    <m/>
    <m/>
    <n v="11"/>
    <n v="13"/>
    <n v="10"/>
    <m/>
    <m/>
    <m/>
    <m/>
    <m/>
    <m/>
    <m/>
    <m/>
    <m/>
    <n v="1100"/>
    <s v="HP"/>
    <n v="5"/>
    <s v="Agriculture-related"/>
    <s v="Rarely"/>
    <s v="Train"/>
    <n v="0"/>
  </r>
  <r>
    <n v="24"/>
    <x v="0"/>
    <x v="0"/>
    <n v="4"/>
    <x v="0"/>
    <x v="2"/>
    <m/>
    <s v="Petrol"/>
    <m/>
    <m/>
    <m/>
    <m/>
    <m/>
    <n v="2"/>
    <n v="8"/>
    <n v="5"/>
    <m/>
    <m/>
    <m/>
    <m/>
    <m/>
    <m/>
    <n v="650"/>
    <s v="Shell"/>
    <n v="4"/>
    <s v="College"/>
    <s v="Weekly"/>
    <s v="Auto, Shared Rickshaw"/>
    <n v="1"/>
  </r>
  <r>
    <n v="29"/>
    <x v="1"/>
    <x v="2"/>
    <n v="3"/>
    <x v="1"/>
    <x v="4"/>
    <s v="Petrol"/>
    <m/>
    <s v="Petrol"/>
    <m/>
    <n v="4"/>
    <n v="10"/>
    <n v="8"/>
    <m/>
    <m/>
    <m/>
    <n v="2"/>
    <n v="14"/>
    <n v="18"/>
    <m/>
    <m/>
    <m/>
    <n v="3600"/>
    <s v="BPCL"/>
    <n v="8"/>
    <s v="Office"/>
    <s v="Rarely"/>
    <s v="Auto"/>
    <n v="2"/>
  </r>
  <r>
    <n v="32"/>
    <x v="1"/>
    <x v="1"/>
    <n v="5"/>
    <x v="0"/>
    <x v="0"/>
    <s v="Petrol"/>
    <m/>
    <m/>
    <m/>
    <n v="9"/>
    <n v="15"/>
    <n v="11"/>
    <m/>
    <m/>
    <m/>
    <m/>
    <m/>
    <m/>
    <m/>
    <m/>
    <m/>
    <n v="1300"/>
    <s v="HP"/>
    <n v="6"/>
    <s v="Agriculture-related"/>
    <s v="Rarely"/>
    <s v="Bus"/>
    <n v="0"/>
  </r>
  <r>
    <n v="23"/>
    <x v="0"/>
    <x v="1"/>
    <n v="4"/>
    <x v="0"/>
    <x v="2"/>
    <m/>
    <s v="Petrol"/>
    <m/>
    <m/>
    <m/>
    <m/>
    <m/>
    <n v="2"/>
    <n v="8"/>
    <n v="5"/>
    <m/>
    <m/>
    <m/>
    <m/>
    <m/>
    <m/>
    <n v="650"/>
    <s v="Indian Oil"/>
    <n v="4"/>
    <s v="College"/>
    <s v="Weekly"/>
    <s v="Auto"/>
    <n v="1"/>
  </r>
  <r>
    <n v="27"/>
    <x v="1"/>
    <x v="2"/>
    <n v="3"/>
    <x v="1"/>
    <x v="4"/>
    <s v="Petrol"/>
    <m/>
    <s v="Petrol"/>
    <m/>
    <n v="4"/>
    <n v="12"/>
    <n v="9"/>
    <m/>
    <m/>
    <m/>
    <n v="2"/>
    <n v="14"/>
    <n v="17"/>
    <m/>
    <m/>
    <m/>
    <n v="3800"/>
    <s v="BPCL"/>
    <n v="10"/>
    <s v="Office"/>
    <s v="Rarely"/>
    <s v="Bus"/>
    <n v="2"/>
  </r>
  <r>
    <n v="24"/>
    <x v="0"/>
    <x v="1"/>
    <n v="4"/>
    <x v="0"/>
    <x v="2"/>
    <m/>
    <s v="Petrol"/>
    <m/>
    <m/>
    <m/>
    <m/>
    <m/>
    <n v="3"/>
    <n v="9"/>
    <n v="6"/>
    <m/>
    <m/>
    <m/>
    <m/>
    <m/>
    <m/>
    <n v="720"/>
    <s v="BPCL"/>
    <n v="7"/>
    <s v="Office"/>
    <s v="Weekly"/>
    <s v="Bus"/>
    <n v="1"/>
  </r>
  <r>
    <n v="29"/>
    <x v="0"/>
    <x v="2"/>
    <n v="3"/>
    <x v="0"/>
    <x v="8"/>
    <m/>
    <m/>
    <s v="Petrol"/>
    <m/>
    <m/>
    <m/>
    <m/>
    <m/>
    <m/>
    <m/>
    <n v="4"/>
    <n v="15"/>
    <n v="18"/>
    <m/>
    <m/>
    <m/>
    <n v="2300"/>
    <s v="Indian Oil"/>
    <n v="9"/>
    <s v="Office"/>
    <s v="Monthly"/>
    <s v="Auto"/>
    <n v="1"/>
  </r>
  <r>
    <n v="31"/>
    <x v="1"/>
    <x v="1"/>
    <n v="5"/>
    <x v="0"/>
    <x v="0"/>
    <s v="Petrol"/>
    <m/>
    <m/>
    <m/>
    <n v="6"/>
    <n v="13"/>
    <n v="10"/>
    <m/>
    <m/>
    <m/>
    <m/>
    <m/>
    <m/>
    <m/>
    <m/>
    <m/>
    <n v="1200"/>
    <s v="Indian Oil"/>
    <n v="5"/>
    <s v="Work"/>
    <s v="Rarely"/>
    <s v="Bus"/>
    <n v="0"/>
  </r>
  <r>
    <n v="22"/>
    <x v="0"/>
    <x v="0"/>
    <n v="4"/>
    <x v="0"/>
    <x v="2"/>
    <m/>
    <s v="Petrol"/>
    <m/>
    <m/>
    <m/>
    <m/>
    <m/>
    <n v="1"/>
    <n v="7"/>
    <n v="5"/>
    <m/>
    <m/>
    <m/>
    <m/>
    <m/>
    <m/>
    <n v="600"/>
    <s v="Indian Oil"/>
    <n v="3"/>
    <s v="College"/>
    <s v="Monthly"/>
    <s v="Auto"/>
    <n v="1"/>
  </r>
  <r>
    <n v="40"/>
    <x v="1"/>
    <x v="2"/>
    <n v="6"/>
    <x v="1"/>
    <x v="1"/>
    <s v="Petrol"/>
    <m/>
    <m/>
    <s v="Diesel"/>
    <n v="10"/>
    <n v="14"/>
    <n v="11"/>
    <m/>
    <m/>
    <m/>
    <m/>
    <m/>
    <m/>
    <n v="12"/>
    <n v="45"/>
    <n v="60"/>
    <n v="8200"/>
    <s v="HP"/>
    <n v="4"/>
    <s v="Agriculture-related"/>
    <s v="Rarely"/>
    <s v="Bus"/>
    <n v="0"/>
  </r>
  <r>
    <n v="45"/>
    <x v="1"/>
    <x v="4"/>
    <n v="6"/>
    <x v="1"/>
    <x v="1"/>
    <s v="Petrol"/>
    <m/>
    <m/>
    <s v="Diesel"/>
    <n v="8"/>
    <n v="18"/>
    <n v="13"/>
    <m/>
    <m/>
    <m/>
    <m/>
    <m/>
    <m/>
    <n v="11"/>
    <n v="50"/>
    <n v="70"/>
    <n v="9000"/>
    <s v="HP"/>
    <n v="8"/>
    <s v="Business"/>
    <s v="Never"/>
    <s v="I don’t use public transport"/>
    <n v="0"/>
  </r>
  <r>
    <n v="26"/>
    <x v="0"/>
    <x v="2"/>
    <n v="3"/>
    <x v="0"/>
    <x v="8"/>
    <m/>
    <m/>
    <s v="Petrol"/>
    <m/>
    <m/>
    <m/>
    <m/>
    <m/>
    <m/>
    <m/>
    <n v="3"/>
    <n v="14"/>
    <n v="19"/>
    <m/>
    <m/>
    <m/>
    <n v="2400"/>
    <s v="Indian Oil"/>
    <n v="8"/>
    <s v="Office"/>
    <s v="Monthly"/>
    <s v="Bus"/>
    <n v="2"/>
  </r>
  <r>
    <n v="41"/>
    <x v="1"/>
    <x v="1"/>
    <n v="6"/>
    <x v="1"/>
    <x v="1"/>
    <s v="Petrol"/>
    <m/>
    <m/>
    <s v="Diesel"/>
    <n v="8"/>
    <n v="14"/>
    <n v="10"/>
    <m/>
    <m/>
    <m/>
    <m/>
    <m/>
    <m/>
    <n v="10"/>
    <n v="40"/>
    <n v="55"/>
    <n v="7000"/>
    <s v="HP"/>
    <n v="5"/>
    <s v="Agriculture-related"/>
    <s v="Rarely"/>
    <s v="Bus"/>
    <n v="0"/>
  </r>
  <r>
    <n v="22"/>
    <x v="0"/>
    <x v="0"/>
    <n v="4"/>
    <x v="0"/>
    <x v="2"/>
    <m/>
    <s v="Petrol"/>
    <m/>
    <m/>
    <m/>
    <m/>
    <m/>
    <n v="1"/>
    <n v="10"/>
    <n v="6"/>
    <m/>
    <m/>
    <m/>
    <m/>
    <m/>
    <m/>
    <n v="700"/>
    <s v="Indian Oil"/>
    <n v="4"/>
    <s v="College"/>
    <s v="Monthly"/>
    <s v="Bus"/>
    <n v="1"/>
  </r>
  <r>
    <n v="29"/>
    <x v="1"/>
    <x v="2"/>
    <n v="3"/>
    <x v="1"/>
    <x v="4"/>
    <s v="Petrol"/>
    <m/>
    <s v="Petrol"/>
    <m/>
    <n v="5"/>
    <n v="12"/>
    <n v="9"/>
    <m/>
    <m/>
    <m/>
    <n v="3"/>
    <n v="17"/>
    <n v="21"/>
    <m/>
    <m/>
    <m/>
    <n v="4300"/>
    <s v="BPCL"/>
    <n v="10"/>
    <s v="Office"/>
    <s v="Rarely"/>
    <s v="Train"/>
    <n v="2"/>
  </r>
  <r>
    <n v="21"/>
    <x v="1"/>
    <x v="2"/>
    <n v="5"/>
    <x v="1"/>
    <x v="4"/>
    <s v="Petrol"/>
    <m/>
    <s v="Petrol"/>
    <m/>
    <n v="4"/>
    <n v="15"/>
    <n v="9"/>
    <m/>
    <m/>
    <m/>
    <n v="5"/>
    <n v="20"/>
    <n v="22"/>
    <m/>
    <m/>
    <m/>
    <n v="3400"/>
    <s v="HP"/>
    <n v="12"/>
    <s v="Office"/>
    <s v="Rarely"/>
    <s v="Auto"/>
    <n v="2"/>
  </r>
  <r>
    <n v="28"/>
    <x v="0"/>
    <x v="1"/>
    <n v="4"/>
    <x v="0"/>
    <x v="0"/>
    <s v="Petrol"/>
    <m/>
    <m/>
    <m/>
    <n v="7"/>
    <n v="6"/>
    <n v="5"/>
    <m/>
    <m/>
    <m/>
    <m/>
    <m/>
    <m/>
    <m/>
    <m/>
    <m/>
    <n v="600"/>
    <s v="HP"/>
    <n v="3"/>
    <s v="Market/Shopping"/>
    <s v="Weekly"/>
    <s v="Auto"/>
    <n v="0"/>
  </r>
  <r>
    <n v="37"/>
    <x v="1"/>
    <x v="2"/>
    <n v="5"/>
    <x v="1"/>
    <x v="4"/>
    <s v="Petrol"/>
    <m/>
    <s v="Petrol"/>
    <m/>
    <n v="9"/>
    <n v="15"/>
    <n v="11"/>
    <m/>
    <m/>
    <m/>
    <n v="6"/>
    <n v="18"/>
    <n v="22"/>
    <m/>
    <m/>
    <m/>
    <n v="4800"/>
    <s v="Indian Oil"/>
    <n v="7"/>
    <s v="Business"/>
    <s v="Rarely"/>
    <s v="Private Bus"/>
    <n v="2"/>
  </r>
  <r>
    <n v="33"/>
    <x v="1"/>
    <x v="1"/>
    <n v="5"/>
    <x v="1"/>
    <x v="1"/>
    <s v="Petrol"/>
    <m/>
    <m/>
    <s v="Diesel"/>
    <n v="6"/>
    <n v="10"/>
    <n v="7"/>
    <m/>
    <m/>
    <m/>
    <m/>
    <m/>
    <m/>
    <n v="8"/>
    <n v="15"/>
    <n v="65"/>
    <n v="5800"/>
    <s v="Indian Oil"/>
    <n v="9"/>
    <s v="Agriculture-related"/>
    <s v="Rarely"/>
    <s v="Bus"/>
    <n v="0"/>
  </r>
  <r>
    <n v="33"/>
    <x v="0"/>
    <x v="2"/>
    <n v="4"/>
    <x v="0"/>
    <x v="2"/>
    <m/>
    <s v="Petrol"/>
    <m/>
    <m/>
    <m/>
    <m/>
    <m/>
    <n v="9"/>
    <n v="6"/>
    <n v="6"/>
    <m/>
    <m/>
    <m/>
    <m/>
    <m/>
    <m/>
    <n v="750"/>
    <s v="BPCL"/>
    <n v="5"/>
    <s v="Office"/>
    <s v="Weekly"/>
    <s v="Train"/>
    <n v="2"/>
  </r>
  <r>
    <n v="24"/>
    <x v="0"/>
    <x v="2"/>
    <n v="3"/>
    <x v="0"/>
    <x v="2"/>
    <m/>
    <s v="Petrol"/>
    <m/>
    <m/>
    <m/>
    <m/>
    <m/>
    <n v="2"/>
    <n v="18"/>
    <n v="10"/>
    <m/>
    <m/>
    <m/>
    <m/>
    <m/>
    <m/>
    <n v="1100"/>
    <s v="BPCL"/>
    <n v="8"/>
    <s v="Office"/>
    <s v="Weekly"/>
    <s v="Shared Rickshaw"/>
    <n v="1"/>
  </r>
  <r>
    <n v="43"/>
    <x v="1"/>
    <x v="1"/>
    <n v="6"/>
    <x v="1"/>
    <x v="1"/>
    <s v="Petrol"/>
    <m/>
    <m/>
    <s v="Diesel"/>
    <n v="11"/>
    <n v="15"/>
    <n v="11"/>
    <m/>
    <m/>
    <m/>
    <m/>
    <m/>
    <m/>
    <n v="13"/>
    <n v="50"/>
    <n v="65"/>
    <n v="8500"/>
    <s v="HP"/>
    <n v="6"/>
    <s v="Agriculture-related"/>
    <s v="Weekly"/>
    <s v="Auto"/>
    <n v="0"/>
  </r>
  <r>
    <n v="28"/>
    <x v="1"/>
    <x v="4"/>
    <n v="6"/>
    <x v="2"/>
    <x v="3"/>
    <s v="Petrol"/>
    <m/>
    <s v="Petrol"/>
    <s v="Diesel"/>
    <n v="3"/>
    <n v="12"/>
    <n v="7"/>
    <m/>
    <m/>
    <m/>
    <n v="5"/>
    <n v="22"/>
    <n v="27"/>
    <n v="9"/>
    <n v="45"/>
    <n v="58"/>
    <n v="9500"/>
    <s v="HP"/>
    <n v="15"/>
    <s v="Business"/>
    <s v="Rarely"/>
    <s v="I don’t use public transport"/>
    <n v="2"/>
  </r>
  <r>
    <n v="26"/>
    <x v="0"/>
    <x v="2"/>
    <n v="3"/>
    <x v="0"/>
    <x v="8"/>
    <m/>
    <m/>
    <s v="Petrol"/>
    <m/>
    <m/>
    <m/>
    <m/>
    <m/>
    <m/>
    <m/>
    <n v="4"/>
    <n v="16"/>
    <n v="20"/>
    <m/>
    <m/>
    <m/>
    <n v="2500"/>
    <s v="Indian Oil"/>
    <n v="6"/>
    <s v="Office"/>
    <s v="Weekly"/>
    <s v="Bus"/>
    <n v="1"/>
  </r>
  <r>
    <n v="22"/>
    <x v="0"/>
    <x v="0"/>
    <n v="4"/>
    <x v="0"/>
    <x v="2"/>
    <m/>
    <s v="Petrol"/>
    <m/>
    <m/>
    <m/>
    <m/>
    <m/>
    <n v="1"/>
    <n v="10"/>
    <n v="6"/>
    <m/>
    <m/>
    <m/>
    <m/>
    <m/>
    <m/>
    <n v="700"/>
    <s v="Shell"/>
    <n v="6"/>
    <s v="College"/>
    <s v="Monthly"/>
    <s v="Bus"/>
    <n v="1"/>
  </r>
  <r>
    <n v="30"/>
    <x v="1"/>
    <x v="4"/>
    <n v="4"/>
    <x v="2"/>
    <x v="9"/>
    <s v="Petrol"/>
    <m/>
    <s v="Petrol"/>
    <m/>
    <n v="4"/>
    <n v="10"/>
    <n v="7"/>
    <m/>
    <m/>
    <m/>
    <n v="2"/>
    <n v="22"/>
    <n v="26"/>
    <m/>
    <m/>
    <m/>
    <n v="5500"/>
    <s v="Shell"/>
    <n v="10"/>
    <s v="Business"/>
    <s v="Never"/>
    <s v="I don’t use public transport"/>
    <n v="1"/>
  </r>
  <r>
    <n v="27"/>
    <x v="0"/>
    <x v="1"/>
    <n v="3"/>
    <x v="0"/>
    <x v="2"/>
    <m/>
    <s v="Petrol"/>
    <m/>
    <m/>
    <m/>
    <m/>
    <m/>
    <n v="2"/>
    <n v="8"/>
    <n v="5"/>
    <m/>
    <m/>
    <m/>
    <m/>
    <m/>
    <m/>
    <n v="650"/>
    <s v="Indian Oil"/>
    <n v="4"/>
    <s v="Office"/>
    <s v="Monthly"/>
    <s v="Bus"/>
    <n v="1"/>
  </r>
  <r>
    <n v="40"/>
    <x v="1"/>
    <x v="5"/>
    <n v="5"/>
    <x v="1"/>
    <x v="4"/>
    <s v="Petrol"/>
    <m/>
    <s v="Diesel"/>
    <m/>
    <n v="7"/>
    <n v="8"/>
    <n v="5"/>
    <m/>
    <m/>
    <m/>
    <n v="4"/>
    <n v="25"/>
    <n v="32"/>
    <m/>
    <m/>
    <m/>
    <n v="5200"/>
    <s v="Indian Oil"/>
    <n v="18"/>
    <s v="Office"/>
    <s v="Never"/>
    <s v="I don’t use public transport"/>
    <n v="0"/>
  </r>
  <r>
    <n v="19"/>
    <x v="0"/>
    <x v="1"/>
    <n v="6"/>
    <x v="0"/>
    <x v="0"/>
    <s v="Petrol"/>
    <m/>
    <m/>
    <m/>
    <n v="5"/>
    <n v="9"/>
    <n v="6"/>
    <m/>
    <m/>
    <m/>
    <m/>
    <m/>
    <m/>
    <m/>
    <m/>
    <m/>
    <n v="650"/>
    <s v="No preference"/>
    <n v="7"/>
    <s v="College"/>
    <s v="Weekly"/>
    <s v="Shared Rickshaw"/>
    <n v="2"/>
  </r>
  <r>
    <n v="27"/>
    <x v="1"/>
    <x v="3"/>
    <n v="4"/>
    <x v="2"/>
    <x v="9"/>
    <s v="Petrol"/>
    <m/>
    <s v="Petrol"/>
    <m/>
    <n v="2"/>
    <n v="10"/>
    <n v="6"/>
    <m/>
    <m/>
    <m/>
    <n v="3"/>
    <n v="30"/>
    <n v="35"/>
    <m/>
    <m/>
    <m/>
    <n v="8200"/>
    <s v="Shell"/>
    <n v="10"/>
    <s v="Business"/>
    <s v="Never"/>
    <s v="I don’t use public transport"/>
    <n v="1"/>
  </r>
  <r>
    <n v="31"/>
    <x v="1"/>
    <x v="2"/>
    <n v="3"/>
    <x v="0"/>
    <x v="0"/>
    <s v="Petrol"/>
    <m/>
    <m/>
    <m/>
    <n v="4"/>
    <n v="20"/>
    <n v="12"/>
    <m/>
    <m/>
    <m/>
    <m/>
    <m/>
    <m/>
    <m/>
    <m/>
    <m/>
    <n v="1400"/>
    <s v="BPCL"/>
    <n v="14"/>
    <s v="Office"/>
    <s v="Rarely"/>
    <s v="Bus"/>
    <n v="2"/>
  </r>
  <r>
    <n v="26"/>
    <x v="0"/>
    <x v="1"/>
    <n v="4"/>
    <x v="0"/>
    <x v="2"/>
    <m/>
    <s v="Petrol"/>
    <m/>
    <m/>
    <m/>
    <m/>
    <m/>
    <n v="3"/>
    <n v="8"/>
    <n v="5"/>
    <m/>
    <m/>
    <m/>
    <m/>
    <m/>
    <m/>
    <n v="600"/>
    <s v="HP"/>
    <n v="4"/>
    <s v="Market/Shopping"/>
    <s v="Monthly"/>
    <s v="Auto"/>
    <n v="1"/>
  </r>
  <r>
    <n v="31"/>
    <x v="0"/>
    <x v="1"/>
    <n v="5"/>
    <x v="0"/>
    <x v="0"/>
    <s v="Petrol"/>
    <m/>
    <m/>
    <m/>
    <n v="9"/>
    <n v="7"/>
    <n v="6"/>
    <m/>
    <m/>
    <m/>
    <m/>
    <m/>
    <m/>
    <m/>
    <m/>
    <m/>
    <n v="750"/>
    <s v="HP"/>
    <n v="3"/>
    <s v="Market/Shopping"/>
    <s v="Weekly"/>
    <s v="Bus"/>
    <n v="0"/>
  </r>
  <r>
    <n v="25"/>
    <x v="1"/>
    <x v="1"/>
    <n v="5"/>
    <x v="0"/>
    <x v="0"/>
    <s v="Petrol"/>
    <m/>
    <m/>
    <m/>
    <n v="10"/>
    <n v="50"/>
    <n v="30"/>
    <m/>
    <m/>
    <m/>
    <m/>
    <m/>
    <m/>
    <m/>
    <m/>
    <m/>
    <n v="20000"/>
    <s v="Indian Oil"/>
    <n v="10"/>
    <s v="Business"/>
    <s v="Daily"/>
    <s v="Bus, Auto"/>
    <n v="0"/>
  </r>
  <r>
    <n v="50"/>
    <x v="1"/>
    <x v="0"/>
    <n v="4"/>
    <x v="0"/>
    <x v="0"/>
    <s v="Petrol"/>
    <m/>
    <m/>
    <m/>
    <n v="5"/>
    <n v="50"/>
    <n v="10"/>
    <m/>
    <m/>
    <m/>
    <m/>
    <m/>
    <m/>
    <m/>
    <m/>
    <m/>
    <n v="3000"/>
    <s v="Indian Oil"/>
    <n v="25"/>
    <s v="Business"/>
    <s v="Daily"/>
    <s v="Bus"/>
    <n v="0"/>
  </r>
  <r>
    <n v="34"/>
    <x v="1"/>
    <x v="1"/>
    <n v="4"/>
    <x v="0"/>
    <x v="0"/>
    <s v="Petrol"/>
    <m/>
    <m/>
    <m/>
    <n v="12"/>
    <n v="14"/>
    <n v="30"/>
    <m/>
    <m/>
    <m/>
    <m/>
    <m/>
    <m/>
    <m/>
    <m/>
    <m/>
    <n v="950"/>
    <s v="HP"/>
    <n v="6"/>
    <s v="Work"/>
    <s v="Never"/>
    <s v="I don’t use public transport"/>
    <n v="1"/>
  </r>
  <r>
    <n v="27"/>
    <x v="1"/>
    <x v="2"/>
    <n v="6"/>
    <x v="1"/>
    <x v="4"/>
    <s v="Petrol"/>
    <m/>
    <s v="Diesel"/>
    <m/>
    <n v="5"/>
    <n v="18"/>
    <n v="10"/>
    <m/>
    <m/>
    <m/>
    <n v="6"/>
    <n v="30"/>
    <n v="34"/>
    <m/>
    <m/>
    <m/>
    <n v="5600"/>
    <s v="Indian Oil"/>
    <n v="14"/>
    <s v="Business"/>
    <s v="Rarely"/>
    <s v="Bus"/>
    <n v="2"/>
  </r>
  <r>
    <n v="23"/>
    <x v="0"/>
    <x v="0"/>
    <n v="3"/>
    <x v="0"/>
    <x v="2"/>
    <m/>
    <s v="Petrol"/>
    <m/>
    <m/>
    <m/>
    <m/>
    <m/>
    <n v="1"/>
    <n v="8"/>
    <n v="5"/>
    <m/>
    <m/>
    <m/>
    <m/>
    <m/>
    <m/>
    <n v="580"/>
    <s v="HP"/>
    <n v="5"/>
    <s v="College"/>
    <s v="Weekly"/>
    <s v="Shared Rickshaw"/>
    <n v="1"/>
  </r>
  <r>
    <n v="31"/>
    <x v="1"/>
    <x v="4"/>
    <n v="4"/>
    <x v="1"/>
    <x v="4"/>
    <s v="Petrol"/>
    <m/>
    <s v="Petrol"/>
    <m/>
    <n v="3"/>
    <n v="22"/>
    <n v="12"/>
    <m/>
    <m/>
    <m/>
    <n v="2"/>
    <n v="23"/>
    <n v="38"/>
    <m/>
    <m/>
    <m/>
    <n v="7100"/>
    <s v="BPCL"/>
    <n v="16"/>
    <s v="Office"/>
    <s v="Rarely"/>
    <s v="Bus"/>
    <n v="0"/>
  </r>
  <r>
    <n v="25"/>
    <x v="0"/>
    <x v="1"/>
    <n v="5"/>
    <x v="0"/>
    <x v="2"/>
    <m/>
    <s v="Petrol"/>
    <m/>
    <m/>
    <m/>
    <m/>
    <m/>
    <n v="4"/>
    <n v="9"/>
    <n v="6"/>
    <m/>
    <m/>
    <m/>
    <m/>
    <m/>
    <m/>
    <n v="650"/>
    <s v="Indian Oil"/>
    <n v="7"/>
    <s v="Office"/>
    <s v="Monthly"/>
    <s v="Auto"/>
    <n v="1"/>
  </r>
  <r>
    <n v="48"/>
    <x v="1"/>
    <x v="1"/>
    <n v="7"/>
    <x v="1"/>
    <x v="1"/>
    <s v="Petrol"/>
    <m/>
    <m/>
    <s v="Diesel"/>
    <n v="6"/>
    <n v="8"/>
    <n v="5"/>
    <m/>
    <m/>
    <m/>
    <m/>
    <m/>
    <m/>
    <n v="11"/>
    <n v="45"/>
    <n v="60"/>
    <n v="5200"/>
    <s v="Indian Oil"/>
    <n v="10"/>
    <s v="Agriculture-related"/>
    <s v="Rarely"/>
    <s v="Bus"/>
    <n v="0"/>
  </r>
  <r>
    <n v="28"/>
    <x v="0"/>
    <x v="0"/>
    <n v="4"/>
    <x v="0"/>
    <x v="2"/>
    <m/>
    <s v="Petrol"/>
    <m/>
    <m/>
    <m/>
    <m/>
    <m/>
    <n v="2"/>
    <n v="7"/>
    <n v="4"/>
    <m/>
    <m/>
    <m/>
    <m/>
    <m/>
    <m/>
    <n v="500"/>
    <s v="HP"/>
    <n v="4"/>
    <s v="Market/Shopping"/>
    <s v="Monthly"/>
    <s v="Auto"/>
    <n v="1"/>
  </r>
  <r>
    <n v="30"/>
    <x v="1"/>
    <x v="3"/>
    <n v="3"/>
    <x v="2"/>
    <x v="9"/>
    <s v="Petrol"/>
    <m/>
    <s v="Petrol"/>
    <m/>
    <n v="2"/>
    <n v="20"/>
    <n v="12"/>
    <m/>
    <m/>
    <m/>
    <n v="3"/>
    <n v="40"/>
    <n v="42"/>
    <m/>
    <m/>
    <m/>
    <n v="10200"/>
    <s v="Shell"/>
    <n v="15"/>
    <s v="Business"/>
    <s v="Never"/>
    <s v="I don’t use public transport"/>
    <n v="1"/>
  </r>
  <r>
    <n v="19"/>
    <x v="0"/>
    <x v="0"/>
    <n v="5"/>
    <x v="0"/>
    <x v="0"/>
    <s v="Petrol"/>
    <m/>
    <m/>
    <m/>
    <n v="4"/>
    <n v="10"/>
    <n v="7"/>
    <m/>
    <m/>
    <m/>
    <m/>
    <m/>
    <m/>
    <m/>
    <m/>
    <m/>
    <n v="720"/>
    <s v="BPCL"/>
    <n v="6"/>
    <s v="College"/>
    <s v="Weekly"/>
    <s v="Bus"/>
    <n v="2"/>
  </r>
  <r>
    <n v="34"/>
    <x v="1"/>
    <x v="1"/>
    <n v="6"/>
    <x v="0"/>
    <x v="0"/>
    <s v="Petrol"/>
    <m/>
    <m/>
    <m/>
    <n v="8"/>
    <n v="12"/>
    <n v="8"/>
    <m/>
    <m/>
    <m/>
    <m/>
    <m/>
    <m/>
    <m/>
    <m/>
    <m/>
    <n v="900"/>
    <s v="No preference"/>
    <n v="11"/>
    <s v="Work"/>
    <s v="Monthly"/>
    <s v="Bus"/>
    <n v="0"/>
  </r>
  <r>
    <n v="26"/>
    <x v="0"/>
    <x v="2"/>
    <n v="4"/>
    <x v="0"/>
    <x v="2"/>
    <m/>
    <s v="Petrol"/>
    <m/>
    <m/>
    <m/>
    <m/>
    <m/>
    <n v="3"/>
    <n v="12"/>
    <n v="7"/>
    <m/>
    <m/>
    <m/>
    <m/>
    <m/>
    <m/>
    <n v="780"/>
    <s v="BPCL"/>
    <n v="9"/>
    <s v="Office"/>
    <s v="Rarely"/>
    <s v="Auto"/>
    <n v="1"/>
  </r>
  <r>
    <n v="29"/>
    <x v="1"/>
    <x v="2"/>
    <n v="5"/>
    <x v="1"/>
    <x v="4"/>
    <s v="Petrol"/>
    <m/>
    <s v="Petrol"/>
    <m/>
    <n v="4"/>
    <n v="16"/>
    <n v="9"/>
    <m/>
    <m/>
    <m/>
    <n v="3"/>
    <n v="28"/>
    <n v="32"/>
    <m/>
    <m/>
    <m/>
    <n v="4800"/>
    <s v="BPCL"/>
    <n v="13"/>
    <s v="Office"/>
    <s v="Rarely"/>
    <s v="Bus"/>
    <n v="2"/>
  </r>
  <r>
    <n v="22"/>
    <x v="0"/>
    <x v="0"/>
    <n v="4"/>
    <x v="0"/>
    <x v="2"/>
    <m/>
    <s v="Petrol"/>
    <m/>
    <m/>
    <m/>
    <m/>
    <m/>
    <n v="1"/>
    <n v="10"/>
    <n v="6"/>
    <m/>
    <m/>
    <m/>
    <m/>
    <m/>
    <m/>
    <n v="850"/>
    <s v="HP"/>
    <n v="6"/>
    <s v="College"/>
    <s v="Weekly"/>
    <s v="Shared Rickshaw"/>
    <n v="1"/>
  </r>
  <r>
    <n v="45"/>
    <x v="1"/>
    <x v="2"/>
    <n v="6"/>
    <x v="1"/>
    <x v="1"/>
    <s v="Petrol"/>
    <m/>
    <m/>
    <s v="Diesel"/>
    <n v="7"/>
    <n v="8"/>
    <n v="5"/>
    <m/>
    <m/>
    <m/>
    <m/>
    <m/>
    <m/>
    <n v="10"/>
    <n v="55"/>
    <n v="70"/>
    <n v="6400"/>
    <s v="Indian Oil"/>
    <n v="8"/>
    <s v="Agriculture-related"/>
    <s v="Rarely"/>
    <s v="Bus"/>
    <n v="0"/>
  </r>
  <r>
    <n v="24"/>
    <x v="0"/>
    <x v="1"/>
    <n v="3"/>
    <x v="0"/>
    <x v="2"/>
    <m/>
    <s v="Petrol"/>
    <m/>
    <m/>
    <m/>
    <m/>
    <m/>
    <n v="3"/>
    <n v="12"/>
    <n v="7"/>
    <m/>
    <m/>
    <m/>
    <m/>
    <m/>
    <m/>
    <n v="800"/>
    <s v="Shell"/>
    <n v="10"/>
    <s v="Office"/>
    <s v="Monthly"/>
    <s v="Auto"/>
    <n v="1"/>
  </r>
  <r>
    <n v="32"/>
    <x v="1"/>
    <x v="4"/>
    <n v="5"/>
    <x v="1"/>
    <x v="4"/>
    <s v="Petrol"/>
    <m/>
    <s v="Diesel"/>
    <m/>
    <n v="5"/>
    <n v="15"/>
    <n v="8"/>
    <m/>
    <m/>
    <m/>
    <n v="4"/>
    <n v="25"/>
    <n v="30"/>
    <m/>
    <m/>
    <m/>
    <n v="4900"/>
    <s v="BPCL"/>
    <n v="17"/>
    <s v="Office"/>
    <s v="Never"/>
    <s v="I don’t use public transport"/>
    <n v="2"/>
  </r>
  <r>
    <n v="20"/>
    <x v="0"/>
    <x v="0"/>
    <n v="6"/>
    <x v="0"/>
    <x v="0"/>
    <s v="Petrol"/>
    <m/>
    <m/>
    <m/>
    <n v="3"/>
    <n v="11"/>
    <n v="7"/>
    <m/>
    <m/>
    <m/>
    <m/>
    <m/>
    <m/>
    <m/>
    <m/>
    <m/>
    <n v="720"/>
    <s v="No preference"/>
    <n v="9"/>
    <s v="College"/>
    <s v="Weekly"/>
    <s v="Bus"/>
    <n v="1"/>
  </r>
  <r>
    <n v="27"/>
    <x v="1"/>
    <x v="3"/>
    <n v="4"/>
    <x v="2"/>
    <x v="9"/>
    <s v="Petrol"/>
    <m/>
    <s v="Petrol"/>
    <m/>
    <n v="2"/>
    <n v="20"/>
    <n v="11"/>
    <m/>
    <m/>
    <m/>
    <n v="2"/>
    <n v="35"/>
    <n v="38"/>
    <m/>
    <m/>
    <m/>
    <n v="9900"/>
    <s v="Shell"/>
    <n v="12"/>
    <s v="Business"/>
    <s v="Never"/>
    <s v="I don’t use public transport"/>
    <n v="1"/>
  </r>
  <r>
    <n v="21"/>
    <x v="0"/>
    <x v="0"/>
    <n v="3"/>
    <x v="0"/>
    <x v="2"/>
    <m/>
    <s v="Petrol"/>
    <m/>
    <m/>
    <m/>
    <m/>
    <m/>
    <n v="1"/>
    <n v="9"/>
    <n v="6"/>
    <m/>
    <m/>
    <m/>
    <m/>
    <m/>
    <m/>
    <n v="650"/>
    <s v="HP"/>
    <n v="7"/>
    <s v="College"/>
    <s v="Weekly"/>
    <s v="Shared Rickshaw"/>
    <n v="1"/>
  </r>
  <r>
    <n v="34"/>
    <x v="1"/>
    <x v="2"/>
    <n v="5"/>
    <x v="0"/>
    <x v="0"/>
    <s v="Petrol"/>
    <m/>
    <m/>
    <m/>
    <n v="6"/>
    <n v="12"/>
    <n v="8"/>
    <m/>
    <m/>
    <m/>
    <m/>
    <m/>
    <m/>
    <m/>
    <m/>
    <m/>
    <n v="990"/>
    <s v="Indian Oil"/>
    <n v="10"/>
    <s v="Work"/>
    <s v="Monthly"/>
    <s v="Bus"/>
    <n v="0"/>
  </r>
  <r>
    <n v="38"/>
    <x v="0"/>
    <x v="1"/>
    <n v="4"/>
    <x v="0"/>
    <x v="2"/>
    <m/>
    <s v="Petrol"/>
    <m/>
    <m/>
    <m/>
    <m/>
    <m/>
    <n v="4"/>
    <n v="8"/>
    <n v="5"/>
    <m/>
    <m/>
    <m/>
    <m/>
    <m/>
    <m/>
    <n v="600"/>
    <s v="BPCL"/>
    <n v="5"/>
    <s v="Market/Shopping"/>
    <s v="Monthly"/>
    <s v="Auto"/>
    <n v="1"/>
  </r>
  <r>
    <n v="25"/>
    <x v="0"/>
    <x v="2"/>
    <n v="4"/>
    <x v="2"/>
    <x v="6"/>
    <s v="Petrol"/>
    <s v="Petrol"/>
    <s v="CNG"/>
    <m/>
    <n v="15"/>
    <n v="5"/>
    <n v="5"/>
    <n v="7"/>
    <n v="10"/>
    <n v="10"/>
    <n v="5"/>
    <n v="50"/>
    <n v="24"/>
    <m/>
    <m/>
    <m/>
    <n v="5000"/>
    <s v="Indian Oil"/>
    <n v="10"/>
    <s v="College"/>
    <s v="Rarely"/>
    <s v="Bus"/>
    <n v="2"/>
  </r>
  <r>
    <n v="37"/>
    <x v="0"/>
    <x v="1"/>
    <n v="4"/>
    <x v="1"/>
    <x v="10"/>
    <s v="Petrol"/>
    <s v="Petrol"/>
    <m/>
    <m/>
    <n v="15"/>
    <n v="2"/>
    <n v="5"/>
    <n v="10"/>
    <n v="2"/>
    <n v="5"/>
    <m/>
    <m/>
    <m/>
    <m/>
    <m/>
    <m/>
    <n v="1000"/>
    <s v="HP"/>
    <n v="1"/>
    <s v="Work"/>
    <s v="Never"/>
    <s v="I don’t use public transport"/>
    <n v="0"/>
  </r>
  <r>
    <n v="20"/>
    <x v="0"/>
    <x v="1"/>
    <n v="6"/>
    <x v="1"/>
    <x v="10"/>
    <s v="Petrol"/>
    <s v="Petrol"/>
    <m/>
    <m/>
    <n v="15"/>
    <n v="30"/>
    <n v="2"/>
    <n v="3"/>
    <n v="8"/>
    <n v="6"/>
    <m/>
    <m/>
    <m/>
    <m/>
    <m/>
    <m/>
    <n v="1000"/>
    <s v="Indian Oil"/>
    <n v="20"/>
    <s v="Work"/>
    <s v="Daily"/>
    <s v="Bus"/>
    <n v="1"/>
  </r>
  <r>
    <n v="25"/>
    <x v="0"/>
    <x v="1"/>
    <n v="4"/>
    <x v="3"/>
    <x v="6"/>
    <s v="Petrol"/>
    <s v="Petrol"/>
    <s v="Petrol"/>
    <m/>
    <n v="10"/>
    <n v="5"/>
    <n v="46"/>
    <n v="7"/>
    <n v="46"/>
    <n v="46"/>
    <n v="5"/>
    <n v="100"/>
    <n v="46"/>
    <m/>
    <m/>
    <m/>
    <n v="15000"/>
    <s v="Indian Oil"/>
    <n v="30"/>
    <s v="Office"/>
    <s v="Rarely"/>
    <s v="Bus, Auto, Private Bus"/>
    <n v="1"/>
  </r>
  <r>
    <n v="23"/>
    <x v="1"/>
    <x v="1"/>
    <n v="4"/>
    <x v="1"/>
    <x v="4"/>
    <s v="Petrol"/>
    <m/>
    <s v="Petrol"/>
    <m/>
    <n v="4"/>
    <n v="22"/>
    <n v="14"/>
    <m/>
    <m/>
    <m/>
    <n v="6"/>
    <n v="18"/>
    <n v="22"/>
    <m/>
    <m/>
    <m/>
    <n v="4200"/>
    <s v="HP"/>
    <n v="11"/>
    <s v="Office"/>
    <s v="Rarely"/>
    <s v="Bus"/>
    <n v="2"/>
  </r>
  <r>
    <n v="20"/>
    <x v="0"/>
    <x v="0"/>
    <n v="3"/>
    <x v="0"/>
    <x v="2"/>
    <m/>
    <s v="Petrol"/>
    <m/>
    <m/>
    <m/>
    <m/>
    <m/>
    <n v="2"/>
    <n v="10"/>
    <n v="7"/>
    <m/>
    <m/>
    <m/>
    <m/>
    <m/>
    <m/>
    <n v="700"/>
    <s v="Indian Oil"/>
    <n v="6"/>
    <s v="College"/>
    <s v="Daily"/>
    <s v="Auto"/>
    <n v="1"/>
  </r>
  <r>
    <n v="32"/>
    <x v="1"/>
    <x v="2"/>
    <n v="5"/>
    <x v="1"/>
    <x v="1"/>
    <s v="Petrol"/>
    <m/>
    <m/>
    <s v="Diesel"/>
    <n v="8"/>
    <n v="12"/>
    <n v="8"/>
    <m/>
    <m/>
    <m/>
    <m/>
    <m/>
    <m/>
    <n v="10"/>
    <n v="40"/>
    <n v="65"/>
    <n v="4200"/>
    <s v="BPCL"/>
    <n v="8"/>
    <s v="Agriculture-related"/>
    <s v="Never"/>
    <s v="I don’t use public transport"/>
    <n v="0"/>
  </r>
  <r>
    <n v="27"/>
    <x v="1"/>
    <x v="4"/>
    <n v="4"/>
    <x v="1"/>
    <x v="4"/>
    <s v="Petrol"/>
    <m/>
    <s v="Petrol"/>
    <m/>
    <n v="3"/>
    <n v="15"/>
    <n v="10"/>
    <m/>
    <m/>
    <m/>
    <n v="2"/>
    <n v="25"/>
    <n v="30"/>
    <m/>
    <m/>
    <m/>
    <n v="5200"/>
    <s v="Indian Oil"/>
    <n v="9"/>
    <s v="Business"/>
    <s v="Rarely"/>
    <s v="Auto"/>
    <n v="2"/>
  </r>
  <r>
    <n v="24"/>
    <x v="0"/>
    <x v="0"/>
    <n v="5"/>
    <x v="0"/>
    <x v="0"/>
    <s v="Petrol"/>
    <m/>
    <m/>
    <m/>
    <n v="8"/>
    <n v="7"/>
    <n v="5"/>
    <m/>
    <m/>
    <m/>
    <m/>
    <m/>
    <m/>
    <m/>
    <m/>
    <m/>
    <n v="600"/>
    <s v="HP"/>
    <n v="3"/>
    <s v="Market/Shopping"/>
    <s v="Weekly"/>
    <s v="Shared Rickshaw"/>
    <n v="2"/>
  </r>
  <r>
    <n v="45"/>
    <x v="1"/>
    <x v="2"/>
    <n v="7"/>
    <x v="1"/>
    <x v="1"/>
    <s v="Petrol"/>
    <m/>
    <m/>
    <s v="Diesel"/>
    <n v="10"/>
    <n v="12"/>
    <n v="8"/>
    <m/>
    <m/>
    <m/>
    <m/>
    <m/>
    <m/>
    <n v="14"/>
    <n v="45"/>
    <n v="70"/>
    <n v="9500"/>
    <s v="BPCL"/>
    <n v="6"/>
    <s v="Agriculture-related"/>
    <s v="Never"/>
    <s v="I don’t use public transport"/>
    <n v="0"/>
  </r>
  <r>
    <n v="21"/>
    <x v="0"/>
    <x v="0"/>
    <n v="4"/>
    <x v="0"/>
    <x v="2"/>
    <m/>
    <s v="Petrol"/>
    <m/>
    <m/>
    <m/>
    <m/>
    <m/>
    <n v="3"/>
    <n v="8"/>
    <n v="5"/>
    <m/>
    <m/>
    <m/>
    <m/>
    <m/>
    <m/>
    <n v="600"/>
    <s v="Indian Oil"/>
    <n v="4"/>
    <s v="College"/>
    <s v="Monthly"/>
    <s v="Bus"/>
    <n v="1"/>
  </r>
  <r>
    <n v="38"/>
    <x v="1"/>
    <x v="5"/>
    <n v="4"/>
    <x v="1"/>
    <x v="4"/>
    <s v="Petrol"/>
    <m/>
    <s v="Petrol"/>
    <m/>
    <n v="6"/>
    <n v="10"/>
    <n v="7"/>
    <m/>
    <m/>
    <m/>
    <n v="3"/>
    <n v="20"/>
    <n v="26"/>
    <m/>
    <m/>
    <m/>
    <n v="4900"/>
    <s v="BPCL"/>
    <n v="7"/>
    <s v="Office"/>
    <s v="Rarely"/>
    <s v="Auto"/>
    <n v="2"/>
  </r>
  <r>
    <n v="33"/>
    <x v="1"/>
    <x v="1"/>
    <n v="5"/>
    <x v="0"/>
    <x v="0"/>
    <s v="Petrol"/>
    <m/>
    <m/>
    <m/>
    <n v="9"/>
    <n v="6"/>
    <n v="5"/>
    <m/>
    <m/>
    <m/>
    <m/>
    <m/>
    <m/>
    <m/>
    <m/>
    <m/>
    <n v="650"/>
    <s v="HP"/>
    <n v="3"/>
    <s v="School pickup/drop"/>
    <s v="Weekly"/>
    <s v="Shared Rickshaw"/>
    <n v="0"/>
  </r>
  <r>
    <n v="29"/>
    <x v="1"/>
    <x v="2"/>
    <n v="3"/>
    <x v="0"/>
    <x v="0"/>
    <s v="Petrol"/>
    <m/>
    <m/>
    <m/>
    <n v="4"/>
    <n v="22"/>
    <n v="14"/>
    <m/>
    <m/>
    <m/>
    <m/>
    <m/>
    <m/>
    <m/>
    <m/>
    <m/>
    <n v="1700"/>
    <s v="Indian Oil"/>
    <n v="11"/>
    <s v="Office"/>
    <s v="Rarely"/>
    <s v="Bus"/>
    <n v="1"/>
  </r>
  <r>
    <n v="35"/>
    <x v="0"/>
    <x v="2"/>
    <n v="4"/>
    <x v="1"/>
    <x v="11"/>
    <m/>
    <s v="Petrol"/>
    <s v="Petrol"/>
    <m/>
    <m/>
    <m/>
    <m/>
    <n v="4"/>
    <n v="10"/>
    <n v="6"/>
    <n v="6"/>
    <n v="18"/>
    <n v="23"/>
    <m/>
    <m/>
    <m/>
    <n v="3800"/>
    <s v="BPCL"/>
    <n v="8"/>
    <s v="Business"/>
    <s v="Rarely"/>
    <s v="Bus"/>
    <n v="0"/>
  </r>
  <r>
    <n v="47"/>
    <x v="1"/>
    <x v="2"/>
    <n v="6"/>
    <x v="1"/>
    <x v="1"/>
    <s v="Petrol"/>
    <m/>
    <m/>
    <s v="Diesel"/>
    <n v="11"/>
    <n v="12"/>
    <n v="8"/>
    <m/>
    <m/>
    <m/>
    <m/>
    <m/>
    <m/>
    <n v="15"/>
    <n v="40"/>
    <n v="65"/>
    <n v="8700"/>
    <s v="HP"/>
    <n v="7"/>
    <s v="Agriculture-related"/>
    <s v="Never"/>
    <s v="I don’t use public transport"/>
    <n v="0"/>
  </r>
  <r>
    <n v="23"/>
    <x v="0"/>
    <x v="0"/>
    <n v="4"/>
    <x v="0"/>
    <x v="2"/>
    <m/>
    <s v="Petrol"/>
    <m/>
    <m/>
    <m/>
    <m/>
    <m/>
    <n v="1"/>
    <n v="7"/>
    <n v="4"/>
    <m/>
    <m/>
    <m/>
    <m/>
    <m/>
    <m/>
    <n v="500"/>
    <s v="Indian Oil"/>
    <n v="3"/>
    <s v="College"/>
    <s v="Monthly"/>
    <s v="Bus"/>
    <n v="2"/>
  </r>
  <r>
    <n v="22"/>
    <x v="1"/>
    <x v="1"/>
    <n v="4"/>
    <x v="1"/>
    <x v="1"/>
    <s v="Petrol"/>
    <m/>
    <m/>
    <s v="Diesel"/>
    <n v="7"/>
    <n v="22"/>
    <n v="9"/>
    <m/>
    <m/>
    <m/>
    <m/>
    <m/>
    <m/>
    <n v="4"/>
    <n v="40"/>
    <n v="50"/>
    <n v="4200"/>
    <s v="Indian Oil"/>
    <n v="6"/>
    <s v="Agriculture-related"/>
    <s v="Rarely"/>
    <s v="Bus"/>
    <n v="2"/>
  </r>
  <r>
    <n v="30"/>
    <x v="0"/>
    <x v="0"/>
    <n v="3"/>
    <x v="0"/>
    <x v="2"/>
    <m/>
    <s v="Petrol"/>
    <m/>
    <m/>
    <m/>
    <m/>
    <m/>
    <n v="3"/>
    <n v="10"/>
    <n v="5"/>
    <m/>
    <m/>
    <m/>
    <m/>
    <m/>
    <m/>
    <n v="1000"/>
    <s v="BPCL"/>
    <n v="5"/>
    <s v="College"/>
    <s v="Weekly"/>
    <s v="Auto"/>
    <n v="1"/>
  </r>
  <r>
    <n v="27"/>
    <x v="1"/>
    <x v="2"/>
    <n v="5"/>
    <x v="1"/>
    <x v="4"/>
    <s v="Petrol"/>
    <m/>
    <s v="Petrol"/>
    <m/>
    <n v="7"/>
    <n v="18"/>
    <n v="7"/>
    <m/>
    <m/>
    <m/>
    <n v="2"/>
    <n v="25"/>
    <n v="20"/>
    <m/>
    <m/>
    <m/>
    <n v="4800"/>
    <s v="BPCL"/>
    <n v="18"/>
    <s v="Office"/>
    <s v="Monthly"/>
    <s v="Bus"/>
    <n v="2"/>
  </r>
  <r>
    <n v="19"/>
    <x v="0"/>
    <x v="0"/>
    <n v="4"/>
    <x v="0"/>
    <x v="2"/>
    <m/>
    <s v="Petrol"/>
    <m/>
    <m/>
    <m/>
    <m/>
    <m/>
    <n v="1"/>
    <n v="12"/>
    <n v="6"/>
    <m/>
    <m/>
    <m/>
    <m/>
    <m/>
    <m/>
    <n v="900"/>
    <s v="No preference"/>
    <n v="4"/>
    <s v="College"/>
    <s v="Monthly"/>
    <s v="Bus"/>
    <n v="0"/>
  </r>
  <r>
    <n v="30"/>
    <x v="1"/>
    <x v="4"/>
    <n v="6"/>
    <x v="2"/>
    <x v="3"/>
    <s v="Petrol"/>
    <m/>
    <s v="Diesel"/>
    <s v="Diesel"/>
    <n v="10"/>
    <n v="15"/>
    <n v="6"/>
    <m/>
    <m/>
    <m/>
    <n v="5"/>
    <n v="20"/>
    <n v="18"/>
    <n v="8"/>
    <n v="30"/>
    <n v="40"/>
    <n v="9200"/>
    <s v="Indian Oil"/>
    <n v="10"/>
    <s v="Business"/>
    <s v="Never"/>
    <s v="I don’t use public transport"/>
    <n v="0"/>
  </r>
  <r>
    <n v="23"/>
    <x v="0"/>
    <x v="2"/>
    <n v="4"/>
    <x v="0"/>
    <x v="8"/>
    <m/>
    <m/>
    <s v="Petrol"/>
    <m/>
    <m/>
    <m/>
    <m/>
    <m/>
    <m/>
    <m/>
    <n v="3"/>
    <n v="30"/>
    <n v="25"/>
    <m/>
    <m/>
    <m/>
    <n v="3500"/>
    <s v="BPCL"/>
    <n v="12"/>
    <s v="Office"/>
    <s v="Rarely"/>
    <s v="Train"/>
    <n v="2"/>
  </r>
  <r>
    <n v="45"/>
    <x v="1"/>
    <x v="2"/>
    <n v="5"/>
    <x v="1"/>
    <x v="1"/>
    <s v="Petrol"/>
    <m/>
    <m/>
    <s v="Diesel"/>
    <n v="12"/>
    <n v="8"/>
    <n v="5"/>
    <m/>
    <m/>
    <m/>
    <m/>
    <m/>
    <m/>
    <n v="6"/>
    <n v="25"/>
    <n v="35"/>
    <n v="4000"/>
    <s v="HP"/>
    <n v="8"/>
    <s v="Agriculture-related"/>
    <s v="Rarely"/>
    <s v="Shared Rickshaw"/>
    <n v="0"/>
  </r>
  <r>
    <n v="24"/>
    <x v="0"/>
    <x v="2"/>
    <n v="4"/>
    <x v="0"/>
    <x v="2"/>
    <m/>
    <s v="Petrol"/>
    <m/>
    <m/>
    <m/>
    <m/>
    <m/>
    <n v="4"/>
    <n v="18"/>
    <n v="8"/>
    <m/>
    <m/>
    <m/>
    <m/>
    <m/>
    <m/>
    <n v="1600"/>
    <s v="Indian Oil"/>
    <n v="10"/>
    <s v="Office"/>
    <s v="Rarely"/>
    <s v="Auto"/>
    <n v="1"/>
  </r>
  <r>
    <n v="29"/>
    <x v="1"/>
    <x v="5"/>
    <n v="6"/>
    <x v="2"/>
    <x v="3"/>
    <s v="Petrol"/>
    <m/>
    <s v="Petrol"/>
    <s v="Diesel"/>
    <n v="7"/>
    <n v="20"/>
    <n v="8"/>
    <m/>
    <m/>
    <m/>
    <n v="1"/>
    <n v="35"/>
    <n v="30"/>
    <n v="2"/>
    <n v="45"/>
    <n v="40"/>
    <n v="12000"/>
    <s v="Shell"/>
    <n v="14"/>
    <s v="Business"/>
    <s v="Never"/>
    <s v="I don’t use public transport"/>
    <n v="0"/>
  </r>
  <r>
    <n v="21"/>
    <x v="0"/>
    <x v="0"/>
    <n v="4"/>
    <x v="0"/>
    <x v="2"/>
    <m/>
    <s v="Petrol"/>
    <m/>
    <m/>
    <m/>
    <m/>
    <m/>
    <n v="2"/>
    <n v="9"/>
    <n v="5"/>
    <m/>
    <m/>
    <m/>
    <m/>
    <m/>
    <m/>
    <n v="850"/>
    <s v="HP"/>
    <n v="3"/>
    <s v="College"/>
    <s v="Monthly"/>
    <s v="Bus"/>
    <n v="0"/>
  </r>
  <r>
    <n v="27"/>
    <x v="1"/>
    <x v="4"/>
    <n v="4"/>
    <x v="1"/>
    <x v="4"/>
    <s v="Petrol"/>
    <m/>
    <s v="Petrol"/>
    <m/>
    <n v="3"/>
    <n v="18"/>
    <n v="10"/>
    <m/>
    <m/>
    <m/>
    <n v="4"/>
    <n v="25"/>
    <n v="30"/>
    <m/>
    <m/>
    <m/>
    <n v="6000"/>
    <s v="Indian Oil"/>
    <n v="12"/>
    <s v="Office"/>
    <s v="Monthly"/>
    <s v="Bus"/>
    <n v="2"/>
  </r>
  <r>
    <n v="45"/>
    <x v="0"/>
    <x v="2"/>
    <n v="6"/>
    <x v="0"/>
    <x v="0"/>
    <s v="Petrol"/>
    <m/>
    <m/>
    <m/>
    <n v="7"/>
    <n v="6"/>
    <n v="4"/>
    <m/>
    <m/>
    <m/>
    <m/>
    <m/>
    <m/>
    <m/>
    <m/>
    <m/>
    <n v="550"/>
    <s v="HP"/>
    <n v="2"/>
    <s v="Market/Shopping"/>
    <s v="Weekly"/>
    <s v="Shared Rickshaw"/>
    <n v="1"/>
  </r>
  <r>
    <n v="29"/>
    <x v="1"/>
    <x v="3"/>
    <n v="4"/>
    <x v="2"/>
    <x v="9"/>
    <s v="Petrol"/>
    <m/>
    <s v="Petrol"/>
    <m/>
    <n v="2"/>
    <n v="10"/>
    <n v="6"/>
    <m/>
    <m/>
    <m/>
    <n v="3"/>
    <n v="30"/>
    <n v="35"/>
    <m/>
    <m/>
    <m/>
    <n v="9000"/>
    <s v="Shell"/>
    <n v="10"/>
    <s v="Office"/>
    <s v="Never"/>
    <s v="I don’t use public transport"/>
    <n v="1"/>
  </r>
  <r>
    <n v="37"/>
    <x v="0"/>
    <x v="5"/>
    <n v="3"/>
    <x v="1"/>
    <x v="11"/>
    <m/>
    <s v="Petrol"/>
    <s v="Diesel"/>
    <m/>
    <m/>
    <m/>
    <m/>
    <n v="1"/>
    <n v="8"/>
    <n v="5"/>
    <n v="5"/>
    <n v="22"/>
    <n v="28"/>
    <m/>
    <m/>
    <m/>
    <n v="5000"/>
    <s v="Indian Oil"/>
    <n v="14"/>
    <s v="Office"/>
    <s v="Rarely"/>
    <s v="Auto"/>
    <n v="2"/>
  </r>
  <r>
    <n v="24"/>
    <x v="1"/>
    <x v="1"/>
    <n v="4"/>
    <x v="0"/>
    <x v="0"/>
    <s v="Petrol"/>
    <m/>
    <m/>
    <m/>
    <n v="5"/>
    <n v="20"/>
    <n v="12"/>
    <m/>
    <m/>
    <m/>
    <m/>
    <m/>
    <m/>
    <m/>
    <m/>
    <m/>
    <n v="1500"/>
    <s v="BPCL"/>
    <n v="8"/>
    <s v="Office"/>
    <s v="Monthly"/>
    <s v="Bus"/>
    <n v="1"/>
  </r>
  <r>
    <n v="19"/>
    <x v="0"/>
    <x v="0"/>
    <n v="3"/>
    <x v="0"/>
    <x v="2"/>
    <m/>
    <s v="Petrol"/>
    <m/>
    <m/>
    <m/>
    <m/>
    <m/>
    <n v="2"/>
    <n v="7"/>
    <n v="4"/>
    <m/>
    <m/>
    <m/>
    <m/>
    <m/>
    <m/>
    <n v="550"/>
    <s v="Indian Oil"/>
    <n v="5"/>
    <s v="College"/>
    <s v="Rarely"/>
    <s v="Auto"/>
    <n v="2"/>
  </r>
  <r>
    <n v="34"/>
    <x v="1"/>
    <x v="4"/>
    <n v="5"/>
    <x v="1"/>
    <x v="1"/>
    <s v="Petrol"/>
    <m/>
    <m/>
    <s v="Diesel"/>
    <n v="9"/>
    <n v="10"/>
    <n v="7"/>
    <m/>
    <m/>
    <m/>
    <m/>
    <m/>
    <m/>
    <n v="6"/>
    <n v="35"/>
    <n v="55"/>
    <n v="7000"/>
    <s v="HP"/>
    <n v="9"/>
    <s v="Business"/>
    <s v="Never"/>
    <s v="I don’t use public transport"/>
    <n v="0"/>
  </r>
  <r>
    <n v="28"/>
    <x v="1"/>
    <x v="2"/>
    <n v="4"/>
    <x v="0"/>
    <x v="0"/>
    <s v="Petrol"/>
    <m/>
    <m/>
    <m/>
    <n v="3"/>
    <n v="24"/>
    <n v="13"/>
    <m/>
    <m/>
    <m/>
    <m/>
    <m/>
    <m/>
    <m/>
    <m/>
    <m/>
    <n v="1600"/>
    <s v="Indian Oil"/>
    <n v="10"/>
    <s v="Office"/>
    <s v="Rarely"/>
    <s v="Bus"/>
    <n v="1"/>
  </r>
  <r>
    <n v="22"/>
    <x v="0"/>
    <x v="0"/>
    <n v="5"/>
    <x v="0"/>
    <x v="2"/>
    <m/>
    <s v="Petrol"/>
    <m/>
    <m/>
    <m/>
    <m/>
    <m/>
    <n v="4"/>
    <n v="9"/>
    <n v="5"/>
    <m/>
    <m/>
    <m/>
    <m/>
    <m/>
    <m/>
    <n v="600"/>
    <s v="BPCL"/>
    <n v="4"/>
    <s v="College"/>
    <s v="Weekly"/>
    <s v="Shared Rickshaw"/>
    <n v="2"/>
  </r>
  <r>
    <n v="31"/>
    <x v="1"/>
    <x v="2"/>
    <n v="6"/>
    <x v="1"/>
    <x v="13"/>
    <s v="Petrol"/>
    <m/>
    <m/>
    <s v="Diesel"/>
    <n v="6"/>
    <n v="10"/>
    <n v="7"/>
    <m/>
    <m/>
    <m/>
    <m/>
    <m/>
    <m/>
    <n v="8"/>
    <n v="45"/>
    <n v="70"/>
    <n v="9000"/>
    <s v="HP"/>
    <n v="7"/>
    <s v="Agriculture-related"/>
    <s v="Never"/>
    <s v="I don’t use public transport"/>
    <n v="0"/>
  </r>
  <r>
    <n v="39"/>
    <x v="0"/>
    <x v="5"/>
    <n v="3"/>
    <x v="1"/>
    <x v="11"/>
    <m/>
    <s v="Petrol"/>
    <s v="Diesel"/>
    <m/>
    <m/>
    <m/>
    <m/>
    <n v="3"/>
    <n v="6"/>
    <n v="4"/>
    <n v="5"/>
    <n v="20"/>
    <n v="28"/>
    <m/>
    <m/>
    <m/>
    <n v="5200"/>
    <s v="Indian Oil"/>
    <n v="9"/>
    <s v="Office"/>
    <s v="Rarely"/>
    <s v="Auto"/>
    <n v="2"/>
  </r>
  <r>
    <n v="26"/>
    <x v="1"/>
    <x v="4"/>
    <n v="4"/>
    <x v="0"/>
    <x v="0"/>
    <s v="Petrol"/>
    <m/>
    <m/>
    <m/>
    <n v="4"/>
    <n v="26"/>
    <n v="15"/>
    <m/>
    <m/>
    <m/>
    <m/>
    <m/>
    <m/>
    <m/>
    <m/>
    <m/>
    <n v="1800"/>
    <s v="Reliance"/>
    <n v="11"/>
    <s v="Office"/>
    <s v="Monthly"/>
    <s v="Bus"/>
    <n v="1"/>
  </r>
  <r>
    <n v="42"/>
    <x v="1"/>
    <x v="1"/>
    <n v="6"/>
    <x v="2"/>
    <x v="3"/>
    <s v="Petrol"/>
    <m/>
    <s v="Petrol"/>
    <s v="Diesel"/>
    <n v="7"/>
    <n v="16"/>
    <n v="9"/>
    <m/>
    <m/>
    <m/>
    <n v="2"/>
    <n v="30"/>
    <n v="32"/>
    <n v="9"/>
    <n v="50"/>
    <n v="80"/>
    <n v="14000"/>
    <s v="Shell"/>
    <n v="12"/>
    <s v="Business"/>
    <s v="Never"/>
    <s v="I don’t use public transport"/>
    <n v="2"/>
  </r>
  <r>
    <n v="18"/>
    <x v="0"/>
    <x v="0"/>
    <n v="3"/>
    <x v="0"/>
    <x v="2"/>
    <m/>
    <s v="Petrol"/>
    <m/>
    <m/>
    <m/>
    <m/>
    <m/>
    <n v="1"/>
    <n v="8"/>
    <n v="4"/>
    <m/>
    <m/>
    <m/>
    <m/>
    <m/>
    <m/>
    <n v="500"/>
    <s v="Indian Oil"/>
    <n v="3"/>
    <s v="College"/>
    <s v="Weekly"/>
    <s v="Auto"/>
    <n v="1"/>
  </r>
  <r>
    <n v="30"/>
    <x v="1"/>
    <x v="0"/>
    <n v="5"/>
    <x v="0"/>
    <x v="0"/>
    <s v="Petrol"/>
    <m/>
    <m/>
    <m/>
    <n v="10"/>
    <n v="12"/>
    <n v="7"/>
    <m/>
    <m/>
    <m/>
    <m/>
    <m/>
    <m/>
    <m/>
    <m/>
    <m/>
    <n v="850"/>
    <s v="HP"/>
    <n v="5"/>
    <s v="Work"/>
    <s v="Monthly"/>
    <s v="Bus"/>
    <n v="0"/>
  </r>
  <r>
    <n v="21"/>
    <x v="0"/>
    <x v="0"/>
    <n v="4"/>
    <x v="0"/>
    <x v="2"/>
    <m/>
    <s v="Petrol"/>
    <m/>
    <m/>
    <m/>
    <m/>
    <m/>
    <n v="3"/>
    <n v="15"/>
    <n v="4"/>
    <m/>
    <m/>
    <m/>
    <m/>
    <m/>
    <m/>
    <n v="450"/>
    <s v="Indian Oil"/>
    <n v="15"/>
    <s v="College"/>
    <s v="Daily"/>
    <s v="Bus"/>
    <n v="0"/>
  </r>
  <r>
    <n v="25"/>
    <x v="0"/>
    <x v="1"/>
    <n v="4"/>
    <x v="0"/>
    <x v="2"/>
    <m/>
    <s v="Petrol"/>
    <m/>
    <m/>
    <m/>
    <m/>
    <m/>
    <n v="3"/>
    <n v="12"/>
    <n v="6"/>
    <m/>
    <m/>
    <m/>
    <m/>
    <m/>
    <m/>
    <n v="750"/>
    <s v="BPCL"/>
    <n v="6"/>
    <s v="Office"/>
    <s v="Rarely"/>
    <s v="Auto"/>
    <n v="1"/>
  </r>
  <r>
    <n v="33"/>
    <x v="1"/>
    <x v="2"/>
    <n v="6"/>
    <x v="1"/>
    <x v="1"/>
    <s v="Petrol"/>
    <m/>
    <m/>
    <s v="Diesel"/>
    <n v="5"/>
    <n v="14"/>
    <n v="9"/>
    <m/>
    <m/>
    <m/>
    <m/>
    <m/>
    <m/>
    <n v="11"/>
    <n v="40"/>
    <n v="62"/>
    <n v="8200"/>
    <s v="HP"/>
    <n v="9"/>
    <s v="Agriculture-related"/>
    <s v="Never"/>
    <s v="I don’t use public transport"/>
    <n v="0"/>
  </r>
  <r>
    <n v="21"/>
    <x v="0"/>
    <x v="0"/>
    <n v="6"/>
    <x v="0"/>
    <x v="0"/>
    <s v="Petrol"/>
    <m/>
    <m/>
    <m/>
    <n v="5"/>
    <n v="7"/>
    <n v="5"/>
    <m/>
    <m/>
    <m/>
    <m/>
    <m/>
    <m/>
    <m/>
    <m/>
    <m/>
    <n v="1500"/>
    <s v="Indian Oil"/>
    <n v="7"/>
    <s v="College"/>
    <s v="Rarely"/>
    <s v="Bus"/>
    <n v="0"/>
  </r>
  <r>
    <n v="21"/>
    <x v="1"/>
    <x v="0"/>
    <n v="4"/>
    <x v="1"/>
    <x v="10"/>
    <s v="Petrol"/>
    <s v="Petrol"/>
    <m/>
    <m/>
    <n v="3"/>
    <n v="40"/>
    <n v="20"/>
    <n v="5"/>
    <n v="30"/>
    <n v="11"/>
    <m/>
    <m/>
    <m/>
    <m/>
    <m/>
    <m/>
    <n v="3000"/>
    <s v="Indian Oil"/>
    <n v="7"/>
    <s v="College"/>
    <s v="Monthly"/>
    <s v="Bus"/>
    <n v="2"/>
  </r>
  <r>
    <n v="24"/>
    <x v="0"/>
    <x v="1"/>
    <n v="5"/>
    <x v="2"/>
    <x v="2"/>
    <m/>
    <s v="Petrol"/>
    <m/>
    <m/>
    <m/>
    <m/>
    <m/>
    <n v="1"/>
    <n v="10"/>
    <n v="10"/>
    <m/>
    <m/>
    <m/>
    <m/>
    <m/>
    <m/>
    <n v="500"/>
    <s v="Indian Oil"/>
    <n v="1"/>
    <s v="College"/>
    <s v="Rarely"/>
    <s v="Bus"/>
    <n v="1"/>
  </r>
  <r>
    <n v="25"/>
    <x v="0"/>
    <x v="0"/>
    <n v="4"/>
    <x v="1"/>
    <x v="0"/>
    <s v="Petrol"/>
    <m/>
    <m/>
    <m/>
    <n v="20"/>
    <n v="20"/>
    <n v="20"/>
    <m/>
    <m/>
    <m/>
    <m/>
    <m/>
    <m/>
    <m/>
    <m/>
    <m/>
    <n v="20000"/>
    <s v="Indian Oil"/>
    <n v="10"/>
    <s v="College"/>
    <s v="Daily"/>
    <s v="Bus, Auto"/>
    <n v="1"/>
  </r>
  <r>
    <n v="21"/>
    <x v="0"/>
    <x v="0"/>
    <n v="4"/>
    <x v="1"/>
    <x v="8"/>
    <m/>
    <m/>
    <s v="Diesel"/>
    <m/>
    <m/>
    <m/>
    <m/>
    <m/>
    <m/>
    <m/>
    <n v="5"/>
    <n v="24"/>
    <n v="24"/>
    <m/>
    <m/>
    <m/>
    <n v="850"/>
    <s v="Indian Oil"/>
    <n v="1"/>
    <s v="Office"/>
    <s v="Daily"/>
    <s v="Bus"/>
    <n v="0"/>
  </r>
  <r>
    <n v="25"/>
    <x v="0"/>
    <x v="1"/>
    <n v="5"/>
    <x v="1"/>
    <x v="2"/>
    <m/>
    <s v="Petrol"/>
    <m/>
    <m/>
    <m/>
    <m/>
    <m/>
    <n v="3"/>
    <n v="10"/>
    <n v="20"/>
    <m/>
    <m/>
    <m/>
    <m/>
    <m/>
    <m/>
    <n v="1000"/>
    <s v="HP"/>
    <n v="10"/>
    <s v="College"/>
    <s v="Never"/>
    <s v="I don’t use public transport"/>
    <n v="2"/>
  </r>
  <r>
    <n v="35"/>
    <x v="0"/>
    <x v="3"/>
    <n v="4"/>
    <x v="1"/>
    <x v="10"/>
    <s v="Petrol"/>
    <s v="Petrol"/>
    <m/>
    <m/>
    <n v="6"/>
    <n v="120"/>
    <n v="90"/>
    <n v="11"/>
    <n v="1"/>
    <n v="15"/>
    <m/>
    <m/>
    <m/>
    <m/>
    <m/>
    <m/>
    <n v="10000"/>
    <s v="BPCL"/>
    <n v="6"/>
    <s v="Office"/>
    <s v="Never"/>
    <s v="I don’t use public transport"/>
    <n v="2"/>
  </r>
  <r>
    <n v="21"/>
    <x v="0"/>
    <x v="0"/>
    <n v="4"/>
    <x v="0"/>
    <x v="0"/>
    <s v="Petrol"/>
    <m/>
    <m/>
    <m/>
    <n v="3"/>
    <n v="10"/>
    <n v="10"/>
    <m/>
    <m/>
    <m/>
    <m/>
    <m/>
    <m/>
    <m/>
    <m/>
    <m/>
    <n v="1000"/>
    <s v="Indian Oil"/>
    <n v="10"/>
    <s v="Agriculture-related"/>
    <s v="Daily"/>
    <s v="Bus"/>
    <n v="0"/>
  </r>
  <r>
    <n v="21"/>
    <x v="1"/>
    <x v="0"/>
    <n v="5"/>
    <x v="1"/>
    <x v="10"/>
    <s v="Petrol"/>
    <s v="Petrol"/>
    <m/>
    <m/>
    <n v="11"/>
    <n v="15"/>
    <n v="30"/>
    <n v="5"/>
    <n v="5"/>
    <n v="19"/>
    <m/>
    <m/>
    <m/>
    <m/>
    <m/>
    <m/>
    <n v="5500"/>
    <s v="Indian Oil"/>
    <n v="15"/>
    <s v="Agriculture-related"/>
    <s v="Weekly"/>
    <s v="Bus"/>
    <n v="0"/>
  </r>
  <r>
    <n v="21"/>
    <x v="0"/>
    <x v="0"/>
    <n v="3"/>
    <x v="0"/>
    <x v="2"/>
    <m/>
    <s v="Petrol"/>
    <m/>
    <m/>
    <m/>
    <m/>
    <m/>
    <n v="10"/>
    <n v="8"/>
    <n v="4"/>
    <m/>
    <m/>
    <m/>
    <m/>
    <m/>
    <m/>
    <n v="400"/>
    <s v="HP"/>
    <n v="4"/>
    <s v="School pickup/drop"/>
    <s v="Rarely"/>
    <s v="Bus"/>
    <n v="1"/>
  </r>
  <r>
    <n v="21"/>
    <x v="0"/>
    <x v="0"/>
    <n v="3"/>
    <x v="2"/>
    <x v="6"/>
    <s v="Petrol"/>
    <s v="Petrol"/>
    <s v="Diesel"/>
    <m/>
    <n v="10"/>
    <n v="4"/>
    <n v="30"/>
    <n v="4"/>
    <n v="25"/>
    <n v="15"/>
    <n v="8"/>
    <n v="15"/>
    <n v="45"/>
    <m/>
    <m/>
    <m/>
    <n v="7000"/>
    <s v="Indian Oil"/>
    <n v="22"/>
    <s v="College"/>
    <s v="Daily"/>
    <s v="Bus"/>
    <n v="0"/>
  </r>
  <r>
    <n v="21"/>
    <x v="0"/>
    <x v="0"/>
    <n v="6"/>
    <x v="0"/>
    <x v="0"/>
    <s v="Petrol"/>
    <m/>
    <m/>
    <m/>
    <n v="6"/>
    <n v="12"/>
    <n v="8"/>
    <m/>
    <m/>
    <m/>
    <m/>
    <m/>
    <m/>
    <m/>
    <m/>
    <m/>
    <n v="850"/>
    <s v="Indian Oil"/>
    <n v="6"/>
    <s v="Work"/>
    <s v="Weekly"/>
    <s v="Bus"/>
    <n v="1"/>
  </r>
  <r>
    <n v="22"/>
    <x v="1"/>
    <x v="0"/>
    <n v="4"/>
    <x v="2"/>
    <x v="6"/>
    <s v="Petrol"/>
    <s v="Petrol"/>
    <s v="Petrol"/>
    <m/>
    <n v="1"/>
    <n v="50"/>
    <n v="30"/>
    <n v="1"/>
    <n v="50"/>
    <n v="30"/>
    <n v="6"/>
    <n v="10"/>
    <n v="15"/>
    <m/>
    <m/>
    <m/>
    <n v="7500"/>
    <s v="HP"/>
    <n v="15"/>
    <s v="Office"/>
    <s v="Daily"/>
    <s v="Bus, Auto"/>
    <n v="1"/>
  </r>
  <r>
    <n v="21"/>
    <x v="1"/>
    <x v="4"/>
    <n v="5"/>
    <x v="0"/>
    <x v="2"/>
    <m/>
    <s v="Petrol"/>
    <m/>
    <m/>
    <m/>
    <m/>
    <m/>
    <n v="4"/>
    <n v="12"/>
    <n v="12"/>
    <m/>
    <m/>
    <m/>
    <m/>
    <m/>
    <m/>
    <n v="750"/>
    <s v="Indian Oil"/>
    <n v="6"/>
    <s v="Work"/>
    <s v="Never"/>
    <s v="I don’t use public transport"/>
    <n v="1"/>
  </r>
  <r>
    <n v="25"/>
    <x v="0"/>
    <x v="1"/>
    <n v="5"/>
    <x v="0"/>
    <x v="0"/>
    <s v="Petrol"/>
    <m/>
    <m/>
    <m/>
    <n v="9"/>
    <n v="14"/>
    <n v="15"/>
    <m/>
    <m/>
    <m/>
    <m/>
    <m/>
    <m/>
    <m/>
    <m/>
    <m/>
    <n v="2000"/>
    <s v="HP"/>
    <n v="5"/>
    <s v="Work"/>
    <s v="Rarely"/>
    <s v="Bus, Shared Rickshaw, Private Bus"/>
    <n v="1"/>
  </r>
  <r>
    <n v="36"/>
    <x v="0"/>
    <x v="1"/>
    <n v="4"/>
    <x v="1"/>
    <x v="10"/>
    <s v="Petrol"/>
    <s v="Petrol"/>
    <m/>
    <m/>
    <n v="5"/>
    <n v="12"/>
    <n v="30"/>
    <n v="3"/>
    <n v="10"/>
    <n v="15"/>
    <m/>
    <m/>
    <m/>
    <m/>
    <m/>
    <m/>
    <n v="4000"/>
    <s v="Indian Oil"/>
    <n v="3"/>
    <s v="Market/Shopping"/>
    <s v="Never"/>
    <s v="I don’t use public transport"/>
    <n v="1"/>
  </r>
  <r>
    <n v="39"/>
    <x v="1"/>
    <x v="5"/>
    <n v="5"/>
    <x v="1"/>
    <x v="10"/>
    <s v="Petrol"/>
    <s v="Petrol"/>
    <m/>
    <m/>
    <n v="38"/>
    <n v="5"/>
    <n v="5"/>
    <n v="14"/>
    <n v="1"/>
    <n v="2"/>
    <m/>
    <m/>
    <m/>
    <m/>
    <m/>
    <m/>
    <n v="1000"/>
    <s v="Indian Oil"/>
    <n v="2"/>
    <s v="College"/>
    <s v="Weekly"/>
    <s v="Bus"/>
    <n v="0"/>
  </r>
  <r>
    <n v="21"/>
    <x v="0"/>
    <x v="2"/>
    <n v="4"/>
    <x v="1"/>
    <x v="10"/>
    <s v="Petrol"/>
    <s v="Petrol"/>
    <m/>
    <m/>
    <n v="20"/>
    <n v="1"/>
    <n v="5"/>
    <n v="25"/>
    <n v="5"/>
    <n v="10"/>
    <m/>
    <m/>
    <m/>
    <m/>
    <m/>
    <m/>
    <n v="1000"/>
    <s v="Indian Oil"/>
    <n v="1"/>
    <s v="School pickup/drop"/>
    <s v="Weekly"/>
    <s v="Bus, Auto"/>
    <n v="0"/>
  </r>
  <r>
    <n v="20"/>
    <x v="0"/>
    <x v="2"/>
    <n v="5"/>
    <x v="0"/>
    <x v="0"/>
    <s v="Petrol"/>
    <m/>
    <m/>
    <m/>
    <n v="35"/>
    <n v="20"/>
    <n v="10"/>
    <m/>
    <m/>
    <m/>
    <m/>
    <m/>
    <m/>
    <m/>
    <m/>
    <m/>
    <n v="1000"/>
    <s v="Indian Oil"/>
    <n v="7"/>
    <s v="Work"/>
    <s v="Never"/>
    <s v="I don’t use public transport"/>
    <n v="0"/>
  </r>
  <r>
    <n v="20"/>
    <x v="0"/>
    <x v="1"/>
    <n v="10"/>
    <x v="2"/>
    <x v="10"/>
    <s v="Petrol"/>
    <s v="Petrol"/>
    <m/>
    <m/>
    <n v="25"/>
    <n v="50"/>
    <n v="8"/>
    <n v="3"/>
    <n v="8"/>
    <n v="6"/>
    <m/>
    <m/>
    <m/>
    <m/>
    <m/>
    <m/>
    <n v="1500"/>
    <s v="Indian Oil"/>
    <n v="35"/>
    <s v="Work"/>
    <s v="Weekly"/>
    <s v="Bus, Shared Rickshaw"/>
    <n v="0"/>
  </r>
  <r>
    <n v="21"/>
    <x v="0"/>
    <x v="0"/>
    <n v="5"/>
    <x v="1"/>
    <x v="0"/>
    <s v="Petrol"/>
    <m/>
    <m/>
    <m/>
    <n v="5"/>
    <n v="25"/>
    <n v="53"/>
    <m/>
    <m/>
    <m/>
    <m/>
    <m/>
    <m/>
    <m/>
    <m/>
    <m/>
    <n v="5000"/>
    <s v="No preference"/>
    <n v="6"/>
    <s v="Work"/>
    <s v="Never"/>
    <s v="I don’t use public transport"/>
    <n v="2"/>
  </r>
  <r>
    <n v="21"/>
    <x v="0"/>
    <x v="0"/>
    <n v="4"/>
    <x v="0"/>
    <x v="0"/>
    <s v="Petrol"/>
    <m/>
    <m/>
    <m/>
    <n v="4"/>
    <n v="10"/>
    <n v="10"/>
    <m/>
    <m/>
    <m/>
    <m/>
    <m/>
    <m/>
    <m/>
    <m/>
    <m/>
    <n v="1000"/>
    <s v="Indian Oil"/>
    <n v="10"/>
    <s v="Work"/>
    <s v="Daily"/>
    <s v="Bus"/>
    <n v="1"/>
  </r>
  <r>
    <n v="21"/>
    <x v="0"/>
    <x v="0"/>
    <n v="4"/>
    <x v="1"/>
    <x v="0"/>
    <s v="Petrol"/>
    <m/>
    <m/>
    <m/>
    <n v="3"/>
    <n v="15"/>
    <n v="30"/>
    <m/>
    <m/>
    <m/>
    <m/>
    <m/>
    <m/>
    <m/>
    <m/>
    <m/>
    <n v="1000"/>
    <s v="Indian Oil"/>
    <n v="6"/>
    <s v="Work"/>
    <s v="Never"/>
    <s v="I don’t use public transport"/>
    <n v="0"/>
  </r>
  <r>
    <n v="22"/>
    <x v="0"/>
    <x v="0"/>
    <n v="6"/>
    <x v="1"/>
    <x v="10"/>
    <s v="Petrol"/>
    <s v="Petrol"/>
    <m/>
    <m/>
    <n v="1"/>
    <n v="22"/>
    <n v="30"/>
    <n v="1"/>
    <n v="22"/>
    <n v="30"/>
    <m/>
    <m/>
    <m/>
    <m/>
    <m/>
    <m/>
    <n v="1500"/>
    <s v="Indian Oil"/>
    <n v="6"/>
    <s v="Work"/>
    <s v="Never"/>
    <s v="I don’t use public transport"/>
    <n v="0"/>
  </r>
  <r>
    <n v="22"/>
    <x v="0"/>
    <x v="0"/>
    <n v="4"/>
    <x v="1"/>
    <x v="0"/>
    <s v="Petrol"/>
    <m/>
    <m/>
    <m/>
    <n v="15"/>
    <n v="18"/>
    <n v="30"/>
    <m/>
    <m/>
    <m/>
    <m/>
    <m/>
    <m/>
    <m/>
    <m/>
    <m/>
    <n v="550"/>
    <s v="Indian Oil"/>
    <n v="6"/>
    <s v="Work"/>
    <s v="Never"/>
    <s v="I don’t use public transport"/>
    <n v="0"/>
  </r>
  <r>
    <n v="21"/>
    <x v="1"/>
    <x v="0"/>
    <n v="6"/>
    <x v="0"/>
    <x v="0"/>
    <s v="Petrol"/>
    <m/>
    <m/>
    <m/>
    <n v="30"/>
    <n v="18"/>
    <n v="20"/>
    <m/>
    <m/>
    <m/>
    <m/>
    <m/>
    <m/>
    <m/>
    <m/>
    <m/>
    <n v="1000"/>
    <s v="Indian Oil"/>
    <n v="6"/>
    <s v="Work"/>
    <s v="Never"/>
    <s v="I don’t use public transport"/>
    <n v="0"/>
  </r>
  <r>
    <n v="21"/>
    <x v="0"/>
    <x v="2"/>
    <n v="4"/>
    <x v="1"/>
    <x v="8"/>
    <m/>
    <m/>
    <s v="Diesel"/>
    <m/>
    <m/>
    <m/>
    <m/>
    <m/>
    <m/>
    <m/>
    <n v="5"/>
    <n v="10"/>
    <n v="5"/>
    <m/>
    <m/>
    <m/>
    <n v="950"/>
    <s v="Indian Oil"/>
    <n v="5"/>
    <s v="Business"/>
    <s v="Daily"/>
    <s v="Bus, Auto, Private Bus, Train"/>
    <n v="0"/>
  </r>
  <r>
    <n v="21"/>
    <x v="0"/>
    <x v="1"/>
    <n v="4"/>
    <x v="0"/>
    <x v="0"/>
    <s v="Petrol"/>
    <m/>
    <m/>
    <m/>
    <n v="6"/>
    <n v="12"/>
    <n v="8"/>
    <m/>
    <m/>
    <m/>
    <m/>
    <m/>
    <m/>
    <m/>
    <m/>
    <m/>
    <n v="550"/>
    <s v="HP"/>
    <n v="40"/>
    <s v="Work"/>
    <s v="Daily"/>
    <s v="Bus"/>
    <n v="2"/>
  </r>
  <r>
    <n v="28"/>
    <x v="1"/>
    <x v="2"/>
    <n v="4"/>
    <x v="1"/>
    <x v="4"/>
    <s v="Petrol"/>
    <m/>
    <s v="Petrol"/>
    <m/>
    <n v="3"/>
    <n v="15"/>
    <n v="3.5"/>
    <m/>
    <m/>
    <m/>
    <n v="7"/>
    <n v="20"/>
    <n v="25"/>
    <m/>
    <m/>
    <m/>
    <n v="6000"/>
    <s v="Indian Oil"/>
    <n v="10"/>
    <s v="Office"/>
    <s v="Rarely"/>
    <s v="Bus"/>
    <n v="2"/>
  </r>
  <r>
    <n v="42"/>
    <x v="0"/>
    <x v="4"/>
    <n v="5"/>
    <x v="0"/>
    <x v="2"/>
    <m/>
    <s v="Petrol"/>
    <m/>
    <m/>
    <m/>
    <m/>
    <m/>
    <n v="5"/>
    <n v="14"/>
    <n v="15"/>
    <m/>
    <m/>
    <m/>
    <m/>
    <m/>
    <m/>
    <n v="1800"/>
    <s v="HP"/>
    <n v="7"/>
    <s v="Office"/>
    <s v="Never"/>
    <s v="I don’t use public transport"/>
    <n v="0"/>
  </r>
  <r>
    <n v="19"/>
    <x v="1"/>
    <x v="0"/>
    <n v="6"/>
    <x v="0"/>
    <x v="0"/>
    <s v="Petrol"/>
    <m/>
    <m/>
    <m/>
    <n v="6"/>
    <n v="8"/>
    <n v="4"/>
    <m/>
    <m/>
    <m/>
    <m/>
    <m/>
    <m/>
    <m/>
    <m/>
    <m/>
    <n v="400"/>
    <s v="No preference"/>
    <n v="4"/>
    <s v="College"/>
    <s v="Never"/>
    <s v="I don’t use public transport"/>
    <n v="0"/>
  </r>
  <r>
    <n v="33"/>
    <x v="0"/>
    <x v="2"/>
    <n v="5"/>
    <x v="2"/>
    <x v="9"/>
    <s v="Petrol"/>
    <m/>
    <s v="Petrol"/>
    <m/>
    <n v="2"/>
    <n v="12"/>
    <n v="3.5"/>
    <m/>
    <m/>
    <m/>
    <n v="4"/>
    <n v="25"/>
    <n v="30"/>
    <m/>
    <m/>
    <m/>
    <n v="4500"/>
    <s v="BPCL"/>
    <n v="12"/>
    <s v="Office"/>
    <s v="Monthly"/>
    <s v="Bus"/>
    <n v="0"/>
  </r>
  <r>
    <n v="28"/>
    <x v="1"/>
    <x v="2"/>
    <n v="4"/>
    <x v="1"/>
    <x v="4"/>
    <s v="Petrol"/>
    <m/>
    <s v="Diesel"/>
    <m/>
    <n v="5"/>
    <n v="18"/>
    <n v="10"/>
    <m/>
    <m/>
    <m/>
    <n v="3"/>
    <n v="25"/>
    <n v="35"/>
    <m/>
    <m/>
    <m/>
    <n v="4500"/>
    <s v="Indian Oil"/>
    <n v="12"/>
    <s v="Agriculture-related"/>
    <s v="Rarely"/>
    <s v="Bus"/>
    <n v="2"/>
  </r>
  <r>
    <n v="32"/>
    <x v="0"/>
    <x v="4"/>
    <n v="3"/>
    <x v="0"/>
    <x v="2"/>
    <m/>
    <s v="Petrol"/>
    <m/>
    <m/>
    <m/>
    <m/>
    <m/>
    <n v="2"/>
    <n v="14"/>
    <n v="8"/>
    <m/>
    <m/>
    <m/>
    <m/>
    <m/>
    <m/>
    <n v="900"/>
    <s v="HP"/>
    <n v="7"/>
    <s v="Office"/>
    <s v="Rarely"/>
    <s v="Bus"/>
    <n v="0"/>
  </r>
  <r>
    <n v="35"/>
    <x v="1"/>
    <x v="3"/>
    <n v="4"/>
    <x v="2"/>
    <x v="3"/>
    <s v="Petrol"/>
    <m/>
    <s v="Diesel"/>
    <s v="Diesel"/>
    <n v="6"/>
    <n v="12"/>
    <n v="7"/>
    <m/>
    <m/>
    <m/>
    <n v="4"/>
    <n v="30"/>
    <n v="40"/>
    <n v="8"/>
    <n v="75"/>
    <n v="1"/>
    <n v="14000"/>
    <s v="HP"/>
    <n v="6"/>
    <s v="Work"/>
    <s v="Never"/>
    <s v="I don’t use public transport"/>
    <n v="2"/>
  </r>
  <r>
    <n v="22"/>
    <x v="0"/>
    <x v="0"/>
    <n v="5"/>
    <x v="0"/>
    <x v="0"/>
    <s v="Petrol"/>
    <m/>
    <m/>
    <m/>
    <n v="3"/>
    <n v="10"/>
    <n v="7"/>
    <m/>
    <m/>
    <m/>
    <m/>
    <m/>
    <m/>
    <m/>
    <m/>
    <m/>
    <n v="750"/>
    <s v="Indian Oil"/>
    <n v="5"/>
    <s v="College"/>
    <s v="Weekly"/>
    <s v="Auto"/>
    <n v="0"/>
  </r>
  <r>
    <n v="46"/>
    <x v="1"/>
    <x v="4"/>
    <n v="6"/>
    <x v="1"/>
    <x v="1"/>
    <s v="Petrol"/>
    <m/>
    <m/>
    <s v="Diesel"/>
    <n v="10"/>
    <n v="4"/>
    <n v="3"/>
    <m/>
    <m/>
    <m/>
    <m/>
    <m/>
    <m/>
    <n v="12"/>
    <n v="45"/>
    <n v="70"/>
    <n v="7000"/>
    <s v="No preference"/>
    <n v="20"/>
    <s v="Office"/>
    <s v="Never"/>
    <s v="I don’t use public transport"/>
    <n v="0"/>
  </r>
  <r>
    <n v="24"/>
    <x v="0"/>
    <x v="2"/>
    <n v="3"/>
    <x v="0"/>
    <x v="2"/>
    <m/>
    <s v="Petrol"/>
    <m/>
    <m/>
    <m/>
    <m/>
    <m/>
    <n v="1"/>
    <n v="20"/>
    <n v="9"/>
    <m/>
    <m/>
    <m/>
    <m/>
    <m/>
    <m/>
    <n v="1200"/>
    <s v="Shell"/>
    <n v="6"/>
    <s v="Office"/>
    <s v="Weekly"/>
    <s v="Shared Rickshaw"/>
    <n v="1"/>
  </r>
  <r>
    <n v="29"/>
    <x v="1"/>
    <x v="3"/>
    <n v="4"/>
    <x v="2"/>
    <x v="3"/>
    <s v="Petrol"/>
    <m/>
    <s v="Diesel"/>
    <s v="Diesel"/>
    <n v="4"/>
    <n v="15"/>
    <n v="8"/>
    <m/>
    <m/>
    <m/>
    <n v="7"/>
    <n v="35"/>
    <n v="38"/>
    <n v="5"/>
    <n v="50"/>
    <n v="85"/>
    <n v="12500"/>
    <s v="Indian Oil"/>
    <n v="14"/>
    <s v="Business"/>
    <s v="Never"/>
    <s v="I don’t use public transport"/>
    <n v="0"/>
  </r>
  <r>
    <n v="30"/>
    <x v="0"/>
    <x v="1"/>
    <n v="5"/>
    <x v="0"/>
    <x v="8"/>
    <m/>
    <m/>
    <s v="Petrol"/>
    <m/>
    <m/>
    <m/>
    <m/>
    <m/>
    <m/>
    <m/>
    <n v="3"/>
    <n v="8"/>
    <n v="20"/>
    <m/>
    <m/>
    <m/>
    <n v="3000"/>
    <s v="Indian Oil"/>
    <n v="3"/>
    <s v="Market/Shopping"/>
    <s v="Monthly"/>
    <s v="Shared Rickshaw"/>
    <n v="0"/>
  </r>
  <r>
    <n v="37"/>
    <x v="1"/>
    <x v="2"/>
    <n v="5"/>
    <x v="1"/>
    <x v="1"/>
    <s v="Petrol"/>
    <m/>
    <m/>
    <s v="Diesel"/>
    <n v="8"/>
    <n v="10"/>
    <n v="5"/>
    <m/>
    <m/>
    <m/>
    <m/>
    <m/>
    <m/>
    <n v="11"/>
    <n v="40"/>
    <n v="75"/>
    <n v="8000"/>
    <s v="BPCL"/>
    <n v="10"/>
    <s v="Agriculture-related"/>
    <s v="Rarely"/>
    <s v="Shared Rickshaw"/>
    <n v="1"/>
  </r>
  <r>
    <n v="23"/>
    <x v="0"/>
    <x v="0"/>
    <n v="3"/>
    <x v="0"/>
    <x v="2"/>
    <m/>
    <s v="Petrol"/>
    <m/>
    <m/>
    <m/>
    <m/>
    <m/>
    <n v="3"/>
    <n v="12"/>
    <n v="7"/>
    <m/>
    <m/>
    <m/>
    <m/>
    <m/>
    <m/>
    <n v="900"/>
    <s v="HP"/>
    <n v="4"/>
    <s v="College"/>
    <s v="Monthly"/>
    <s v="Bus"/>
    <n v="1"/>
  </r>
  <r>
    <n v="25"/>
    <x v="1"/>
    <x v="2"/>
    <n v="4"/>
    <x v="0"/>
    <x v="0"/>
    <s v="Petrol"/>
    <m/>
    <m/>
    <m/>
    <n v="3"/>
    <n v="22"/>
    <n v="12"/>
    <m/>
    <m/>
    <m/>
    <m/>
    <m/>
    <m/>
    <m/>
    <m/>
    <m/>
    <n v="1400"/>
    <s v="Indian Oil"/>
    <n v="11"/>
    <s v="Office"/>
    <s v="Rarely"/>
    <s v="Bus"/>
    <n v="2"/>
  </r>
  <r>
    <n v="23"/>
    <x v="0"/>
    <x v="0"/>
    <n v="4"/>
    <x v="0"/>
    <x v="2"/>
    <m/>
    <s v="Petrol"/>
    <m/>
    <m/>
    <m/>
    <m/>
    <m/>
    <n v="2"/>
    <n v="9"/>
    <n v="5"/>
    <m/>
    <m/>
    <m/>
    <m/>
    <m/>
    <m/>
    <n v="600"/>
    <s v="BPCL"/>
    <n v="5"/>
    <s v="College"/>
    <s v="Monthly"/>
    <s v="Bus"/>
    <n v="0"/>
  </r>
  <r>
    <n v="29"/>
    <x v="1"/>
    <x v="2"/>
    <n v="6"/>
    <x v="1"/>
    <x v="1"/>
    <s v="Petrol"/>
    <m/>
    <m/>
    <s v="Diesel"/>
    <n v="9"/>
    <n v="10"/>
    <n v="6"/>
    <m/>
    <m/>
    <m/>
    <m/>
    <m/>
    <m/>
    <n v="11"/>
    <n v="35"/>
    <n v="65"/>
    <n v="7800"/>
    <s v="HP"/>
    <n v="8"/>
    <s v="Agriculture-related"/>
    <s v="Rarely"/>
    <s v="Bus"/>
    <n v="0"/>
  </r>
  <r>
    <n v="32"/>
    <x v="0"/>
    <x v="4"/>
    <n v="2"/>
    <x v="0"/>
    <x v="8"/>
    <m/>
    <m/>
    <s v="Petrol"/>
    <m/>
    <m/>
    <m/>
    <m/>
    <m/>
    <m/>
    <m/>
    <n v="5"/>
    <n v="24"/>
    <n v="24"/>
    <m/>
    <m/>
    <m/>
    <n v="3200"/>
    <s v="Shell"/>
    <n v="9"/>
    <s v="Office"/>
    <s v="Weekly"/>
    <s v="Auto"/>
    <n v="1"/>
  </r>
  <r>
    <n v="35"/>
    <x v="1"/>
    <x v="3"/>
    <n v="5"/>
    <x v="2"/>
    <x v="3"/>
    <s v="Petrol"/>
    <m/>
    <s v="Diesel"/>
    <s v="Diesel"/>
    <n v="7"/>
    <n v="14"/>
    <n v="8"/>
    <m/>
    <m/>
    <m/>
    <n v="5"/>
    <n v="30"/>
    <n v="28"/>
    <n v="10"/>
    <n v="60"/>
    <n v="95"/>
    <n v="13200"/>
    <s v="Indian Oil"/>
    <n v="13"/>
    <s v="Business"/>
    <s v="Never"/>
    <s v="I don’t use public transport"/>
    <n v="0"/>
  </r>
  <r>
    <n v="27"/>
    <x v="0"/>
    <x v="1"/>
    <n v="4"/>
    <x v="0"/>
    <x v="2"/>
    <m/>
    <s v="Petrol"/>
    <m/>
    <m/>
    <m/>
    <m/>
    <m/>
    <n v="3"/>
    <n v="6"/>
    <n v="4"/>
    <m/>
    <m/>
    <m/>
    <m/>
    <m/>
    <m/>
    <n v="500"/>
    <s v="HP"/>
    <n v="3"/>
    <s v="School pickup/drop"/>
    <s v="Monthly"/>
    <s v="Shared Rickshaw"/>
    <n v="1"/>
  </r>
  <r>
    <n v="33"/>
    <x v="1"/>
    <x v="2"/>
    <n v="4"/>
    <x v="1"/>
    <x v="4"/>
    <s v="Petrol"/>
    <m/>
    <s v="Petrol"/>
    <m/>
    <n v="6"/>
    <n v="8"/>
    <n v="5"/>
    <m/>
    <m/>
    <m/>
    <n v="4"/>
    <n v="22"/>
    <n v="20"/>
    <m/>
    <m/>
    <m/>
    <n v="3800"/>
    <s v="BPCL"/>
    <n v="14"/>
    <s v="Office"/>
    <s v="Rarely"/>
    <s v="Bus"/>
    <n v="0"/>
  </r>
  <r>
    <n v="21"/>
    <x v="0"/>
    <x v="0"/>
    <n v="5"/>
    <x v="0"/>
    <x v="0"/>
    <s v="Petrol"/>
    <m/>
    <m/>
    <m/>
    <n v="2"/>
    <n v="12"/>
    <n v="7"/>
    <m/>
    <m/>
    <m/>
    <m/>
    <m/>
    <m/>
    <m/>
    <m/>
    <m/>
    <n v="850"/>
    <s v="Reliance"/>
    <n v="6"/>
    <s v="College"/>
    <s v="Weekly"/>
    <s v="Bus"/>
    <n v="1"/>
  </r>
  <r>
    <n v="46"/>
    <x v="1"/>
    <x v="2"/>
    <n v="6"/>
    <x v="1"/>
    <x v="1"/>
    <s v="Petrol"/>
    <m/>
    <m/>
    <s v="Diesel"/>
    <n v="11"/>
    <n v="6"/>
    <n v="4"/>
    <m/>
    <m/>
    <m/>
    <m/>
    <m/>
    <m/>
    <n v="15"/>
    <n v="25"/>
    <n v="55"/>
    <n v="6700"/>
    <s v="BPCL"/>
    <n v="5"/>
    <s v="Agriculture-related"/>
    <s v="Rarely"/>
    <s v="Bus, Shared Rickshaw"/>
    <n v="0"/>
  </r>
  <r>
    <n v="28"/>
    <x v="1"/>
    <x v="2"/>
    <n v="3"/>
    <x v="0"/>
    <x v="8"/>
    <m/>
    <m/>
    <s v="Petrol"/>
    <m/>
    <m/>
    <m/>
    <m/>
    <m/>
    <m/>
    <m/>
    <n v="3"/>
    <n v="35"/>
    <n v="32"/>
    <m/>
    <m/>
    <m/>
    <n v="4600"/>
    <s v="Shell"/>
    <n v="16"/>
    <s v="Office"/>
    <s v="Never"/>
    <s v="I don’t use public transport"/>
    <n v="0"/>
  </r>
  <r>
    <n v="30"/>
    <x v="1"/>
    <x v="2"/>
    <n v="5"/>
    <x v="0"/>
    <x v="0"/>
    <s v="Petrol"/>
    <m/>
    <m/>
    <m/>
    <n v="5"/>
    <n v="18"/>
    <n v="10"/>
    <m/>
    <m/>
    <m/>
    <m/>
    <m/>
    <m/>
    <m/>
    <m/>
    <m/>
    <n v="1300"/>
    <s v="HP"/>
    <n v="9"/>
    <s v="Office"/>
    <s v="Never"/>
    <s v="I don’t use public transport"/>
    <n v="0"/>
  </r>
  <r>
    <n v="26"/>
    <x v="0"/>
    <x v="2"/>
    <n v="3"/>
    <x v="0"/>
    <x v="2"/>
    <m/>
    <s v="Petrol"/>
    <m/>
    <m/>
    <m/>
    <m/>
    <m/>
    <n v="2"/>
    <n v="10"/>
    <n v="7"/>
    <m/>
    <m/>
    <m/>
    <m/>
    <m/>
    <m/>
    <n v="750"/>
    <s v="Reliance"/>
    <n v="7"/>
    <s v="Office"/>
    <s v="Monthly"/>
    <s v="Bus, Train"/>
    <n v="1"/>
  </r>
  <r>
    <n v="38"/>
    <x v="1"/>
    <x v="5"/>
    <n v="5"/>
    <x v="1"/>
    <x v="4"/>
    <s v="Petrol"/>
    <m/>
    <s v="Petrol"/>
    <m/>
    <n v="8"/>
    <n v="12"/>
    <n v="7"/>
    <m/>
    <m/>
    <m/>
    <n v="6"/>
    <n v="20"/>
    <n v="22"/>
    <m/>
    <m/>
    <m/>
    <n v="3900"/>
    <s v="HP"/>
    <n v="12"/>
    <s v="Business"/>
    <s v="Never"/>
    <s v="I don’t use public transport"/>
    <n v="0"/>
  </r>
  <r>
    <n v="22"/>
    <x v="0"/>
    <x v="0"/>
    <n v="4"/>
    <x v="0"/>
    <x v="0"/>
    <s v="Petrol"/>
    <m/>
    <m/>
    <m/>
    <n v="1"/>
    <n v="14"/>
    <n v="8"/>
    <m/>
    <m/>
    <m/>
    <m/>
    <m/>
    <m/>
    <m/>
    <m/>
    <m/>
    <n v="1000"/>
    <s v="Reliance"/>
    <n v="7"/>
    <s v="College"/>
    <s v="Monthly"/>
    <s v="Bus"/>
    <n v="0"/>
  </r>
  <r>
    <n v="45"/>
    <x v="1"/>
    <x v="4"/>
    <n v="6"/>
    <x v="1"/>
    <x v="1"/>
    <s v="Petrol"/>
    <m/>
    <m/>
    <s v="Diesel"/>
    <n v="8"/>
    <n v="10"/>
    <n v="5"/>
    <m/>
    <m/>
    <m/>
    <m/>
    <m/>
    <m/>
    <n v="12"/>
    <n v="40"/>
    <n v="70"/>
    <n v="8500"/>
    <s v="BPCL"/>
    <n v="6"/>
    <s v="Agriculture-related"/>
    <s v="Never"/>
    <s v="I don’t use public transport"/>
    <n v="0"/>
  </r>
  <r>
    <n v="31"/>
    <x v="1"/>
    <x v="4"/>
    <n v="6"/>
    <x v="0"/>
    <x v="8"/>
    <m/>
    <m/>
    <s v="Petrol"/>
    <m/>
    <m/>
    <m/>
    <m/>
    <m/>
    <m/>
    <m/>
    <n v="5"/>
    <n v="25"/>
    <n v="24"/>
    <m/>
    <m/>
    <m/>
    <n v="3600"/>
    <s v="Indian Oil"/>
    <n v="12"/>
    <s v="Office"/>
    <s v="Rarely"/>
    <s v="Bus"/>
    <n v="0"/>
  </r>
  <r>
    <n v="28"/>
    <x v="0"/>
    <x v="1"/>
    <n v="4"/>
    <x v="0"/>
    <x v="2"/>
    <m/>
    <s v="Petrol"/>
    <m/>
    <m/>
    <m/>
    <m/>
    <m/>
    <n v="4"/>
    <n v="7"/>
    <n v="4"/>
    <m/>
    <m/>
    <m/>
    <m/>
    <m/>
    <m/>
    <n v="400"/>
    <s v="HP"/>
    <n v="3"/>
    <s v="Market/Shopping"/>
    <s v="Monthly"/>
    <s v="Auto"/>
    <n v="1"/>
  </r>
  <r>
    <n v="32"/>
    <x v="1"/>
    <x v="2"/>
    <n v="3"/>
    <x v="1"/>
    <x v="14"/>
    <s v="Petrol"/>
    <m/>
    <m/>
    <m/>
    <n v="6"/>
    <n v="10"/>
    <n v="6"/>
    <m/>
    <m/>
    <m/>
    <m/>
    <m/>
    <m/>
    <m/>
    <m/>
    <m/>
    <n v="1600"/>
    <s v="Indian Oil"/>
    <n v="10"/>
    <s v="Office"/>
    <s v="Rarely"/>
    <s v="Shared Rickshaw"/>
    <n v="1"/>
  </r>
  <r>
    <n v="50"/>
    <x v="1"/>
    <x v="4"/>
    <n v="5"/>
    <x v="2"/>
    <x v="3"/>
    <s v="Petrol"/>
    <m/>
    <s v="Diesel"/>
    <s v="Diesel"/>
    <n v="9"/>
    <n v="6"/>
    <n v="4"/>
    <m/>
    <m/>
    <m/>
    <n v="7"/>
    <n v="18"/>
    <n v="20"/>
    <n v="14"/>
    <n v="55"/>
    <n v="85"/>
    <n v="1200"/>
    <s v="BPCL"/>
    <n v="15"/>
    <s v="Business"/>
    <s v="Never"/>
    <s v="I don’t use public transport"/>
    <n v="0"/>
  </r>
  <r>
    <n v="28"/>
    <x v="0"/>
    <x v="2"/>
    <n v="4"/>
    <x v="0"/>
    <x v="8"/>
    <m/>
    <m/>
    <s v="Petrol"/>
    <m/>
    <m/>
    <m/>
    <m/>
    <m/>
    <m/>
    <m/>
    <n v="2"/>
    <n v="39"/>
    <n v="26"/>
    <m/>
    <m/>
    <m/>
    <n v="3900"/>
    <s v="Shell"/>
    <n v="14"/>
    <s v="Office"/>
    <s v="Weekly"/>
    <s v="Bus"/>
    <n v="2"/>
  </r>
  <r>
    <n v="29"/>
    <x v="1"/>
    <x v="2"/>
    <n v="4"/>
    <x v="0"/>
    <x v="0"/>
    <s v="Petrol"/>
    <m/>
    <m/>
    <m/>
    <n v="4"/>
    <n v="20"/>
    <n v="11"/>
    <m/>
    <m/>
    <m/>
    <m/>
    <m/>
    <m/>
    <m/>
    <m/>
    <m/>
    <n v="1450"/>
    <s v="Reliance"/>
    <n v="10"/>
    <s v="Office"/>
    <s v="Daily"/>
    <s v="Train"/>
    <n v="2"/>
  </r>
  <r>
    <n v="34"/>
    <x v="0"/>
    <x v="1"/>
    <n v="5"/>
    <x v="0"/>
    <x v="2"/>
    <m/>
    <s v="Petrol"/>
    <m/>
    <m/>
    <m/>
    <m/>
    <m/>
    <n v="5"/>
    <n v="4"/>
    <n v="6"/>
    <m/>
    <m/>
    <m/>
    <m/>
    <m/>
    <m/>
    <n v="500"/>
    <s v="Shell"/>
    <n v="3"/>
    <s v="School pickup/drop"/>
    <s v="Rarely"/>
    <s v="Shared Rickshaw"/>
    <n v="0"/>
  </r>
  <r>
    <n v="41"/>
    <x v="1"/>
    <x v="4"/>
    <n v="6"/>
    <x v="1"/>
    <x v="1"/>
    <s v="Petrol"/>
    <m/>
    <m/>
    <s v="Diesel"/>
    <n v="10"/>
    <n v="7"/>
    <n v="4"/>
    <m/>
    <m/>
    <m/>
    <m/>
    <m/>
    <m/>
    <n v="13"/>
    <n v="45"/>
    <n v="75"/>
    <n v="9000"/>
    <s v="Indian Oil"/>
    <n v="6"/>
    <s v="Agriculture-related"/>
    <s v="Never"/>
    <s v="I don’t use public transport"/>
    <n v="2"/>
  </r>
  <r>
    <n v="26"/>
    <x v="1"/>
    <x v="2"/>
    <n v="4"/>
    <x v="0"/>
    <x v="8"/>
    <m/>
    <m/>
    <s v="Petrol"/>
    <m/>
    <m/>
    <m/>
    <m/>
    <m/>
    <m/>
    <m/>
    <n v="3"/>
    <n v="32"/>
    <n v="30"/>
    <m/>
    <m/>
    <m/>
    <n v="4500"/>
    <s v="No preference"/>
    <n v="14"/>
    <s v="Office"/>
    <s v="Never"/>
    <s v="I don’t use public transport"/>
    <n v="0"/>
  </r>
  <r>
    <n v="29"/>
    <x v="0"/>
    <x v="2"/>
    <n v="5"/>
    <x v="0"/>
    <x v="0"/>
    <s v="Petrol"/>
    <m/>
    <m/>
    <m/>
    <n v="12"/>
    <n v="6"/>
    <n v="4"/>
    <m/>
    <m/>
    <m/>
    <m/>
    <m/>
    <m/>
    <m/>
    <m/>
    <m/>
    <n v="500"/>
    <s v="Shell"/>
    <n v="4"/>
    <s v="Agriculture-related"/>
    <s v="Rarely"/>
    <s v="Shared Rickshaw"/>
    <n v="2"/>
  </r>
  <r>
    <n v="30"/>
    <x v="1"/>
    <x v="2"/>
    <n v="4"/>
    <x v="1"/>
    <x v="4"/>
    <s v="Petrol"/>
    <m/>
    <s v="Petrol"/>
    <m/>
    <n v="7"/>
    <n v="10"/>
    <n v="6"/>
    <m/>
    <m/>
    <m/>
    <n v="5"/>
    <n v="24"/>
    <n v="22"/>
    <m/>
    <m/>
    <m/>
    <n v="4200"/>
    <s v="Indian Oil"/>
    <n v="12"/>
    <s v="Office"/>
    <s v="Monthly"/>
    <s v="Train"/>
    <n v="1"/>
  </r>
  <r>
    <n v="31"/>
    <x v="0"/>
    <x v="2"/>
    <n v="3"/>
    <x v="0"/>
    <x v="2"/>
    <m/>
    <s v="Petrol"/>
    <m/>
    <m/>
    <m/>
    <m/>
    <m/>
    <n v="3"/>
    <n v="8"/>
    <n v="5"/>
    <m/>
    <m/>
    <m/>
    <m/>
    <m/>
    <m/>
    <n v="650"/>
    <s v="Shell"/>
    <n v="6"/>
    <s v="Office"/>
    <s v="Rarely"/>
    <s v="Shared Rickshaw"/>
    <n v="0"/>
  </r>
  <r>
    <n v="54"/>
    <x v="1"/>
    <x v="3"/>
    <n v="6"/>
    <x v="2"/>
    <x v="3"/>
    <s v="Petrol"/>
    <m/>
    <s v="Petrol"/>
    <s v="Diesel"/>
    <n v="10"/>
    <n v="5"/>
    <n v="3"/>
    <m/>
    <m/>
    <m/>
    <n v="8"/>
    <n v="20"/>
    <n v="22"/>
    <n v="15"/>
    <n v="60"/>
    <n v="90"/>
    <n v="13800"/>
    <s v="HP"/>
    <n v="18"/>
    <s v="Office"/>
    <s v="Never"/>
    <s v="I don’t use public transport"/>
    <n v="0"/>
  </r>
  <r>
    <n v="23"/>
    <x v="0"/>
    <x v="0"/>
    <n v="3"/>
    <x v="0"/>
    <x v="0"/>
    <s v="Petrol"/>
    <m/>
    <m/>
    <m/>
    <n v="2"/>
    <n v="16"/>
    <n v="9"/>
    <m/>
    <m/>
    <m/>
    <m/>
    <m/>
    <m/>
    <m/>
    <m/>
    <m/>
    <n v="1100"/>
    <s v="Indian Oil"/>
    <n v="5"/>
    <s v="College"/>
    <s v="Monthly"/>
    <s v="Bus"/>
    <n v="0"/>
  </r>
  <r>
    <n v="44"/>
    <x v="1"/>
    <x v="4"/>
    <n v="5"/>
    <x v="1"/>
    <x v="1"/>
    <s v="Petrol"/>
    <m/>
    <m/>
    <s v="Diesel"/>
    <n v="9"/>
    <n v="8"/>
    <n v="5"/>
    <m/>
    <m/>
    <m/>
    <m/>
    <m/>
    <m/>
    <n v="14"/>
    <n v="50"/>
    <n v="88"/>
    <n v="10200"/>
    <s v="Indian Oil"/>
    <n v="7"/>
    <s v="Agriculture-related"/>
    <s v="Never"/>
    <s v="I don’t use public transport"/>
    <n v="2"/>
  </r>
  <r>
    <n v="29"/>
    <x v="1"/>
    <x v="2"/>
    <n v="4"/>
    <x v="0"/>
    <x v="0"/>
    <s v="Petrol"/>
    <m/>
    <m/>
    <m/>
    <n v="6"/>
    <n v="16"/>
    <n v="9"/>
    <m/>
    <m/>
    <m/>
    <m/>
    <m/>
    <m/>
    <m/>
    <m/>
    <m/>
    <n v="1150"/>
    <s v="Shell"/>
    <n v="8"/>
    <s v="Office"/>
    <s v="Weekly"/>
    <s v="Train"/>
    <n v="0"/>
  </r>
  <r>
    <n v="27"/>
    <x v="0"/>
    <x v="2"/>
    <n v="3"/>
    <x v="0"/>
    <x v="2"/>
    <m/>
    <s v="Petrol"/>
    <m/>
    <m/>
    <m/>
    <m/>
    <m/>
    <n v="3"/>
    <n v="9"/>
    <n v="5"/>
    <m/>
    <m/>
    <m/>
    <m/>
    <m/>
    <m/>
    <n v="650"/>
    <s v="Shell"/>
    <n v="6"/>
    <s v="Office"/>
    <s v="Weekly"/>
    <s v="Auto"/>
    <n v="0"/>
  </r>
  <r>
    <n v="52"/>
    <x v="1"/>
    <x v="5"/>
    <n v="4"/>
    <x v="2"/>
    <x v="3"/>
    <s v="Petrol"/>
    <m/>
    <s v="Petrol"/>
    <s v="Diesel"/>
    <n v="12"/>
    <n v="5"/>
    <n v="3"/>
    <m/>
    <m/>
    <m/>
    <n v="9"/>
    <n v="18"/>
    <n v="20"/>
    <n v="16"/>
    <n v="65"/>
    <n v="1"/>
    <n v="14500"/>
    <s v="Indian Oil"/>
    <n v="20"/>
    <s v="Business"/>
    <s v="Rarely"/>
    <s v="Bus"/>
    <n v="1"/>
  </r>
  <r>
    <n v="31"/>
    <x v="0"/>
    <x v="2"/>
    <n v="3"/>
    <x v="0"/>
    <x v="8"/>
    <m/>
    <m/>
    <s v="Petrol"/>
    <m/>
    <m/>
    <m/>
    <m/>
    <m/>
    <m/>
    <m/>
    <n v="4"/>
    <n v="28"/>
    <n v="25"/>
    <m/>
    <m/>
    <m/>
    <n v="3800"/>
    <s v="Reliance"/>
    <n v="14"/>
    <s v="Office"/>
    <s v="Never"/>
    <s v="I don’t use public transport"/>
    <n v="2"/>
  </r>
  <r>
    <n v="35"/>
    <x v="1"/>
    <x v="2"/>
    <n v="5"/>
    <x v="0"/>
    <x v="0"/>
    <s v="Petrol"/>
    <m/>
    <m/>
    <m/>
    <n v="7"/>
    <n v="14"/>
    <n v="8"/>
    <m/>
    <m/>
    <m/>
    <m/>
    <m/>
    <m/>
    <m/>
    <m/>
    <m/>
    <n v="1000"/>
    <s v="Shell"/>
    <n v="6"/>
    <s v="Work"/>
    <s v="Rarely"/>
    <s v="Shared Rickshaw"/>
    <n v="1"/>
  </r>
  <r>
    <n v="24"/>
    <x v="0"/>
    <x v="0"/>
    <n v="6"/>
    <x v="0"/>
    <x v="0"/>
    <s v="Petrol"/>
    <m/>
    <m/>
    <m/>
    <n v="1"/>
    <n v="18"/>
    <n v="10"/>
    <m/>
    <m/>
    <m/>
    <m/>
    <m/>
    <m/>
    <m/>
    <m/>
    <m/>
    <n v="1250"/>
    <s v="Reliance"/>
    <n v="9"/>
    <s v="College"/>
    <s v="Monthly"/>
    <s v="Bus"/>
    <n v="0"/>
  </r>
  <r>
    <n v="48"/>
    <x v="1"/>
    <x v="4"/>
    <n v="5"/>
    <x v="1"/>
    <x v="1"/>
    <s v="Petrol"/>
    <m/>
    <m/>
    <s v="Diesel"/>
    <n v="11"/>
    <n v="6"/>
    <n v="4"/>
    <m/>
    <m/>
    <m/>
    <m/>
    <m/>
    <m/>
    <n v="15"/>
    <n v="55"/>
    <n v="85"/>
    <n v="10800"/>
    <s v="Indian Oil"/>
    <n v="6"/>
    <s v="Agriculture-related"/>
    <s v="Rarely"/>
    <s v="Bus"/>
    <n v="2"/>
  </r>
  <r>
    <n v="19"/>
    <x v="0"/>
    <x v="2"/>
    <n v="4"/>
    <x v="0"/>
    <x v="2"/>
    <m/>
    <s v="Petrol"/>
    <m/>
    <m/>
    <m/>
    <m/>
    <m/>
    <n v="4"/>
    <n v="8"/>
    <n v="5"/>
    <m/>
    <m/>
    <m/>
    <m/>
    <m/>
    <m/>
    <n v="650"/>
    <s v="BPCL"/>
    <n v="6"/>
    <s v="Office"/>
    <s v="Monthly"/>
    <s v="Bus"/>
    <n v="1"/>
  </r>
  <r>
    <n v="55"/>
    <x v="1"/>
    <x v="3"/>
    <n v="4"/>
    <x v="2"/>
    <x v="3"/>
    <s v="Petrol"/>
    <m/>
    <s v="Petrol"/>
    <s v="Diesel"/>
    <n v="13"/>
    <n v="4"/>
    <n v="3"/>
    <m/>
    <m/>
    <m/>
    <n v="10"/>
    <n v="16"/>
    <n v="18"/>
    <n v="18"/>
    <n v="70"/>
    <n v="110"/>
    <n v="15600"/>
    <s v="HP"/>
    <n v="22"/>
    <s v="Business"/>
    <s v="Never"/>
    <s v="I don’t use public transport"/>
    <n v="0"/>
  </r>
  <r>
    <n v="26"/>
    <x v="0"/>
    <x v="1"/>
    <n v="5"/>
    <x v="0"/>
    <x v="8"/>
    <m/>
    <m/>
    <s v="Petrol"/>
    <m/>
    <m/>
    <m/>
    <m/>
    <m/>
    <m/>
    <m/>
    <n v="2"/>
    <n v="34"/>
    <n v="30"/>
    <m/>
    <m/>
    <m/>
    <n v="4400"/>
    <s v="HP"/>
    <n v="15"/>
    <s v="Office"/>
    <s v="Never"/>
    <s v="I don’t use public transport"/>
    <n v="1"/>
  </r>
  <r>
    <n v="31"/>
    <x v="1"/>
    <x v="2"/>
    <n v="4"/>
    <x v="1"/>
    <x v="10"/>
    <s v="Petrol"/>
    <s v="Petrol"/>
    <m/>
    <m/>
    <n v="5"/>
    <n v="15"/>
    <n v="9"/>
    <n v="3"/>
    <n v="6"/>
    <n v="4"/>
    <m/>
    <m/>
    <m/>
    <m/>
    <m/>
    <m/>
    <n v="1800"/>
    <s v="Indian Oil"/>
    <n v="8"/>
    <s v="Office"/>
    <s v="Rarely"/>
    <s v="Shared Rickshaw"/>
    <n v="0"/>
  </r>
  <r>
    <n v="24"/>
    <x v="0"/>
    <x v="0"/>
    <n v="3"/>
    <x v="0"/>
    <x v="2"/>
    <m/>
    <s v="Petrol"/>
    <m/>
    <m/>
    <m/>
    <m/>
    <m/>
    <n v="2"/>
    <n v="7"/>
    <n v="4"/>
    <m/>
    <m/>
    <m/>
    <m/>
    <m/>
    <m/>
    <n v="520"/>
    <s v="BPCL"/>
    <n v="4"/>
    <s v="College"/>
    <s v="Weekly"/>
    <s v="Bus"/>
    <n v="2"/>
  </r>
  <r>
    <n v="29"/>
    <x v="1"/>
    <x v="4"/>
    <n v="5"/>
    <x v="1"/>
    <x v="4"/>
    <s v="Petrol"/>
    <m/>
    <s v="Petrol"/>
    <m/>
    <n v="6"/>
    <n v="10"/>
    <n v="6"/>
    <m/>
    <m/>
    <m/>
    <n v="4"/>
    <n v="18"/>
    <n v="20"/>
    <m/>
    <m/>
    <m/>
    <n v="3609"/>
    <s v="HP"/>
    <n v="10"/>
    <s v="Office"/>
    <s v="Monthly"/>
    <s v="Bus"/>
    <n v="0"/>
  </r>
  <r>
    <n v="27"/>
    <x v="1"/>
    <x v="2"/>
    <n v="5"/>
    <x v="1"/>
    <x v="1"/>
    <s v="Petrol"/>
    <m/>
    <m/>
    <s v="Diesel"/>
    <n v="9"/>
    <n v="7"/>
    <n v="5"/>
    <m/>
    <m/>
    <m/>
    <m/>
    <m/>
    <m/>
    <n v="13"/>
    <n v="42"/>
    <n v="72"/>
    <n v="9200"/>
    <s v="Indian Oil"/>
    <n v="6"/>
    <s v="Agriculture-related"/>
    <s v="Never"/>
    <s v="I don’t use public transport"/>
    <n v="2"/>
  </r>
  <r>
    <n v="28"/>
    <x v="0"/>
    <x v="2"/>
    <n v="6"/>
    <x v="0"/>
    <x v="8"/>
    <m/>
    <m/>
    <s v="Petrol"/>
    <m/>
    <m/>
    <m/>
    <m/>
    <m/>
    <m/>
    <m/>
    <n v="5"/>
    <n v="26"/>
    <n v="24"/>
    <m/>
    <m/>
    <m/>
    <n v="3700"/>
    <s v="Shell"/>
    <n v="13"/>
    <s v="Office"/>
    <s v="Rarely"/>
    <s v="Bus"/>
    <n v="2"/>
  </r>
  <r>
    <n v="28"/>
    <x v="1"/>
    <x v="2"/>
    <n v="4"/>
    <x v="0"/>
    <x v="0"/>
    <s v="Petrol"/>
    <m/>
    <m/>
    <m/>
    <n v="6"/>
    <n v="12"/>
    <n v="7"/>
    <m/>
    <m/>
    <m/>
    <m/>
    <m/>
    <m/>
    <m/>
    <m/>
    <m/>
    <n v="900"/>
    <s v="Reliance"/>
    <n v="6"/>
    <s v="Work"/>
    <s v="Rarely"/>
    <s v="Bus"/>
    <n v="2"/>
  </r>
  <r>
    <n v="31"/>
    <x v="0"/>
    <x v="2"/>
    <n v="2"/>
    <x v="0"/>
    <x v="2"/>
    <m/>
    <s v="Petrol"/>
    <m/>
    <m/>
    <m/>
    <m/>
    <m/>
    <n v="4"/>
    <n v="8"/>
    <n v="5"/>
    <m/>
    <m/>
    <m/>
    <m/>
    <m/>
    <m/>
    <n v="650"/>
    <s v="Indian Oil"/>
    <n v="4"/>
    <s v="Office"/>
    <s v="Weekly"/>
    <s v="Shared Rickshaw"/>
    <n v="0"/>
  </r>
  <r>
    <n v="55"/>
    <x v="1"/>
    <x v="3"/>
    <n v="5"/>
    <x v="2"/>
    <x v="3"/>
    <s v="Petrol"/>
    <m/>
    <s v="Petrol"/>
    <s v="Diesel"/>
    <n v="12"/>
    <n v="5"/>
    <n v="3"/>
    <m/>
    <m/>
    <m/>
    <n v="8"/>
    <n v="20"/>
    <n v="22"/>
    <n v="17"/>
    <n v="68"/>
    <n v="105"/>
    <n v="14800"/>
    <s v="BPCL"/>
    <n v="19"/>
    <s v="Business"/>
    <s v="Never"/>
    <s v="I don’t use public transport"/>
    <n v="0"/>
  </r>
  <r>
    <n v="22"/>
    <x v="0"/>
    <x v="0"/>
    <n v="3"/>
    <x v="0"/>
    <x v="0"/>
    <s v="Petrol"/>
    <m/>
    <m/>
    <m/>
    <n v="1"/>
    <n v="14"/>
    <n v="8"/>
    <m/>
    <m/>
    <m/>
    <m/>
    <m/>
    <m/>
    <m/>
    <m/>
    <m/>
    <n v="1000"/>
    <s v="Indian Oil"/>
    <n v="7"/>
    <s v="College"/>
    <s v="Weekly"/>
    <s v="Bus"/>
    <n v="0"/>
  </r>
  <r>
    <n v="32"/>
    <x v="1"/>
    <x v="4"/>
    <n v="5"/>
    <x v="0"/>
    <x v="0"/>
    <s v="Petrol"/>
    <m/>
    <m/>
    <m/>
    <n v="7"/>
    <n v="30"/>
    <n v="35"/>
    <m/>
    <m/>
    <m/>
    <m/>
    <m/>
    <m/>
    <m/>
    <m/>
    <m/>
    <n v="1900"/>
    <s v="BPCL"/>
    <n v="15"/>
    <s v="Work"/>
    <s v="Never"/>
    <s v="I don’t use public transport"/>
    <n v="0"/>
  </r>
  <r>
    <n v="22"/>
    <x v="1"/>
    <x v="0"/>
    <n v="4"/>
    <x v="0"/>
    <x v="0"/>
    <s v="Petrol"/>
    <m/>
    <m/>
    <m/>
    <n v="4"/>
    <n v="18"/>
    <n v="10"/>
    <m/>
    <m/>
    <m/>
    <m/>
    <m/>
    <m/>
    <m/>
    <m/>
    <m/>
    <n v="1300"/>
    <s v="HP"/>
    <n v="9"/>
    <s v="College"/>
    <s v="Never"/>
    <s v="I don’t use public transport"/>
    <n v="0"/>
  </r>
  <r>
    <n v="33"/>
    <x v="0"/>
    <x v="1"/>
    <n v="5"/>
    <x v="0"/>
    <x v="2"/>
    <m/>
    <s v="Petrol"/>
    <m/>
    <m/>
    <m/>
    <m/>
    <m/>
    <n v="6"/>
    <n v="5"/>
    <n v="3"/>
    <m/>
    <m/>
    <m/>
    <m/>
    <m/>
    <m/>
    <n v="400"/>
    <s v="Shell"/>
    <n v="3"/>
    <s v="Market/Shopping"/>
    <s v="Weekly"/>
    <s v="Shared Rickshaw"/>
    <n v="0"/>
  </r>
  <r>
    <n v="55"/>
    <x v="1"/>
    <x v="4"/>
    <n v="4"/>
    <x v="2"/>
    <x v="1"/>
    <s v="Petrol"/>
    <m/>
    <m/>
    <s v="Diesel"/>
    <n v="10"/>
    <n v="7"/>
    <n v="4"/>
    <m/>
    <m/>
    <m/>
    <m/>
    <m/>
    <m/>
    <n v="14"/>
    <n v="48"/>
    <n v="68"/>
    <n v="9700"/>
    <s v="BPCL"/>
    <n v="6"/>
    <s v="Agriculture-related"/>
    <s v="Never"/>
    <s v="I don’t use public transport"/>
    <n v="0"/>
  </r>
  <r>
    <n v="21"/>
    <x v="0"/>
    <x v="0"/>
    <n v="5"/>
    <x v="0"/>
    <x v="0"/>
    <s v="Petrol"/>
    <m/>
    <m/>
    <m/>
    <n v="2"/>
    <n v="15"/>
    <n v="9"/>
    <m/>
    <m/>
    <m/>
    <m/>
    <m/>
    <m/>
    <m/>
    <m/>
    <m/>
    <n v="1100"/>
    <s v="Shell"/>
    <n v="7"/>
    <s v="College"/>
    <s v="Weekly"/>
    <s v="Bus"/>
    <n v="1"/>
  </r>
  <r>
    <n v="37"/>
    <x v="1"/>
    <x v="2"/>
    <n v="3"/>
    <x v="0"/>
    <x v="8"/>
    <m/>
    <m/>
    <s v="Petrol"/>
    <m/>
    <m/>
    <m/>
    <m/>
    <m/>
    <m/>
    <m/>
    <n v="2"/>
    <n v="27"/>
    <n v="25"/>
    <m/>
    <m/>
    <m/>
    <n v="3900"/>
    <s v="Shell"/>
    <n v="13"/>
    <s v="Office"/>
    <s v="Monthly"/>
    <s v="Shared Rickshaw"/>
    <n v="2"/>
  </r>
  <r>
    <n v="44"/>
    <x v="1"/>
    <x v="4"/>
    <n v="5"/>
    <x v="1"/>
    <x v="4"/>
    <s v="Petrol"/>
    <m/>
    <s v="Petrol"/>
    <m/>
    <n v="8"/>
    <n v="9"/>
    <n v="6"/>
    <m/>
    <m/>
    <m/>
    <n v="5"/>
    <n v="21"/>
    <n v="20"/>
    <m/>
    <m/>
    <m/>
    <n v="3700"/>
    <s v="BPCL"/>
    <n v="12"/>
    <s v="Business"/>
    <s v="Never"/>
    <s v="I don’t use public transport"/>
    <n v="0"/>
  </r>
  <r>
    <n v="29"/>
    <x v="0"/>
    <x v="2"/>
    <n v="2"/>
    <x v="0"/>
    <x v="2"/>
    <m/>
    <s v="Petrol"/>
    <m/>
    <m/>
    <m/>
    <m/>
    <m/>
    <n v="3"/>
    <n v="7"/>
    <n v="4"/>
    <m/>
    <m/>
    <m/>
    <m/>
    <m/>
    <m/>
    <n v="550"/>
    <s v="Indian Oil"/>
    <n v="4"/>
    <s v="Office"/>
    <s v="Monthly"/>
    <s v="Bus"/>
    <n v="1"/>
  </r>
  <r>
    <n v="53"/>
    <x v="1"/>
    <x v="2"/>
    <n v="6"/>
    <x v="1"/>
    <x v="1"/>
    <s v="Petrol"/>
    <m/>
    <m/>
    <s v="Diesel"/>
    <n v="12"/>
    <n v="6"/>
    <n v="4"/>
    <m/>
    <m/>
    <m/>
    <m/>
    <m/>
    <m/>
    <n v="16"/>
    <n v="55"/>
    <n v="88"/>
    <n v="11000"/>
    <s v="Indian Oil"/>
    <n v="7"/>
    <s v="Agriculture-related"/>
    <s v="Rarely"/>
    <s v="Bus"/>
    <n v="2"/>
  </r>
  <r>
    <n v="23"/>
    <x v="0"/>
    <x v="0"/>
    <n v="3"/>
    <x v="0"/>
    <x v="0"/>
    <s v="Petrol"/>
    <m/>
    <m/>
    <m/>
    <n v="1"/>
    <n v="13"/>
    <n v="8"/>
    <m/>
    <m/>
    <m/>
    <m/>
    <m/>
    <m/>
    <m/>
    <m/>
    <m/>
    <n v="1000"/>
    <s v="Indian Oil"/>
    <n v="7"/>
    <s v="College"/>
    <s v="Weekly"/>
    <s v="Bus"/>
    <n v="1"/>
  </r>
  <r>
    <n v="49"/>
    <x v="1"/>
    <x v="2"/>
    <n v="5"/>
    <x v="1"/>
    <x v="4"/>
    <s v="Petrol"/>
    <m/>
    <s v="Petrol"/>
    <m/>
    <n v="9"/>
    <n v="8"/>
    <n v="5"/>
    <m/>
    <m/>
    <m/>
    <n v="7"/>
    <n v="23"/>
    <n v="22"/>
    <m/>
    <m/>
    <m/>
    <n v="4000"/>
    <s v="HP"/>
    <n v="11"/>
    <s v="Office"/>
    <s v="Rarely"/>
    <s v="Bus"/>
    <n v="0"/>
  </r>
  <r>
    <n v="34"/>
    <x v="1"/>
    <x v="2"/>
    <n v="5"/>
    <x v="0"/>
    <x v="0"/>
    <s v="Petrol"/>
    <m/>
    <m/>
    <m/>
    <n v="5"/>
    <n v="22"/>
    <n v="12"/>
    <m/>
    <m/>
    <m/>
    <m/>
    <m/>
    <m/>
    <m/>
    <m/>
    <m/>
    <n v="1550"/>
    <s v="Reliance"/>
    <n v="11"/>
    <s v="Office"/>
    <s v="Rarely"/>
    <s v="Shared Rickshaw"/>
    <n v="1"/>
  </r>
  <r>
    <n v="20"/>
    <x v="0"/>
    <x v="0"/>
    <n v="5"/>
    <x v="0"/>
    <x v="2"/>
    <m/>
    <s v="Petrol"/>
    <m/>
    <m/>
    <m/>
    <m/>
    <m/>
    <n v="4"/>
    <n v="10"/>
    <n v="6"/>
    <m/>
    <m/>
    <m/>
    <m/>
    <m/>
    <m/>
    <n v="780"/>
    <s v="BPCL"/>
    <n v="6"/>
    <s v="College"/>
    <s v="Monthly"/>
    <s v="Bus"/>
    <n v="2"/>
  </r>
  <r>
    <n v="51"/>
    <x v="1"/>
    <x v="2"/>
    <n v="6"/>
    <x v="1"/>
    <x v="1"/>
    <s v="Petrol"/>
    <m/>
    <m/>
    <s v="Diesel"/>
    <n v="10"/>
    <n v="6"/>
    <n v="4"/>
    <m/>
    <m/>
    <m/>
    <m/>
    <m/>
    <m/>
    <n v="14"/>
    <n v="55"/>
    <n v="90"/>
    <n v="11500"/>
    <s v="Indian Oil"/>
    <n v="8"/>
    <s v="Agriculture-related"/>
    <s v="Never"/>
    <s v="I don’t use public transport"/>
    <n v="0"/>
  </r>
  <r>
    <n v="32"/>
    <x v="0"/>
    <x v="2"/>
    <n v="4"/>
    <x v="0"/>
    <x v="8"/>
    <m/>
    <m/>
    <s v="Petrol"/>
    <m/>
    <m/>
    <m/>
    <m/>
    <m/>
    <m/>
    <m/>
    <n v="5"/>
    <n v="28"/>
    <n v="26"/>
    <m/>
    <m/>
    <m/>
    <n v="4000"/>
    <s v="Shell"/>
    <n v="14"/>
    <s v="Office"/>
    <s v="Rarely"/>
    <s v="Bus"/>
    <n v="1"/>
  </r>
  <r>
    <n v="42"/>
    <x v="1"/>
    <x v="4"/>
    <n v="5"/>
    <x v="1"/>
    <x v="4"/>
    <s v="Petrol"/>
    <m/>
    <s v="Petrol"/>
    <m/>
    <n v="8"/>
    <n v="10"/>
    <n v="6"/>
    <m/>
    <m/>
    <m/>
    <n v="6"/>
    <n v="25"/>
    <n v="23"/>
    <m/>
    <m/>
    <m/>
    <n v="4200"/>
    <s v="HP"/>
    <n v="13"/>
    <s v="Business"/>
    <s v="Never"/>
    <s v="I don’t use public transport"/>
    <n v="0"/>
  </r>
  <r>
    <n v="23"/>
    <x v="0"/>
    <x v="0"/>
    <n v="4"/>
    <x v="0"/>
    <x v="0"/>
    <s v="Petrol"/>
    <m/>
    <m/>
    <m/>
    <n v="1"/>
    <n v="14"/>
    <n v="9"/>
    <m/>
    <m/>
    <m/>
    <m/>
    <m/>
    <m/>
    <m/>
    <m/>
    <m/>
    <n v="1100"/>
    <s v="BPCL"/>
    <n v="7"/>
    <s v="College"/>
    <s v="Monthly"/>
    <s v="Bus"/>
    <n v="2"/>
  </r>
  <r>
    <n v="56"/>
    <x v="1"/>
    <x v="4"/>
    <n v="5"/>
    <x v="1"/>
    <x v="1"/>
    <s v="Petrol"/>
    <m/>
    <m/>
    <s v="Diesel"/>
    <n v="12"/>
    <n v="5"/>
    <n v="3"/>
    <m/>
    <m/>
    <m/>
    <m/>
    <m/>
    <m/>
    <n v="17"/>
    <n v="60"/>
    <n v="90"/>
    <n v="12000"/>
    <s v="Indian Oil"/>
    <n v="9"/>
    <s v="Agriculture-related"/>
    <s v="Never"/>
    <s v="I don’t use public transport"/>
    <n v="0"/>
  </r>
  <r>
    <n v="31"/>
    <x v="1"/>
    <x v="2"/>
    <n v="3"/>
    <x v="0"/>
    <x v="8"/>
    <m/>
    <m/>
    <s v="Petrol"/>
    <m/>
    <m/>
    <m/>
    <m/>
    <m/>
    <m/>
    <m/>
    <n v="4"/>
    <n v="30"/>
    <n v="27"/>
    <m/>
    <m/>
    <m/>
    <n v="4700"/>
    <s v="Shell"/>
    <n v="15"/>
    <s v="Office"/>
    <s v="Never"/>
    <s v="I don’t use public transport"/>
    <n v="0"/>
  </r>
  <r>
    <n v="28"/>
    <x v="0"/>
    <x v="1"/>
    <n v="5"/>
    <x v="0"/>
    <x v="2"/>
    <m/>
    <s v="Petrol"/>
    <m/>
    <m/>
    <m/>
    <m/>
    <m/>
    <n v="4"/>
    <n v="7"/>
    <n v="4"/>
    <m/>
    <m/>
    <m/>
    <m/>
    <m/>
    <m/>
    <n v="520"/>
    <s v="BPCL"/>
    <n v="3"/>
    <s v="Market/Shopping"/>
    <s v="Monthly"/>
    <s v="Shared Rickshaw"/>
    <n v="2"/>
  </r>
  <r>
    <n v="45"/>
    <x v="1"/>
    <x v="4"/>
    <n v="4"/>
    <x v="1"/>
    <x v="4"/>
    <s v="Petrol"/>
    <m/>
    <s v="Petrol"/>
    <m/>
    <n v="9"/>
    <n v="8"/>
    <n v="5"/>
    <m/>
    <m/>
    <m/>
    <n v="7"/>
    <n v="26"/>
    <n v="24"/>
    <m/>
    <m/>
    <m/>
    <n v="4200"/>
    <s v="Indian Oil"/>
    <n v="13"/>
    <s v="Office"/>
    <s v="Rarely"/>
    <s v="Bus"/>
    <n v="1"/>
  </r>
  <r>
    <n v="41"/>
    <x v="1"/>
    <x v="2"/>
    <n v="4"/>
    <x v="0"/>
    <x v="0"/>
    <s v="Petrol"/>
    <m/>
    <m/>
    <m/>
    <n v="3"/>
    <n v="21"/>
    <n v="11"/>
    <m/>
    <m/>
    <m/>
    <m/>
    <m/>
    <m/>
    <m/>
    <m/>
    <m/>
    <n v="1450"/>
    <s v="No preference"/>
    <n v="10"/>
    <s v="Agriculture-related"/>
    <s v="Rarely"/>
    <s v="Bus"/>
    <n v="0"/>
  </r>
  <r>
    <n v="24"/>
    <x v="0"/>
    <x v="0"/>
    <n v="3"/>
    <x v="0"/>
    <x v="2"/>
    <m/>
    <s v="Petrol"/>
    <m/>
    <m/>
    <m/>
    <m/>
    <m/>
    <n v="2"/>
    <n v="9"/>
    <n v="5"/>
    <m/>
    <m/>
    <m/>
    <m/>
    <m/>
    <m/>
    <n v="650"/>
    <s v="Reliance"/>
    <n v="4"/>
    <s v="College"/>
    <s v="Daily"/>
    <s v="Bus"/>
    <n v="1"/>
  </r>
  <r>
    <n v="55"/>
    <x v="1"/>
    <x v="4"/>
    <n v="4"/>
    <x v="1"/>
    <x v="1"/>
    <s v="Petrol"/>
    <m/>
    <m/>
    <s v="Diesel"/>
    <n v="12"/>
    <n v="5"/>
    <n v="3"/>
    <m/>
    <m/>
    <m/>
    <m/>
    <m/>
    <m/>
    <n v="18"/>
    <n v="62"/>
    <n v="98"/>
    <n v="12800"/>
    <s v="Indian Oil"/>
    <n v="9"/>
    <s v="Agriculture-related"/>
    <s v="Never"/>
    <s v="I don’t use public transport"/>
    <n v="0"/>
  </r>
  <r>
    <n v="32"/>
    <x v="0"/>
    <x v="2"/>
    <n v="3"/>
    <x v="0"/>
    <x v="8"/>
    <m/>
    <m/>
    <s v="Petrol"/>
    <m/>
    <m/>
    <m/>
    <m/>
    <m/>
    <m/>
    <m/>
    <n v="4"/>
    <n v="29"/>
    <n v="26"/>
    <m/>
    <m/>
    <m/>
    <n v="4000"/>
    <s v="No preference"/>
    <n v="14"/>
    <s v="Office"/>
    <s v="Rarely"/>
    <s v="Bus"/>
    <n v="2"/>
  </r>
  <r>
    <n v="41"/>
    <x v="1"/>
    <x v="4"/>
    <n v="6"/>
    <x v="1"/>
    <x v="4"/>
    <s v="Petrol"/>
    <m/>
    <s v="Petrol"/>
    <m/>
    <n v="8"/>
    <n v="10"/>
    <n v="6"/>
    <m/>
    <m/>
    <m/>
    <n v="6"/>
    <n v="24"/>
    <n v="22"/>
    <m/>
    <m/>
    <m/>
    <n v="4000"/>
    <s v="HP"/>
    <n v="8"/>
    <s v="Agriculture-related"/>
    <s v="Rarely"/>
    <s v="Bus"/>
    <n v="0"/>
  </r>
  <r>
    <n v="26"/>
    <x v="0"/>
    <x v="2"/>
    <n v="4"/>
    <x v="0"/>
    <x v="2"/>
    <m/>
    <s v="Petrol"/>
    <m/>
    <m/>
    <m/>
    <m/>
    <m/>
    <n v="3"/>
    <n v="8"/>
    <n v="5"/>
    <m/>
    <m/>
    <m/>
    <m/>
    <m/>
    <m/>
    <n v="650"/>
    <s v="BPCL"/>
    <n v="5"/>
    <s v="Office"/>
    <s v="Monthly"/>
    <s v="Bus"/>
    <n v="2"/>
  </r>
  <r>
    <n v="54"/>
    <x v="1"/>
    <x v="2"/>
    <n v="6"/>
    <x v="1"/>
    <x v="1"/>
    <s v="Petrol"/>
    <m/>
    <m/>
    <s v="Diesel"/>
    <n v="11"/>
    <n v="6"/>
    <n v="4"/>
    <m/>
    <m/>
    <m/>
    <m/>
    <m/>
    <m/>
    <n v="16"/>
    <n v="52"/>
    <n v="92"/>
    <n v="11800"/>
    <s v="No preference"/>
    <n v="8"/>
    <s v="Agriculture-related"/>
    <s v="Rarely"/>
    <s v="Shared Rickshaw"/>
    <n v="2"/>
  </r>
  <r>
    <n v="34"/>
    <x v="1"/>
    <x v="2"/>
    <n v="4"/>
    <x v="0"/>
    <x v="8"/>
    <m/>
    <m/>
    <s v="Petrol"/>
    <m/>
    <m/>
    <m/>
    <m/>
    <m/>
    <m/>
    <m/>
    <n v="5"/>
    <n v="32"/>
    <n v="39"/>
    <m/>
    <m/>
    <m/>
    <n v="4400"/>
    <s v="Shell"/>
    <n v="16"/>
    <s v="Office"/>
    <s v="Rarely"/>
    <s v="Bus"/>
    <n v="0"/>
  </r>
  <r>
    <n v="28"/>
    <x v="0"/>
    <x v="1"/>
    <n v="4"/>
    <x v="0"/>
    <x v="2"/>
    <m/>
    <s v="Petrol"/>
    <m/>
    <m/>
    <m/>
    <m/>
    <m/>
    <n v="5"/>
    <n v="6"/>
    <n v="4"/>
    <m/>
    <m/>
    <m/>
    <m/>
    <m/>
    <m/>
    <n v="520"/>
    <s v="Reliance"/>
    <n v="3"/>
    <s v="School pickup/drop"/>
    <s v="Never"/>
    <s v="I don’t use public transport"/>
    <n v="0"/>
  </r>
  <r>
    <n v="47"/>
    <x v="1"/>
    <x v="4"/>
    <n v="4"/>
    <x v="1"/>
    <x v="4"/>
    <s v="Petrol"/>
    <m/>
    <s v="Petrol"/>
    <m/>
    <n v="9"/>
    <n v="8"/>
    <n v="5"/>
    <m/>
    <m/>
    <m/>
    <n v="7"/>
    <n v="27"/>
    <n v="25"/>
    <m/>
    <m/>
    <m/>
    <n v="4500"/>
    <s v="Indian Oil"/>
    <n v="14"/>
    <s v="Office"/>
    <s v="Rarely"/>
    <s v="Bus"/>
    <n v="2"/>
  </r>
  <r>
    <n v="27"/>
    <x v="1"/>
    <x v="2"/>
    <n v="3"/>
    <x v="0"/>
    <x v="0"/>
    <s v="Petrol"/>
    <m/>
    <m/>
    <m/>
    <n v="3"/>
    <n v="19"/>
    <n v="10"/>
    <m/>
    <m/>
    <m/>
    <m/>
    <m/>
    <m/>
    <m/>
    <m/>
    <m/>
    <n v="1300"/>
    <s v="Indian Oil"/>
    <n v="9"/>
    <s v="Office"/>
    <s v="Rarely"/>
    <s v="Bus"/>
    <n v="2"/>
  </r>
  <r>
    <n v="35"/>
    <x v="1"/>
    <x v="2"/>
    <n v="5"/>
    <x v="1"/>
    <x v="4"/>
    <s v="Petrol"/>
    <m/>
    <s v="Petrol"/>
    <m/>
    <n v="7"/>
    <n v="8"/>
    <n v="5"/>
    <m/>
    <m/>
    <m/>
    <n v="6"/>
    <n v="22"/>
    <n v="21"/>
    <m/>
    <m/>
    <m/>
    <n v="3600"/>
    <s v="HP"/>
    <n v="12"/>
    <s v="Work"/>
    <s v="Never"/>
    <s v="I don’t use public transport"/>
    <n v="0"/>
  </r>
  <r>
    <n v="48"/>
    <x v="1"/>
    <x v="2"/>
    <n v="5"/>
    <x v="1"/>
    <x v="1"/>
    <s v="Petrol"/>
    <m/>
    <m/>
    <s v="Diesel"/>
    <n v="10"/>
    <n v="6"/>
    <n v="4"/>
    <m/>
    <m/>
    <m/>
    <m/>
    <m/>
    <m/>
    <n v="12"/>
    <n v="55"/>
    <n v="85"/>
    <n v="11000"/>
    <s v="Indian Oil"/>
    <n v="7"/>
    <s v="Agriculture-related"/>
    <s v="Monthly"/>
    <s v="Bus"/>
    <n v="0"/>
  </r>
  <r>
    <n v="25"/>
    <x v="0"/>
    <x v="0"/>
    <n v="4"/>
    <x v="0"/>
    <x v="2"/>
    <m/>
    <s v="Petrol"/>
    <m/>
    <m/>
    <m/>
    <m/>
    <m/>
    <n v="3"/>
    <n v="2"/>
    <n v="8"/>
    <m/>
    <m/>
    <m/>
    <m/>
    <m/>
    <m/>
    <n v="650"/>
    <s v="BPCL"/>
    <n v="4"/>
    <s v="College"/>
    <s v="Rarely"/>
    <s v="Bus"/>
    <n v="0"/>
  </r>
  <r>
    <n v="31"/>
    <x v="1"/>
    <x v="2"/>
    <n v="4"/>
    <x v="0"/>
    <x v="0"/>
    <s v="Petrol"/>
    <m/>
    <m/>
    <m/>
    <n v="4"/>
    <n v="20"/>
    <n v="11"/>
    <m/>
    <m/>
    <m/>
    <m/>
    <m/>
    <m/>
    <m/>
    <m/>
    <m/>
    <n v="1000"/>
    <s v="BPCL"/>
    <n v="5"/>
    <s v="Office"/>
    <s v="Never"/>
    <s v="I don’t use public transport"/>
    <n v="2"/>
  </r>
  <r>
    <n v="28"/>
    <x v="0"/>
    <x v="1"/>
    <n v="4"/>
    <x v="0"/>
    <x v="2"/>
    <m/>
    <s v="Petrol"/>
    <m/>
    <m/>
    <m/>
    <m/>
    <m/>
    <n v="5"/>
    <n v="6"/>
    <n v="4"/>
    <m/>
    <m/>
    <m/>
    <m/>
    <m/>
    <m/>
    <n v="420"/>
    <s v="BPCL"/>
    <n v="3"/>
    <s v="School pickup/drop"/>
    <s v="Rarely"/>
    <s v="Shared Rickshaw"/>
    <n v="0"/>
  </r>
  <r>
    <n v="45"/>
    <x v="1"/>
    <x v="4"/>
    <n v="5"/>
    <x v="1"/>
    <x v="1"/>
    <s v="Petrol"/>
    <m/>
    <m/>
    <s v="Diesel"/>
    <n v="9"/>
    <n v="7"/>
    <n v="4"/>
    <m/>
    <m/>
    <m/>
    <m/>
    <m/>
    <m/>
    <n v="15"/>
    <n v="52"/>
    <n v="85"/>
    <n v="10800"/>
    <s v="HP"/>
    <n v="6"/>
    <s v="Agriculture-related"/>
    <s v="Never"/>
    <s v="I don’t use public transport"/>
    <n v="0"/>
  </r>
  <r>
    <n v="34"/>
    <x v="1"/>
    <x v="4"/>
    <n v="4"/>
    <x v="0"/>
    <x v="8"/>
    <m/>
    <m/>
    <s v="Petrol"/>
    <m/>
    <m/>
    <m/>
    <m/>
    <m/>
    <m/>
    <m/>
    <n v="5"/>
    <n v="28"/>
    <n v="26"/>
    <m/>
    <m/>
    <m/>
    <n v="4000"/>
    <s v="Shell"/>
    <n v="9"/>
    <s v="Office"/>
    <s v="Never"/>
    <s v="I don’t use public transport"/>
    <n v="2"/>
  </r>
  <r>
    <n v="25"/>
    <x v="0"/>
    <x v="1"/>
    <n v="6"/>
    <x v="0"/>
    <x v="0"/>
    <s v="Petrol"/>
    <m/>
    <m/>
    <m/>
    <n v="1"/>
    <n v="14"/>
    <n v="9"/>
    <m/>
    <m/>
    <m/>
    <m/>
    <m/>
    <m/>
    <m/>
    <m/>
    <m/>
    <n v="1000"/>
    <s v="HP"/>
    <n v="7"/>
    <s v="Office"/>
    <s v="Rarely"/>
    <s v="Bus"/>
    <n v="2"/>
  </r>
  <r>
    <n v="39"/>
    <x v="1"/>
    <x v="2"/>
    <n v="5"/>
    <x v="1"/>
    <x v="4"/>
    <s v="Petrol"/>
    <m/>
    <s v="Petrol"/>
    <m/>
    <n v="8"/>
    <n v="9"/>
    <n v="6"/>
    <m/>
    <m/>
    <m/>
    <n v="6"/>
    <n v="24"/>
    <n v="22"/>
    <m/>
    <m/>
    <m/>
    <n v="4000"/>
    <s v="Shell"/>
    <n v="5"/>
    <s v="Office"/>
    <s v="Rarely"/>
    <s v="Auto"/>
    <n v="0"/>
  </r>
  <r>
    <n v="28"/>
    <x v="1"/>
    <x v="2"/>
    <n v="5"/>
    <x v="0"/>
    <x v="0"/>
    <s v="Petrol"/>
    <m/>
    <m/>
    <m/>
    <n v="3"/>
    <n v="18"/>
    <n v="10"/>
    <m/>
    <m/>
    <m/>
    <m/>
    <m/>
    <m/>
    <m/>
    <m/>
    <m/>
    <n v="1300"/>
    <s v="BPCL"/>
    <n v="8"/>
    <s v="Office"/>
    <s v="Never"/>
    <s v="I don’t use public transport"/>
    <n v="0"/>
  </r>
  <r>
    <n v="24"/>
    <x v="0"/>
    <x v="0"/>
    <n v="4"/>
    <x v="0"/>
    <x v="15"/>
    <s v="Petrol"/>
    <m/>
    <m/>
    <m/>
    <n v="6"/>
    <n v="5"/>
    <n v="3"/>
    <m/>
    <m/>
    <m/>
    <m/>
    <m/>
    <m/>
    <m/>
    <m/>
    <m/>
    <n v="390"/>
    <s v="Shell"/>
    <n v="2"/>
    <s v="Office"/>
    <s v="Weekly"/>
    <s v="Private Bus"/>
    <n v="0"/>
  </r>
  <r>
    <n v="19"/>
    <x v="0"/>
    <x v="1"/>
    <n v="5"/>
    <x v="0"/>
    <x v="0"/>
    <s v="Petrol"/>
    <m/>
    <m/>
    <m/>
    <n v="20"/>
    <n v="15"/>
    <n v="30"/>
    <m/>
    <m/>
    <m/>
    <m/>
    <m/>
    <m/>
    <m/>
    <m/>
    <m/>
    <n v="3000"/>
    <s v="Indian Oil"/>
    <n v="11"/>
    <s v="College"/>
    <s v="Daily"/>
    <s v="Bus"/>
    <n v="0"/>
  </r>
  <r>
    <n v="52"/>
    <x v="1"/>
    <x v="2"/>
    <n v="4"/>
    <x v="1"/>
    <x v="1"/>
    <s v="Petrol"/>
    <m/>
    <m/>
    <s v="Diesel"/>
    <n v="11"/>
    <n v="6"/>
    <n v="4"/>
    <m/>
    <m/>
    <m/>
    <m/>
    <m/>
    <m/>
    <n v="16"/>
    <n v="58"/>
    <n v="90"/>
    <n v="11600"/>
    <s v="BPCL"/>
    <n v="7"/>
    <s v="Agriculture-related"/>
    <s v="Weekly"/>
    <s v="Shared Rickshaw"/>
    <n v="2"/>
  </r>
  <r>
    <n v="26"/>
    <x v="0"/>
    <x v="2"/>
    <n v="4"/>
    <x v="0"/>
    <x v="2"/>
    <m/>
    <s v="Petrol"/>
    <m/>
    <m/>
    <m/>
    <m/>
    <m/>
    <n v="2"/>
    <n v="9"/>
    <n v="5"/>
    <m/>
    <m/>
    <m/>
    <m/>
    <m/>
    <m/>
    <n v="650"/>
    <s v="Indian Oil"/>
    <n v="4"/>
    <s v="Office"/>
    <s v="Never"/>
    <s v="I don’t use public transport"/>
    <n v="0"/>
  </r>
  <r>
    <n v="41"/>
    <x v="1"/>
    <x v="4"/>
    <n v="4"/>
    <x v="1"/>
    <x v="4"/>
    <s v="Petrol"/>
    <m/>
    <s v="Petrol"/>
    <m/>
    <n v="7"/>
    <n v="8"/>
    <n v="5"/>
    <m/>
    <m/>
    <m/>
    <n v="5"/>
    <n v="26"/>
    <n v="24"/>
    <m/>
    <m/>
    <m/>
    <n v="4300"/>
    <s v="Indian Oil"/>
    <n v="13"/>
    <s v="Office"/>
    <s v="Rarely"/>
    <s v="Bus"/>
    <n v="2"/>
  </r>
  <r>
    <n v="22"/>
    <x v="0"/>
    <x v="0"/>
    <n v="4"/>
    <x v="0"/>
    <x v="0"/>
    <s v="Petrol"/>
    <m/>
    <m/>
    <m/>
    <n v="1"/>
    <n v="12"/>
    <n v="8"/>
    <m/>
    <m/>
    <m/>
    <m/>
    <m/>
    <m/>
    <m/>
    <m/>
    <m/>
    <n v="850"/>
    <s v="HP"/>
    <n v="6"/>
    <s v="College"/>
    <s v="Weekly"/>
    <s v="Bus"/>
    <n v="0"/>
  </r>
  <r>
    <n v="27"/>
    <x v="1"/>
    <x v="2"/>
    <n v="4"/>
    <x v="0"/>
    <x v="8"/>
    <m/>
    <m/>
    <s v="Petrol"/>
    <m/>
    <m/>
    <m/>
    <m/>
    <m/>
    <m/>
    <m/>
    <n v="5"/>
    <n v="24"/>
    <n v="24"/>
    <m/>
    <m/>
    <m/>
    <n v="3000"/>
    <s v="Shell"/>
    <n v="12"/>
    <s v="Long travel"/>
    <s v="Monthly"/>
    <s v="Bus"/>
    <n v="2"/>
  </r>
  <r>
    <n v="36"/>
    <x v="0"/>
    <x v="1"/>
    <n v="6"/>
    <x v="0"/>
    <x v="15"/>
    <s v="Petrol"/>
    <m/>
    <m/>
    <m/>
    <n v="6"/>
    <n v="12"/>
    <n v="8"/>
    <m/>
    <m/>
    <m/>
    <m/>
    <m/>
    <m/>
    <m/>
    <m/>
    <m/>
    <n v="300"/>
    <s v="BPCL"/>
    <n v="3"/>
    <s v="Market/Shopping"/>
    <s v="Rarely"/>
    <s v="Shared Rickshaw"/>
    <n v="0"/>
  </r>
  <r>
    <n v="33"/>
    <x v="1"/>
    <x v="2"/>
    <n v="3"/>
    <x v="0"/>
    <x v="8"/>
    <m/>
    <m/>
    <s v="Petrol"/>
    <m/>
    <m/>
    <m/>
    <m/>
    <m/>
    <m/>
    <m/>
    <n v="4"/>
    <n v="30"/>
    <n v="28"/>
    <m/>
    <m/>
    <m/>
    <n v="2800"/>
    <s v="HP"/>
    <n v="14"/>
    <s v="Office"/>
    <s v="Never"/>
    <s v="I don’t use public transport"/>
    <n v="2"/>
  </r>
  <r>
    <n v="30"/>
    <x v="0"/>
    <x v="2"/>
    <n v="4"/>
    <x v="0"/>
    <x v="2"/>
    <m/>
    <s v="Petrol"/>
    <m/>
    <m/>
    <m/>
    <m/>
    <m/>
    <n v="5"/>
    <n v="14"/>
    <n v="9"/>
    <m/>
    <m/>
    <m/>
    <m/>
    <m/>
    <m/>
    <n v="900"/>
    <s v="Indian Oil"/>
    <n v="7"/>
    <s v="Office"/>
    <s v="Never"/>
    <s v="I don’t use public transport"/>
    <n v="0"/>
  </r>
  <r>
    <n v="38"/>
    <x v="1"/>
    <x v="2"/>
    <n v="5"/>
    <x v="1"/>
    <x v="4"/>
    <s v="Petrol"/>
    <m/>
    <s v="Petrol"/>
    <m/>
    <n v="6"/>
    <n v="10"/>
    <n v="6"/>
    <m/>
    <m/>
    <m/>
    <n v="5"/>
    <n v="24"/>
    <n v="22"/>
    <m/>
    <m/>
    <m/>
    <n v="4000"/>
    <s v="Indian Oil"/>
    <n v="12"/>
    <s v="Office"/>
    <s v="Rarely"/>
    <s v="Bus"/>
    <n v="0"/>
  </r>
  <r>
    <n v="22"/>
    <x v="0"/>
    <x v="0"/>
    <n v="5"/>
    <x v="0"/>
    <x v="2"/>
    <m/>
    <s v="Petrol"/>
    <m/>
    <m/>
    <m/>
    <m/>
    <m/>
    <n v="2"/>
    <n v="8"/>
    <n v="5"/>
    <m/>
    <m/>
    <m/>
    <m/>
    <m/>
    <m/>
    <n v="650"/>
    <s v="Shell"/>
    <n v="4"/>
    <s v="College"/>
    <s v="Weekly"/>
    <s v="Bus"/>
    <n v="1"/>
  </r>
  <r>
    <n v="55"/>
    <x v="0"/>
    <x v="2"/>
    <n v="4"/>
    <x v="1"/>
    <x v="1"/>
    <s v="Petrol"/>
    <m/>
    <m/>
    <s v="Diesel"/>
    <n v="12"/>
    <n v="5"/>
    <n v="3"/>
    <m/>
    <m/>
    <m/>
    <m/>
    <m/>
    <m/>
    <n v="18"/>
    <n v="70"/>
    <n v="90"/>
    <n v="12000"/>
    <s v="Indian Oil"/>
    <n v="8"/>
    <s v="Agriculture-related"/>
    <s v="Never"/>
    <s v="I don’t use public transport"/>
    <n v="2"/>
  </r>
  <r>
    <n v="29"/>
    <x v="0"/>
    <x v="1"/>
    <n v="4"/>
    <x v="0"/>
    <x v="0"/>
    <s v="Petrol"/>
    <m/>
    <m/>
    <m/>
    <n v="4"/>
    <n v="16"/>
    <n v="9"/>
    <m/>
    <m/>
    <m/>
    <m/>
    <m/>
    <m/>
    <m/>
    <m/>
    <m/>
    <n v="1000"/>
    <s v="Reliance"/>
    <n v="8"/>
    <s v="Office"/>
    <s v="Monthly"/>
    <s v="Bus"/>
    <n v="1"/>
  </r>
  <r>
    <n v="44"/>
    <x v="1"/>
    <x v="4"/>
    <n v="4"/>
    <x v="0"/>
    <x v="8"/>
    <m/>
    <m/>
    <s v="Petrol"/>
    <m/>
    <m/>
    <m/>
    <m/>
    <m/>
    <m/>
    <m/>
    <n v="8"/>
    <n v="26"/>
    <n v="24"/>
    <m/>
    <m/>
    <m/>
    <n v="3000"/>
    <s v="HP"/>
    <n v="13"/>
    <s v="Office"/>
    <s v="Rarely"/>
    <s v="Shared Rickshaw"/>
    <n v="2"/>
  </r>
  <r>
    <n v="21"/>
    <x v="0"/>
    <x v="0"/>
    <n v="5"/>
    <x v="0"/>
    <x v="0"/>
    <s v="Petrol"/>
    <m/>
    <m/>
    <m/>
    <n v="1"/>
    <n v="12"/>
    <n v="8"/>
    <m/>
    <m/>
    <m/>
    <m/>
    <m/>
    <m/>
    <m/>
    <m/>
    <m/>
    <n v="850"/>
    <s v="BPCL"/>
    <n v="6"/>
    <s v="College"/>
    <s v="Rarely"/>
    <s v="Bus"/>
    <n v="2"/>
  </r>
  <r>
    <n v="49"/>
    <x v="1"/>
    <x v="4"/>
    <n v="5"/>
    <x v="1"/>
    <x v="1"/>
    <s v="Petrol"/>
    <m/>
    <m/>
    <s v="Diesel"/>
    <n v="10"/>
    <n v="6"/>
    <n v="4"/>
    <m/>
    <m/>
    <m/>
    <m/>
    <m/>
    <m/>
    <n v="14"/>
    <n v="54"/>
    <n v="88"/>
    <n v="11800"/>
    <s v="Indian Oil"/>
    <n v="7"/>
    <s v="Agriculture-related"/>
    <s v="Rarely"/>
    <s v="Bus"/>
    <n v="2"/>
  </r>
  <r>
    <n v="32"/>
    <x v="1"/>
    <x v="2"/>
    <n v="5"/>
    <x v="0"/>
    <x v="0"/>
    <s v="Petrol"/>
    <m/>
    <m/>
    <m/>
    <n v="3"/>
    <n v="31"/>
    <n v="28"/>
    <m/>
    <m/>
    <m/>
    <m/>
    <m/>
    <m/>
    <m/>
    <m/>
    <m/>
    <n v="3000"/>
    <s v="Shell"/>
    <n v="15"/>
    <s v="Office"/>
    <s v="Rarely"/>
    <s v="Bus"/>
    <n v="0"/>
  </r>
  <r>
    <n v="35"/>
    <x v="0"/>
    <x v="0"/>
    <n v="5"/>
    <x v="0"/>
    <x v="2"/>
    <m/>
    <s v="Petrol"/>
    <m/>
    <m/>
    <m/>
    <m/>
    <m/>
    <n v="6"/>
    <n v="5"/>
    <n v="3"/>
    <m/>
    <m/>
    <m/>
    <m/>
    <m/>
    <m/>
    <n v="390"/>
    <s v="Shell"/>
    <n v="2"/>
    <s v="Market/Shopping"/>
    <s v="Rarely"/>
    <s v="Auto"/>
    <n v="1"/>
  </r>
  <r>
    <n v="37"/>
    <x v="1"/>
    <x v="2"/>
    <n v="4"/>
    <x v="1"/>
    <x v="4"/>
    <s v="Petrol"/>
    <m/>
    <s v="Petrol"/>
    <m/>
    <n v="7"/>
    <n v="9"/>
    <n v="6"/>
    <m/>
    <m/>
    <m/>
    <n v="6"/>
    <n v="25"/>
    <n v="23"/>
    <m/>
    <m/>
    <m/>
    <n v="4000"/>
    <s v="Indian Oil"/>
    <n v="13"/>
    <s v="Office"/>
    <s v="Rarely"/>
    <s v="Bus"/>
    <n v="0"/>
  </r>
  <r>
    <n v="39"/>
    <x v="1"/>
    <x v="2"/>
    <n v="5"/>
    <x v="0"/>
    <x v="0"/>
    <s v="Petrol"/>
    <m/>
    <m/>
    <m/>
    <n v="9"/>
    <n v="8"/>
    <n v="5"/>
    <m/>
    <m/>
    <m/>
    <m/>
    <m/>
    <m/>
    <m/>
    <m/>
    <m/>
    <n v="650"/>
    <s v="Indian Oil"/>
    <n v="4"/>
    <s v="Agriculture-related"/>
    <s v="Rarely"/>
    <s v="Bus"/>
    <n v="2"/>
  </r>
  <r>
    <n v="27"/>
    <x v="0"/>
    <x v="2"/>
    <n v="4"/>
    <x v="0"/>
    <x v="2"/>
    <m/>
    <s v="Petrol"/>
    <m/>
    <m/>
    <m/>
    <m/>
    <m/>
    <n v="2"/>
    <n v="8"/>
    <n v="10"/>
    <m/>
    <m/>
    <m/>
    <m/>
    <m/>
    <m/>
    <n v="780"/>
    <s v="Shell"/>
    <n v="4"/>
    <s v="Office"/>
    <s v="Rarely"/>
    <s v="Bus"/>
    <n v="0"/>
  </r>
  <r>
    <n v="60"/>
    <x v="1"/>
    <x v="4"/>
    <n v="4"/>
    <x v="0"/>
    <x v="16"/>
    <m/>
    <m/>
    <m/>
    <s v="Petrol"/>
    <m/>
    <m/>
    <m/>
    <m/>
    <m/>
    <m/>
    <m/>
    <m/>
    <m/>
    <n v="22"/>
    <n v="48"/>
    <n v="85"/>
    <n v="8300"/>
    <s v="Indian Oil"/>
    <n v="6"/>
    <s v="Agriculture-related"/>
    <s v="Rarely"/>
    <s v="Bus"/>
    <n v="0"/>
  </r>
  <r>
    <n v="31"/>
    <x v="1"/>
    <x v="2"/>
    <n v="4"/>
    <x v="1"/>
    <x v="4"/>
    <s v="Petrol"/>
    <m/>
    <s v="Petrol"/>
    <m/>
    <n v="6"/>
    <n v="8"/>
    <n v="5"/>
    <m/>
    <m/>
    <m/>
    <n v="5"/>
    <n v="26"/>
    <n v="24"/>
    <m/>
    <m/>
    <m/>
    <n v="4000"/>
    <s v="HP"/>
    <n v="13"/>
    <s v="Office"/>
    <s v="Rarely"/>
    <s v="Bus"/>
    <n v="0"/>
  </r>
  <r>
    <n v="40"/>
    <x v="0"/>
    <x v="1"/>
    <n v="5"/>
    <x v="0"/>
    <x v="2"/>
    <m/>
    <s v="Petrol"/>
    <m/>
    <m/>
    <m/>
    <m/>
    <m/>
    <n v="6"/>
    <n v="5"/>
    <n v="4"/>
    <m/>
    <m/>
    <m/>
    <m/>
    <m/>
    <m/>
    <n v="520"/>
    <s v="BPCL"/>
    <n v="4"/>
    <s v="Office"/>
    <s v="Rarely"/>
    <s v="Shared Rickshaw"/>
    <n v="2"/>
  </r>
  <r>
    <n v="28"/>
    <x v="1"/>
    <x v="2"/>
    <n v="5"/>
    <x v="0"/>
    <x v="0"/>
    <s v="Petrol"/>
    <m/>
    <m/>
    <m/>
    <n v="2"/>
    <n v="21"/>
    <n v="12"/>
    <m/>
    <m/>
    <m/>
    <m/>
    <m/>
    <m/>
    <m/>
    <m/>
    <m/>
    <n v="1500"/>
    <s v="Indian Oil"/>
    <n v="11"/>
    <s v="Office"/>
    <s v="Rarely"/>
    <s v="Auto"/>
    <n v="2"/>
  </r>
  <r>
    <n v="50"/>
    <x v="1"/>
    <x v="4"/>
    <n v="4"/>
    <x v="1"/>
    <x v="4"/>
    <s v="Petrol"/>
    <m/>
    <s v="Petrol"/>
    <m/>
    <n v="10"/>
    <n v="6"/>
    <n v="4"/>
    <m/>
    <m/>
    <m/>
    <n v="7"/>
    <n v="20"/>
    <n v="19"/>
    <m/>
    <m/>
    <m/>
    <n v="330"/>
    <s v="No preference"/>
    <n v="10"/>
    <s v="Office"/>
    <s v="Never"/>
    <s v="I don’t use public transport"/>
    <n v="0"/>
  </r>
  <r>
    <n v="21"/>
    <x v="0"/>
    <x v="0"/>
    <n v="5"/>
    <x v="0"/>
    <x v="2"/>
    <m/>
    <s v="Petrol"/>
    <m/>
    <m/>
    <m/>
    <m/>
    <m/>
    <n v="1"/>
    <n v="7"/>
    <n v="4"/>
    <m/>
    <m/>
    <m/>
    <m/>
    <m/>
    <m/>
    <n v="520"/>
    <s v="BPCL"/>
    <n v="4"/>
    <s v="College"/>
    <s v="Monthly"/>
    <s v="Bus"/>
    <n v="0"/>
  </r>
  <r>
    <n v="62"/>
    <x v="1"/>
    <x v="2"/>
    <n v="5"/>
    <x v="0"/>
    <x v="16"/>
    <m/>
    <m/>
    <m/>
    <s v="Diesel"/>
    <m/>
    <m/>
    <m/>
    <m/>
    <m/>
    <m/>
    <m/>
    <m/>
    <m/>
    <n v="24"/>
    <n v="55"/>
    <n v="90"/>
    <n v="9000"/>
    <s v="Indian Oil"/>
    <n v="5"/>
    <s v="Agriculture-related"/>
    <s v="Rarely"/>
    <s v="Bus"/>
    <n v="2"/>
  </r>
  <r>
    <n v="34"/>
    <x v="1"/>
    <x v="2"/>
    <n v="3"/>
    <x v="1"/>
    <x v="14"/>
    <s v="Petrol"/>
    <m/>
    <m/>
    <m/>
    <n v="5"/>
    <n v="8"/>
    <n v="5"/>
    <m/>
    <m/>
    <m/>
    <m/>
    <m/>
    <m/>
    <m/>
    <m/>
    <m/>
    <n v="2200"/>
    <s v="BPCL"/>
    <n v="11"/>
    <s v="Office"/>
    <s v="Rarely"/>
    <s v="Bus"/>
    <n v="2"/>
  </r>
  <r>
    <n v="25"/>
    <x v="1"/>
    <x v="1"/>
    <n v="5"/>
    <x v="0"/>
    <x v="0"/>
    <s v="Petrol"/>
    <m/>
    <m/>
    <m/>
    <n v="4"/>
    <n v="18"/>
    <n v="10"/>
    <m/>
    <m/>
    <m/>
    <m/>
    <m/>
    <m/>
    <m/>
    <m/>
    <m/>
    <n v="1300"/>
    <s v="Indian Oil"/>
    <n v="9"/>
    <s v="Office"/>
    <s v="Rarely"/>
    <s v="Bus"/>
    <n v="2"/>
  </r>
  <r>
    <n v="24"/>
    <x v="0"/>
    <x v="0"/>
    <n v="5"/>
    <x v="0"/>
    <x v="2"/>
    <m/>
    <s v="Petrol"/>
    <m/>
    <m/>
    <m/>
    <m/>
    <m/>
    <n v="2"/>
    <n v="7"/>
    <n v="4"/>
    <m/>
    <m/>
    <m/>
    <m/>
    <m/>
    <m/>
    <n v="520"/>
    <s v="BPCL"/>
    <n v="3"/>
    <s v="College"/>
    <s v="Rarely"/>
    <s v="Bus"/>
    <n v="0"/>
  </r>
  <r>
    <n v="42"/>
    <x v="1"/>
    <x v="4"/>
    <n v="4"/>
    <x v="1"/>
    <x v="4"/>
    <s v="Petrol"/>
    <m/>
    <s v="Petrol"/>
    <m/>
    <n v="8"/>
    <n v="6"/>
    <n v="4"/>
    <m/>
    <m/>
    <m/>
    <n v="6"/>
    <n v="21"/>
    <n v="20"/>
    <m/>
    <m/>
    <m/>
    <n v="3200"/>
    <s v="HP"/>
    <n v="10"/>
    <s v="Business"/>
    <s v="Rarely"/>
    <s v="Auto"/>
    <n v="2"/>
  </r>
  <r>
    <n v="22"/>
    <x v="0"/>
    <x v="0"/>
    <n v="4"/>
    <x v="0"/>
    <x v="0"/>
    <s v="Petrol"/>
    <m/>
    <m/>
    <m/>
    <n v="1"/>
    <n v="12"/>
    <n v="7"/>
    <m/>
    <m/>
    <m/>
    <m/>
    <m/>
    <m/>
    <m/>
    <m/>
    <m/>
    <n v="910"/>
    <s v="HP"/>
    <n v="4"/>
    <s v="College"/>
    <s v="Weekly"/>
    <s v="Auto"/>
    <n v="2"/>
  </r>
  <r>
    <n v="57"/>
    <x v="1"/>
    <x v="4"/>
    <n v="5"/>
    <x v="1"/>
    <x v="1"/>
    <s v="Petrol"/>
    <m/>
    <m/>
    <s v="Diesel"/>
    <n v="13"/>
    <n v="5"/>
    <n v="3"/>
    <m/>
    <m/>
    <m/>
    <m/>
    <m/>
    <m/>
    <n v="17"/>
    <n v="52"/>
    <n v="88"/>
    <n v="10600"/>
    <s v="Indian Oil"/>
    <n v="6"/>
    <s v="Agriculture-related"/>
    <s v="Never"/>
    <s v="I don’t use public transport"/>
    <n v="0"/>
  </r>
  <r>
    <n v="27"/>
    <x v="1"/>
    <x v="2"/>
    <n v="4"/>
    <x v="0"/>
    <x v="8"/>
    <m/>
    <m/>
    <s v="Petrol"/>
    <m/>
    <m/>
    <m/>
    <m/>
    <m/>
    <m/>
    <m/>
    <n v="4"/>
    <n v="27"/>
    <n v="25"/>
    <m/>
    <m/>
    <m/>
    <n v="3900"/>
    <s v="Shell"/>
    <n v="13"/>
    <s v="Office"/>
    <s v="Never"/>
    <s v="I don’t use public transport"/>
    <n v="0"/>
  </r>
  <r>
    <n v="28"/>
    <x v="0"/>
    <x v="1"/>
    <n v="5"/>
    <x v="0"/>
    <x v="2"/>
    <m/>
    <s v="Petrol"/>
    <m/>
    <m/>
    <m/>
    <m/>
    <m/>
    <n v="5"/>
    <n v="4"/>
    <n v="3"/>
    <m/>
    <m/>
    <m/>
    <m/>
    <m/>
    <m/>
    <n v="350"/>
    <s v="BPCL"/>
    <n v="2"/>
    <s v="Market/Shopping"/>
    <s v="Never"/>
    <s v="I don’t use public transport"/>
    <n v="0"/>
  </r>
  <r>
    <n v="40"/>
    <x v="1"/>
    <x v="2"/>
    <n v="4"/>
    <x v="1"/>
    <x v="4"/>
    <s v="Petrol"/>
    <m/>
    <s v="Petrol"/>
    <m/>
    <n v="7"/>
    <n v="8"/>
    <n v="5"/>
    <m/>
    <m/>
    <m/>
    <n v="5"/>
    <n v="23"/>
    <n v="21"/>
    <m/>
    <m/>
    <m/>
    <n v="3700"/>
    <s v="Indian Oil"/>
    <n v="11"/>
    <s v="Business"/>
    <s v="Rarely"/>
    <s v="Auto"/>
    <n v="2"/>
  </r>
  <r>
    <n v="34"/>
    <x v="0"/>
    <x v="2"/>
    <n v="4"/>
    <x v="0"/>
    <x v="0"/>
    <s v="Petrol"/>
    <m/>
    <m/>
    <m/>
    <n v="5"/>
    <n v="17"/>
    <n v="10"/>
    <m/>
    <m/>
    <m/>
    <m/>
    <m/>
    <m/>
    <m/>
    <m/>
    <m/>
    <n v="1300"/>
    <s v="Indian Oil"/>
    <n v="8"/>
    <s v="Office"/>
    <s v="Rarely"/>
    <s v="Bus"/>
    <n v="2"/>
  </r>
  <r>
    <n v="27"/>
    <x v="1"/>
    <x v="2"/>
    <n v="5"/>
    <x v="0"/>
    <x v="0"/>
    <s v="Petrol"/>
    <m/>
    <m/>
    <m/>
    <n v="3"/>
    <n v="16"/>
    <n v="9"/>
    <m/>
    <m/>
    <m/>
    <m/>
    <m/>
    <m/>
    <m/>
    <m/>
    <m/>
    <n v="1000"/>
    <s v="Reliance"/>
    <n v="8"/>
    <s v="Office"/>
    <s v="Rarely"/>
    <s v="Bus"/>
    <n v="0"/>
  </r>
  <r>
    <n v="29"/>
    <x v="0"/>
    <x v="2"/>
    <n v="4"/>
    <x v="0"/>
    <x v="2"/>
    <m/>
    <s v="Petrol"/>
    <m/>
    <m/>
    <m/>
    <m/>
    <m/>
    <n v="3"/>
    <n v="9"/>
    <n v="6"/>
    <m/>
    <m/>
    <m/>
    <m/>
    <m/>
    <m/>
    <n v="780"/>
    <s v="HP"/>
    <n v="4"/>
    <s v="Office"/>
    <s v="Weekly"/>
    <s v="Bus"/>
    <n v="2"/>
  </r>
  <r>
    <n v="36"/>
    <x v="1"/>
    <x v="2"/>
    <n v="4"/>
    <x v="1"/>
    <x v="4"/>
    <s v="Petrol"/>
    <m/>
    <s v="Petrol"/>
    <m/>
    <n v="6"/>
    <n v="7"/>
    <n v="5"/>
    <m/>
    <m/>
    <m/>
    <n v="5"/>
    <n v="23"/>
    <n v="21"/>
    <m/>
    <m/>
    <m/>
    <n v="3800"/>
    <s v="HP"/>
    <n v="11"/>
    <s v="Business"/>
    <s v="Never"/>
    <s v="I don’t use public transport"/>
    <n v="0"/>
  </r>
  <r>
    <n v="28"/>
    <x v="1"/>
    <x v="2"/>
    <n v="4"/>
    <x v="0"/>
    <x v="0"/>
    <s v="Petrol"/>
    <m/>
    <m/>
    <m/>
    <n v="11"/>
    <n v="6"/>
    <n v="4"/>
    <m/>
    <m/>
    <m/>
    <m/>
    <m/>
    <m/>
    <m/>
    <m/>
    <m/>
    <n v="520"/>
    <s v="Indian Oil"/>
    <n v="3"/>
    <s v="Agriculture-related"/>
    <s v="Rarely"/>
    <s v="Bus"/>
    <n v="0"/>
  </r>
  <r>
    <n v="21"/>
    <x v="0"/>
    <x v="0"/>
    <n v="4"/>
    <x v="0"/>
    <x v="0"/>
    <s v="Petrol"/>
    <m/>
    <m/>
    <m/>
    <n v="2"/>
    <n v="13"/>
    <n v="8"/>
    <m/>
    <m/>
    <m/>
    <m/>
    <m/>
    <m/>
    <m/>
    <m/>
    <m/>
    <n v="900"/>
    <s v="HP"/>
    <n v="4"/>
    <s v="College"/>
    <s v="Rarely"/>
    <s v="Bus"/>
    <n v="2"/>
  </r>
  <r>
    <n v="54"/>
    <x v="1"/>
    <x v="2"/>
    <n v="6"/>
    <x v="1"/>
    <x v="1"/>
    <s v="Petrol"/>
    <m/>
    <m/>
    <s v="Diesel"/>
    <n v="14"/>
    <n v="5"/>
    <n v="3"/>
    <m/>
    <m/>
    <m/>
    <m/>
    <m/>
    <m/>
    <n v="19"/>
    <n v="50"/>
    <n v="80"/>
    <n v="9900"/>
    <s v="Indian Oil"/>
    <n v="6"/>
    <s v="Agriculture-related"/>
    <s v="Rarely"/>
    <s v="Bus"/>
    <n v="0"/>
  </r>
  <r>
    <n v="33"/>
    <x v="1"/>
    <x v="2"/>
    <n v="3"/>
    <x v="0"/>
    <x v="0"/>
    <s v="Petrol"/>
    <m/>
    <m/>
    <m/>
    <n v="4"/>
    <n v="20"/>
    <n v="11"/>
    <m/>
    <m/>
    <m/>
    <m/>
    <m/>
    <m/>
    <m/>
    <m/>
    <m/>
    <n v="11430"/>
    <s v="Indian Oil"/>
    <n v="10"/>
    <s v="Office"/>
    <s v="Rarely"/>
    <s v="Bus"/>
    <n v="1"/>
  </r>
  <r>
    <n v="41"/>
    <x v="0"/>
    <x v="2"/>
    <n v="5"/>
    <x v="0"/>
    <x v="2"/>
    <m/>
    <s v="Petrol"/>
    <m/>
    <m/>
    <m/>
    <m/>
    <m/>
    <n v="7"/>
    <n v="4"/>
    <n v="3"/>
    <m/>
    <m/>
    <m/>
    <m/>
    <m/>
    <m/>
    <n v="390"/>
    <s v="BPCL"/>
    <n v="3"/>
    <s v="Market/Shopping"/>
    <s v="Monthly"/>
    <s v="Auto"/>
    <n v="2"/>
  </r>
  <r>
    <n v="39"/>
    <x v="1"/>
    <x v="2"/>
    <n v="5"/>
    <x v="1"/>
    <x v="4"/>
    <s v="Petrol"/>
    <m/>
    <s v="Petrol"/>
    <m/>
    <n v="6"/>
    <n v="4"/>
    <n v="5"/>
    <m/>
    <m/>
    <m/>
    <n v="4"/>
    <n v="24"/>
    <n v="23"/>
    <m/>
    <m/>
    <m/>
    <n v="4000"/>
    <s v="Shell"/>
    <n v="12"/>
    <s v="Office"/>
    <s v="Rarely"/>
    <s v="Bus"/>
    <n v="2"/>
  </r>
  <r>
    <n v="46"/>
    <x v="1"/>
    <x v="4"/>
    <n v="4"/>
    <x v="0"/>
    <x v="8"/>
    <m/>
    <m/>
    <s v="Petrol"/>
    <m/>
    <m/>
    <m/>
    <m/>
    <m/>
    <m/>
    <m/>
    <n v="9"/>
    <n v="19"/>
    <n v="18"/>
    <m/>
    <m/>
    <m/>
    <n v="2900"/>
    <s v="Reliance"/>
    <n v="9"/>
    <s v="Business"/>
    <s v="Never"/>
    <s v="I don’t use public transport"/>
    <n v="2"/>
  </r>
  <r>
    <n v="26"/>
    <x v="0"/>
    <x v="2"/>
    <n v="4"/>
    <x v="0"/>
    <x v="2"/>
    <m/>
    <s v="Petrol"/>
    <m/>
    <m/>
    <m/>
    <m/>
    <m/>
    <n v="3"/>
    <n v="15"/>
    <n v="9"/>
    <m/>
    <m/>
    <m/>
    <m/>
    <m/>
    <m/>
    <n v="1070"/>
    <s v="Indian Oil"/>
    <n v="7"/>
    <s v="Office"/>
    <s v="Weekly"/>
    <s v="Auto"/>
    <n v="0"/>
  </r>
  <r>
    <n v="21"/>
    <x v="0"/>
    <x v="0"/>
    <n v="4"/>
    <x v="0"/>
    <x v="0"/>
    <s v="Petrol"/>
    <m/>
    <m/>
    <m/>
    <n v="6"/>
    <n v="10"/>
    <n v="12"/>
    <m/>
    <m/>
    <m/>
    <m/>
    <m/>
    <m/>
    <m/>
    <m/>
    <m/>
    <n v="1300"/>
    <s v="Indian Oil"/>
    <n v="5"/>
    <s v="College"/>
    <s v="Rarely"/>
    <s v="Bus"/>
    <n v="2"/>
  </r>
  <r>
    <n v="25"/>
    <x v="1"/>
    <x v="2"/>
    <n v="4"/>
    <x v="1"/>
    <x v="0"/>
    <s v="Petrol"/>
    <m/>
    <m/>
    <m/>
    <n v="4"/>
    <n v="18"/>
    <n v="22"/>
    <m/>
    <m/>
    <m/>
    <m/>
    <m/>
    <m/>
    <m/>
    <m/>
    <m/>
    <n v="2400"/>
    <s v="BPCL"/>
    <n v="7"/>
    <s v="Office"/>
    <s v="Never"/>
    <s v="I don’t use public transport"/>
    <n v="0"/>
  </r>
  <r>
    <n v="35"/>
    <x v="1"/>
    <x v="2"/>
    <n v="5"/>
    <x v="0"/>
    <x v="0"/>
    <s v="Petrol"/>
    <m/>
    <m/>
    <m/>
    <n v="4"/>
    <n v="12"/>
    <n v="15"/>
    <m/>
    <m/>
    <m/>
    <m/>
    <m/>
    <m/>
    <m/>
    <m/>
    <m/>
    <n v="1700"/>
    <s v="HP"/>
    <n v="7"/>
    <s v="Business"/>
    <s v="Never"/>
    <s v="I don’t use public transport"/>
    <n v="0"/>
  </r>
  <r>
    <n v="25"/>
    <x v="1"/>
    <x v="2"/>
    <n v="4"/>
    <x v="0"/>
    <x v="8"/>
    <m/>
    <m/>
    <s v="Petrol"/>
    <m/>
    <m/>
    <m/>
    <m/>
    <m/>
    <m/>
    <m/>
    <n v="6"/>
    <n v="25"/>
    <n v="55"/>
    <m/>
    <m/>
    <m/>
    <n v="6500"/>
    <s v="BPCL"/>
    <n v="12"/>
    <s v="Office"/>
    <s v="Rarely"/>
    <s v="Bus"/>
    <n v="2"/>
  </r>
  <r>
    <n v="32"/>
    <x v="0"/>
    <x v="0"/>
    <n v="5"/>
    <x v="0"/>
    <x v="2"/>
    <m/>
    <s v="Petrol"/>
    <m/>
    <m/>
    <m/>
    <m/>
    <m/>
    <n v="5"/>
    <n v="6"/>
    <n v="8"/>
    <m/>
    <m/>
    <m/>
    <m/>
    <m/>
    <m/>
    <n v="900"/>
    <s v="BPCL"/>
    <n v="3"/>
    <s v="Market/Shopping"/>
    <s v="Rarely"/>
    <s v="Shared Rickshaw"/>
    <n v="2"/>
  </r>
  <r>
    <n v="41"/>
    <x v="1"/>
    <x v="4"/>
    <n v="5"/>
    <x v="0"/>
    <x v="0"/>
    <s v="Petrol"/>
    <m/>
    <m/>
    <m/>
    <n v="8"/>
    <n v="14"/>
    <n v="18"/>
    <m/>
    <m/>
    <m/>
    <m/>
    <m/>
    <m/>
    <m/>
    <m/>
    <m/>
    <n v="2000"/>
    <s v="Indian Oil"/>
    <n v="6"/>
    <s v="Agriculture-related"/>
    <s v="Rarely"/>
    <s v="Bus"/>
    <n v="0"/>
  </r>
  <r>
    <n v="15"/>
    <x v="1"/>
    <x v="2"/>
    <n v="4"/>
    <x v="0"/>
    <x v="0"/>
    <s v="Petrol"/>
    <m/>
    <m/>
    <m/>
    <n v="3"/>
    <n v="20"/>
    <n v="24"/>
    <m/>
    <m/>
    <m/>
    <m/>
    <m/>
    <m/>
    <m/>
    <m/>
    <m/>
    <n v="2600"/>
    <s v="HP"/>
    <n v="7"/>
    <s v="Office"/>
    <s v="Rarely"/>
    <s v="Bus"/>
    <n v="2"/>
  </r>
  <r>
    <n v="55"/>
    <x v="1"/>
    <x v="4"/>
    <n v="6"/>
    <x v="1"/>
    <x v="0"/>
    <s v="Petrol"/>
    <m/>
    <m/>
    <m/>
    <n v="6"/>
    <n v="16"/>
    <n v="20"/>
    <m/>
    <m/>
    <m/>
    <m/>
    <m/>
    <m/>
    <m/>
    <m/>
    <m/>
    <n v="2200"/>
    <s v="HP"/>
    <n v="6"/>
    <s v="Office"/>
    <s v="Never"/>
    <s v="I don’t use public transport"/>
    <n v="2"/>
  </r>
  <r>
    <n v="34"/>
    <x v="1"/>
    <x v="2"/>
    <n v="5"/>
    <x v="0"/>
    <x v="8"/>
    <m/>
    <m/>
    <s v="Petrol"/>
    <m/>
    <m/>
    <m/>
    <m/>
    <m/>
    <m/>
    <m/>
    <n v="4"/>
    <n v="26"/>
    <n v="24"/>
    <m/>
    <m/>
    <m/>
    <n v="3800"/>
    <s v="Shell"/>
    <n v="13"/>
    <s v="Office"/>
    <s v="Rarely"/>
    <s v="Bus"/>
    <n v="2"/>
  </r>
  <r>
    <n v="23"/>
    <x v="0"/>
    <x v="0"/>
    <n v="4"/>
    <x v="0"/>
    <x v="2"/>
    <m/>
    <s v="Petrol"/>
    <m/>
    <m/>
    <m/>
    <m/>
    <m/>
    <n v="1"/>
    <n v="6"/>
    <n v="4"/>
    <m/>
    <m/>
    <m/>
    <m/>
    <m/>
    <m/>
    <n v="520"/>
    <s v="Reliance"/>
    <n v="3"/>
    <s v="Office"/>
    <s v="Monthly"/>
    <s v="Bus"/>
    <n v="2"/>
  </r>
  <r>
    <n v="51"/>
    <x v="1"/>
    <x v="4"/>
    <n v="5"/>
    <x v="1"/>
    <x v="1"/>
    <s v="Petrol"/>
    <m/>
    <m/>
    <s v="Diesel"/>
    <n v="12"/>
    <n v="5"/>
    <n v="3"/>
    <m/>
    <m/>
    <m/>
    <m/>
    <m/>
    <m/>
    <n v="16"/>
    <n v="56"/>
    <n v="90"/>
    <n v="11000"/>
    <s v="Indian Oil"/>
    <n v="6"/>
    <s v="Agriculture-related"/>
    <s v="Rarely"/>
    <s v="Bus"/>
    <n v="0"/>
  </r>
  <r>
    <n v="29"/>
    <x v="0"/>
    <x v="2"/>
    <n v="3"/>
    <x v="0"/>
    <x v="0"/>
    <s v="Petrol"/>
    <m/>
    <m/>
    <m/>
    <n v="4"/>
    <n v="15"/>
    <n v="9"/>
    <m/>
    <m/>
    <m/>
    <m/>
    <m/>
    <m/>
    <m/>
    <m/>
    <m/>
    <n v="1000"/>
    <s v="Indian Oil"/>
    <n v="7"/>
    <s v="Office"/>
    <s v="Rarely"/>
    <s v="Bus"/>
    <n v="2"/>
  </r>
  <r>
    <n v="27"/>
    <x v="1"/>
    <x v="2"/>
    <n v="5"/>
    <x v="0"/>
    <x v="16"/>
    <m/>
    <m/>
    <m/>
    <s v="Diesel"/>
    <m/>
    <m/>
    <m/>
    <m/>
    <m/>
    <m/>
    <m/>
    <m/>
    <m/>
    <n v="20"/>
    <n v="58"/>
    <n v="70"/>
    <n v="9400"/>
    <s v="Indian Oil"/>
    <n v="6"/>
    <s v="Agriculture-related"/>
    <s v="Never"/>
    <s v="I don’t use public transport"/>
    <n v="0"/>
  </r>
  <r>
    <n v="28"/>
    <x v="1"/>
    <x v="2"/>
    <n v="5"/>
    <x v="0"/>
    <x v="16"/>
    <m/>
    <m/>
    <m/>
    <s v="Diesel"/>
    <m/>
    <m/>
    <m/>
    <m/>
    <m/>
    <m/>
    <m/>
    <m/>
    <m/>
    <n v="21"/>
    <n v="58"/>
    <n v="85"/>
    <n v="6800"/>
    <s v="HP"/>
    <n v="5"/>
    <s v="Agriculture-related"/>
    <s v="Weekly"/>
    <s v="Shared Rickshaw"/>
    <n v="2"/>
  </r>
  <r>
    <n v="28"/>
    <x v="1"/>
    <x v="2"/>
    <n v="4"/>
    <x v="1"/>
    <x v="4"/>
    <s v="Petrol"/>
    <m/>
    <s v="Petrol"/>
    <m/>
    <n v="6"/>
    <n v="7"/>
    <n v="5"/>
    <m/>
    <m/>
    <m/>
    <n v="4"/>
    <n v="25"/>
    <n v="23"/>
    <m/>
    <m/>
    <m/>
    <n v="4000"/>
    <s v="HP"/>
    <n v="12"/>
    <s v="Office"/>
    <s v="Rarely"/>
    <s v="Bus"/>
    <n v="2"/>
  </r>
  <r>
    <n v="38"/>
    <x v="1"/>
    <x v="1"/>
    <n v="5"/>
    <x v="0"/>
    <x v="2"/>
    <m/>
    <s v="Petrol"/>
    <m/>
    <m/>
    <m/>
    <m/>
    <m/>
    <n v="6"/>
    <n v="4"/>
    <n v="3"/>
    <m/>
    <m/>
    <m/>
    <m/>
    <m/>
    <m/>
    <n v="390"/>
    <s v="Shell"/>
    <n v="2"/>
    <s v="School pickup/drop"/>
    <s v="Rarely"/>
    <s v="Auto"/>
    <n v="0"/>
  </r>
  <r>
    <n v="48"/>
    <x v="1"/>
    <x v="4"/>
    <n v="4"/>
    <x v="1"/>
    <x v="4"/>
    <s v="Petrol"/>
    <m/>
    <s v="Petrol"/>
    <m/>
    <n v="8"/>
    <n v="8"/>
    <n v="5"/>
    <m/>
    <m/>
    <m/>
    <n v="6"/>
    <n v="24"/>
    <n v="22"/>
    <m/>
    <m/>
    <m/>
    <n v="3900"/>
    <s v="HP"/>
    <n v="12"/>
    <s v="Business"/>
    <s v="Never"/>
    <s v="I don’t use public transport"/>
    <n v="0"/>
  </r>
  <r>
    <n v="31"/>
    <x v="0"/>
    <x v="2"/>
    <n v="5"/>
    <x v="0"/>
    <x v="0"/>
    <s v="Petrol"/>
    <m/>
    <m/>
    <m/>
    <n v="4"/>
    <n v="16"/>
    <n v="9"/>
    <m/>
    <m/>
    <m/>
    <m/>
    <m/>
    <m/>
    <m/>
    <m/>
    <m/>
    <n v="1070"/>
    <s v="Indian Oil"/>
    <n v="8"/>
    <s v="Office"/>
    <s v="Rarely"/>
    <s v="Bus"/>
    <n v="2"/>
  </r>
  <r>
    <n v="37"/>
    <x v="1"/>
    <x v="2"/>
    <n v="4"/>
    <x v="0"/>
    <x v="0"/>
    <s v="Petrol"/>
    <m/>
    <m/>
    <m/>
    <n v="3"/>
    <n v="17"/>
    <n v="10"/>
    <m/>
    <m/>
    <m/>
    <m/>
    <m/>
    <m/>
    <m/>
    <m/>
    <m/>
    <n v="1300"/>
    <s v="Indian Oil"/>
    <n v="8"/>
    <s v="Office"/>
    <s v="Never"/>
    <s v="I don’t use public transport"/>
    <n v="0"/>
  </r>
  <r>
    <n v="37"/>
    <x v="1"/>
    <x v="4"/>
    <n v="4"/>
    <x v="1"/>
    <x v="10"/>
    <s v="Petrol"/>
    <s v="Petrol"/>
    <m/>
    <m/>
    <n v="7"/>
    <n v="12"/>
    <n v="7"/>
    <n v="5"/>
    <n v="5"/>
    <n v="3"/>
    <m/>
    <m/>
    <m/>
    <m/>
    <m/>
    <m/>
    <n v="1300"/>
    <s v="Indian Oil"/>
    <n v="6"/>
    <s v="Office"/>
    <s v="Rarely"/>
    <s v="Bus"/>
    <n v="2"/>
  </r>
  <r>
    <n v="39"/>
    <x v="0"/>
    <x v="2"/>
    <n v="5"/>
    <x v="0"/>
    <x v="2"/>
    <m/>
    <s v="Petrol"/>
    <m/>
    <m/>
    <m/>
    <m/>
    <m/>
    <n v="2"/>
    <n v="7"/>
    <n v="5"/>
    <m/>
    <m/>
    <m/>
    <m/>
    <m/>
    <m/>
    <n v="650"/>
    <s v="HP"/>
    <n v="4"/>
    <s v="Office"/>
    <s v="Rarely"/>
    <s v="Bus"/>
    <n v="0"/>
  </r>
  <r>
    <n v="48"/>
    <x v="1"/>
    <x v="2"/>
    <n v="4"/>
    <x v="0"/>
    <x v="0"/>
    <s v="Petrol"/>
    <m/>
    <m/>
    <m/>
    <n v="14"/>
    <n v="6"/>
    <n v="4"/>
    <m/>
    <m/>
    <m/>
    <m/>
    <m/>
    <m/>
    <m/>
    <m/>
    <m/>
    <n v="520"/>
    <s v="Indian Oil"/>
    <n v="4"/>
    <s v="Agriculture-related"/>
    <s v="Rarely"/>
    <s v="Bus, Auto"/>
    <n v="0"/>
  </r>
  <r>
    <n v="39"/>
    <x v="0"/>
    <x v="1"/>
    <n v="5"/>
    <x v="0"/>
    <x v="2"/>
    <m/>
    <s v="Petrol"/>
    <m/>
    <m/>
    <m/>
    <m/>
    <m/>
    <n v="6"/>
    <n v="4"/>
    <n v="3"/>
    <m/>
    <m/>
    <m/>
    <m/>
    <m/>
    <m/>
    <n v="390"/>
    <s v="BPCL"/>
    <n v="2"/>
    <s v="Market/Shopping"/>
    <s v="Rarely"/>
    <s v="Bus, Auto"/>
    <n v="2"/>
  </r>
  <r>
    <n v="41"/>
    <x v="1"/>
    <x v="4"/>
    <n v="4"/>
    <x v="2"/>
    <x v="6"/>
    <s v="Petrol"/>
    <s v="Petrol"/>
    <s v="Petrol"/>
    <m/>
    <n v="9"/>
    <n v="8"/>
    <n v="5"/>
    <n v="4"/>
    <n v="6"/>
    <n v="4"/>
    <n v="7"/>
    <n v="22"/>
    <n v="20"/>
    <m/>
    <m/>
    <m/>
    <n v="4500"/>
    <s v="Indian Oil"/>
    <n v="10"/>
    <s v="Business"/>
    <s v="Rarely"/>
    <s v="Bus"/>
    <n v="2"/>
  </r>
  <r>
    <n v="49"/>
    <x v="0"/>
    <x v="2"/>
    <n v="5"/>
    <x v="0"/>
    <x v="0"/>
    <s v="Petrol"/>
    <m/>
    <m/>
    <m/>
    <n v="5"/>
    <n v="18"/>
    <n v="11"/>
    <m/>
    <m/>
    <m/>
    <m/>
    <m/>
    <m/>
    <m/>
    <m/>
    <m/>
    <n v="1430"/>
    <s v="HP"/>
    <n v="9"/>
    <s v="Office"/>
    <s v="Never"/>
    <s v="I don’t use public transport"/>
    <n v="0"/>
  </r>
  <r>
    <n v="43"/>
    <x v="0"/>
    <x v="1"/>
    <n v="5"/>
    <x v="0"/>
    <x v="2"/>
    <m/>
    <s v="Petrol"/>
    <m/>
    <m/>
    <m/>
    <m/>
    <m/>
    <n v="8"/>
    <n v="3"/>
    <n v="2"/>
    <m/>
    <m/>
    <m/>
    <m/>
    <m/>
    <m/>
    <n v="260"/>
    <s v="Indian Oil"/>
    <n v="2"/>
    <s v="Market/Shopping"/>
    <s v="Rarely"/>
    <s v="Bus"/>
    <n v="2"/>
  </r>
  <r>
    <n v="21"/>
    <x v="1"/>
    <x v="0"/>
    <n v="4"/>
    <x v="0"/>
    <x v="0"/>
    <s v="Petrol"/>
    <m/>
    <m/>
    <m/>
    <n v="2"/>
    <n v="20"/>
    <n v="12"/>
    <m/>
    <m/>
    <m/>
    <m/>
    <m/>
    <m/>
    <m/>
    <m/>
    <m/>
    <n v="1560"/>
    <s v="Shell"/>
    <n v="10"/>
    <s v="College"/>
    <s v="Never"/>
    <s v="I don’t use public transport"/>
    <n v="0"/>
  </r>
  <r>
    <n v="27"/>
    <x v="1"/>
    <x v="2"/>
    <n v="5"/>
    <x v="0"/>
    <x v="0"/>
    <s v="Petrol"/>
    <m/>
    <m/>
    <m/>
    <n v="3"/>
    <n v="22"/>
    <n v="12"/>
    <m/>
    <m/>
    <m/>
    <m/>
    <m/>
    <m/>
    <m/>
    <m/>
    <m/>
    <n v="1690"/>
    <s v="HP"/>
    <n v="11"/>
    <s v="Office"/>
    <s v="Monthly"/>
    <s v="Bus"/>
    <n v="0"/>
  </r>
  <r>
    <n v="62"/>
    <x v="0"/>
    <x v="1"/>
    <n v="5"/>
    <x v="0"/>
    <x v="0"/>
    <s v="Petrol"/>
    <m/>
    <m/>
    <m/>
    <n v="11"/>
    <n v="4"/>
    <n v="3"/>
    <m/>
    <m/>
    <m/>
    <m/>
    <m/>
    <m/>
    <m/>
    <m/>
    <m/>
    <n v="390"/>
    <s v="Indian Oil"/>
    <n v="2"/>
    <s v="School pickup/drop"/>
    <s v="Rarely"/>
    <s v="Auto"/>
    <n v="0"/>
  </r>
  <r>
    <n v="35"/>
    <x v="1"/>
    <x v="2"/>
    <n v="4"/>
    <x v="1"/>
    <x v="4"/>
    <s v="Petrol"/>
    <m/>
    <s v="Petrol"/>
    <m/>
    <n v="6"/>
    <n v="10"/>
    <n v="6"/>
    <m/>
    <m/>
    <m/>
    <n v="5"/>
    <n v="22"/>
    <n v="21"/>
    <m/>
    <m/>
    <m/>
    <n v="3600"/>
    <s v="BPCL"/>
    <n v="11"/>
    <s v="Office"/>
    <s v="Rarely"/>
    <s v="Bus"/>
    <n v="2"/>
  </r>
  <r>
    <n v="28"/>
    <x v="0"/>
    <x v="2"/>
    <n v="5"/>
    <x v="0"/>
    <x v="2"/>
    <m/>
    <s v="Petrol"/>
    <m/>
    <m/>
    <m/>
    <m/>
    <m/>
    <n v="3"/>
    <n v="8"/>
    <n v="5"/>
    <m/>
    <m/>
    <m/>
    <m/>
    <m/>
    <m/>
    <n v="650"/>
    <s v="BPCL"/>
    <n v="4"/>
    <s v="Office"/>
    <s v="Rarely"/>
    <s v="Bus"/>
    <n v="2"/>
  </r>
  <r>
    <n v="54"/>
    <x v="1"/>
    <x v="5"/>
    <n v="6"/>
    <x v="0"/>
    <x v="16"/>
    <m/>
    <m/>
    <m/>
    <s v="Diesel"/>
    <m/>
    <m/>
    <m/>
    <m/>
    <m/>
    <m/>
    <m/>
    <m/>
    <m/>
    <n v="18"/>
    <n v="60"/>
    <n v="95"/>
    <n v="9600"/>
    <s v="Reliance"/>
    <n v="30"/>
    <s v="Agriculture-related"/>
    <s v="Rarely"/>
    <s v="Bus"/>
    <n v="2"/>
  </r>
  <r>
    <n v="21"/>
    <x v="0"/>
    <x v="0"/>
    <n v="4"/>
    <x v="0"/>
    <x v="0"/>
    <s v="Petrol"/>
    <m/>
    <m/>
    <m/>
    <n v="2"/>
    <n v="18"/>
    <n v="11"/>
    <m/>
    <m/>
    <m/>
    <m/>
    <m/>
    <m/>
    <m/>
    <m/>
    <m/>
    <n v="1430"/>
    <s v="HP"/>
    <n v="9"/>
    <s v="College"/>
    <s v="Monthly"/>
    <s v="Bus"/>
    <n v="0"/>
  </r>
  <r>
    <n v="42"/>
    <x v="1"/>
    <x v="4"/>
    <n v="5"/>
    <x v="1"/>
    <x v="1"/>
    <s v="Petrol"/>
    <m/>
    <m/>
    <s v="Diesel"/>
    <n v="10"/>
    <n v="9"/>
    <n v="6"/>
    <m/>
    <m/>
    <m/>
    <m/>
    <m/>
    <m/>
    <n v="14"/>
    <n v="48"/>
    <n v="80"/>
    <n v="9200"/>
    <s v="Indian Oil"/>
    <n v="5"/>
    <s v="Agriculture-related"/>
    <s v="Never"/>
    <s v="I don’t use public transport"/>
    <n v="0"/>
  </r>
  <r>
    <n v="41"/>
    <x v="0"/>
    <x v="0"/>
    <n v="5"/>
    <x v="0"/>
    <x v="2"/>
    <m/>
    <s v="Petrol"/>
    <m/>
    <m/>
    <m/>
    <m/>
    <m/>
    <n v="7"/>
    <n v="4"/>
    <n v="5"/>
    <m/>
    <m/>
    <m/>
    <m/>
    <m/>
    <m/>
    <n v="520"/>
    <s v="Indian Oil"/>
    <n v="3"/>
    <s v="Market/Shopping"/>
    <s v="Rarely"/>
    <s v="Auto"/>
    <n v="2"/>
  </r>
  <r>
    <n v="31"/>
    <x v="1"/>
    <x v="2"/>
    <n v="5"/>
    <x v="0"/>
    <x v="0"/>
    <s v="Petrol"/>
    <m/>
    <m/>
    <m/>
    <n v="4"/>
    <n v="20"/>
    <n v="12"/>
    <m/>
    <m/>
    <m/>
    <m/>
    <m/>
    <m/>
    <m/>
    <m/>
    <m/>
    <n v="1560"/>
    <s v="Indian Oil"/>
    <n v="6"/>
    <s v="Office"/>
    <s v="Rarely"/>
    <s v="Bus"/>
    <n v="0"/>
  </r>
  <r>
    <n v="46"/>
    <x v="0"/>
    <x v="1"/>
    <n v="5"/>
    <x v="0"/>
    <x v="0"/>
    <s v="Petrol"/>
    <m/>
    <m/>
    <m/>
    <n v="13"/>
    <n v="4"/>
    <n v="3"/>
    <m/>
    <m/>
    <m/>
    <m/>
    <m/>
    <m/>
    <m/>
    <m/>
    <m/>
    <n v="390"/>
    <s v="Indian Oil"/>
    <n v="2"/>
    <s v="Market/Shopping"/>
    <s v="Rarely"/>
    <s v="Auto"/>
    <n v="0"/>
  </r>
  <r>
    <n v="27"/>
    <x v="1"/>
    <x v="1"/>
    <n v="5"/>
    <x v="0"/>
    <x v="0"/>
    <s v="Petrol"/>
    <m/>
    <m/>
    <m/>
    <n v="2"/>
    <n v="14"/>
    <n v="24"/>
    <m/>
    <m/>
    <m/>
    <m/>
    <m/>
    <m/>
    <m/>
    <m/>
    <m/>
    <n v="1820"/>
    <s v="Indian Oil"/>
    <n v="12"/>
    <s v="Office"/>
    <s v="Rarely"/>
    <s v="Auto"/>
    <n v="0"/>
  </r>
  <r>
    <n v="57"/>
    <x v="0"/>
    <x v="1"/>
    <n v="5"/>
    <x v="0"/>
    <x v="2"/>
    <m/>
    <s v="Petrol"/>
    <m/>
    <m/>
    <m/>
    <m/>
    <m/>
    <n v="10"/>
    <n v="3"/>
    <n v="2"/>
    <m/>
    <m/>
    <m/>
    <m/>
    <m/>
    <m/>
    <n v="260"/>
    <s v="HP"/>
    <n v="2"/>
    <s v="Market/Shopping"/>
    <s v="Rarely"/>
    <s v="Bus"/>
    <n v="0"/>
  </r>
  <r>
    <n v="37"/>
    <x v="1"/>
    <x v="4"/>
    <n v="4"/>
    <x v="1"/>
    <x v="4"/>
    <s v="Petrol"/>
    <m/>
    <s v="Petrol"/>
    <m/>
    <n v="6"/>
    <n v="8"/>
    <n v="5"/>
    <m/>
    <m/>
    <m/>
    <n v="5"/>
    <n v="24"/>
    <n v="22"/>
    <m/>
    <m/>
    <m/>
    <n v="3900"/>
    <s v="HP"/>
    <n v="12"/>
    <s v="Office"/>
    <s v="Rarely"/>
    <s v="Bus"/>
    <n v="2"/>
  </r>
  <r>
    <n v="41"/>
    <x v="0"/>
    <x v="1"/>
    <n v="5"/>
    <x v="0"/>
    <x v="2"/>
    <m/>
    <s v="Petrol"/>
    <m/>
    <m/>
    <m/>
    <m/>
    <m/>
    <n v="7"/>
    <n v="4"/>
    <n v="3"/>
    <m/>
    <m/>
    <m/>
    <m/>
    <m/>
    <m/>
    <n v="390"/>
    <s v="Indian Oil"/>
    <n v="2"/>
    <s v="Market/Shopping"/>
    <s v="Monthly"/>
    <s v="Auto"/>
    <n v="0"/>
  </r>
  <r>
    <n v="26"/>
    <x v="1"/>
    <x v="0"/>
    <n v="4"/>
    <x v="0"/>
    <x v="0"/>
    <s v="Petrol"/>
    <m/>
    <m/>
    <m/>
    <n v="2"/>
    <n v="22"/>
    <n v="13"/>
    <m/>
    <m/>
    <m/>
    <m/>
    <m/>
    <m/>
    <m/>
    <m/>
    <m/>
    <n v="1690"/>
    <s v="BPCL"/>
    <n v="11"/>
    <s v="College"/>
    <s v="Weekly"/>
    <s v="Bus"/>
    <n v="1"/>
  </r>
  <r>
    <n v="50"/>
    <x v="1"/>
    <x v="2"/>
    <n v="6"/>
    <x v="1"/>
    <x v="1"/>
    <s v="Petrol"/>
    <m/>
    <m/>
    <s v="Diesel"/>
    <n v="12"/>
    <n v="5"/>
    <n v="4"/>
    <m/>
    <m/>
    <m/>
    <m/>
    <m/>
    <m/>
    <n v="16"/>
    <n v="54"/>
    <n v="90"/>
    <n v="11000"/>
    <s v="HP"/>
    <n v="6"/>
    <s v="Agriculture-related"/>
    <s v="Never"/>
    <s v="I don’t use public transport"/>
    <n v="0"/>
  </r>
  <r>
    <n v="34"/>
    <x v="0"/>
    <x v="2"/>
    <n v="3"/>
    <x v="0"/>
    <x v="2"/>
    <m/>
    <s v="Petrol"/>
    <m/>
    <m/>
    <m/>
    <m/>
    <m/>
    <n v="4"/>
    <n v="7"/>
    <n v="5"/>
    <m/>
    <m/>
    <m/>
    <m/>
    <m/>
    <m/>
    <n v="650"/>
    <s v="HP"/>
    <n v="4"/>
    <s v="Office"/>
    <s v="Weekly"/>
    <s v="Bus"/>
    <n v="2"/>
  </r>
  <r>
    <n v="39"/>
    <x v="1"/>
    <x v="5"/>
    <n v="4"/>
    <x v="2"/>
    <x v="6"/>
    <s v="Petrol"/>
    <s v="Petrol"/>
    <s v="Petrol"/>
    <m/>
    <n v="9"/>
    <n v="6"/>
    <n v="4"/>
    <n v="3"/>
    <n v="5"/>
    <n v="3"/>
    <n v="6"/>
    <n v="26"/>
    <n v="24"/>
    <m/>
    <m/>
    <m/>
    <n v="4400"/>
    <s v="Shell"/>
    <n v="12"/>
    <s v="Business"/>
    <s v="Never"/>
    <s v="I don’t use public transport"/>
    <n v="2"/>
  </r>
  <r>
    <n v="48"/>
    <x v="0"/>
    <x v="1"/>
    <n v="6"/>
    <x v="0"/>
    <x v="0"/>
    <s v="Petrol"/>
    <m/>
    <m/>
    <m/>
    <n v="14"/>
    <n v="4"/>
    <n v="3"/>
    <m/>
    <m/>
    <m/>
    <m/>
    <m/>
    <m/>
    <m/>
    <m/>
    <m/>
    <n v="390"/>
    <s v="Indian Oil"/>
    <n v="2"/>
    <s v="Market/Shopping"/>
    <s v="Monthly"/>
    <s v="Bus"/>
    <n v="0"/>
  </r>
  <r>
    <n v="33"/>
    <x v="1"/>
    <x v="4"/>
    <n v="4"/>
    <x v="0"/>
    <x v="8"/>
    <m/>
    <m/>
    <s v="Petrol"/>
    <m/>
    <m/>
    <m/>
    <m/>
    <m/>
    <m/>
    <m/>
    <n v="5"/>
    <n v="28"/>
    <n v="26"/>
    <m/>
    <m/>
    <m/>
    <n v="4000"/>
    <s v="Shell"/>
    <n v="14"/>
    <s v="Office"/>
    <s v="Rarely"/>
    <s v="Bus"/>
    <n v="1"/>
  </r>
  <r>
    <n v="29"/>
    <x v="0"/>
    <x v="2"/>
    <n v="3"/>
    <x v="0"/>
    <x v="0"/>
    <s v="Petrol"/>
    <m/>
    <m/>
    <m/>
    <n v="3"/>
    <n v="18"/>
    <n v="11"/>
    <m/>
    <m/>
    <m/>
    <m/>
    <m/>
    <m/>
    <m/>
    <m/>
    <m/>
    <n v="1430"/>
    <s v="BPCL"/>
    <n v="9"/>
    <s v="Office"/>
    <s v="Weekly"/>
    <s v="Bus"/>
    <n v="2"/>
  </r>
  <r>
    <n v="57"/>
    <x v="1"/>
    <x v="2"/>
    <n v="5"/>
    <x v="2"/>
    <x v="0"/>
    <s v="Petrol"/>
    <m/>
    <m/>
    <m/>
    <n v="6"/>
    <n v="5"/>
    <n v="3"/>
    <m/>
    <m/>
    <m/>
    <m/>
    <m/>
    <m/>
    <m/>
    <m/>
    <m/>
    <n v="9400"/>
    <s v="Indian Oil"/>
    <n v="7"/>
    <s v="Agriculture-related"/>
    <s v="Never"/>
    <s v="I don’t use public transport"/>
    <n v="2"/>
  </r>
  <r>
    <n v="46"/>
    <x v="1"/>
    <x v="2"/>
    <n v="5"/>
    <x v="1"/>
    <x v="1"/>
    <s v="Petrol"/>
    <m/>
    <m/>
    <s v="Diesel"/>
    <n v="10"/>
    <n v="6"/>
    <n v="4"/>
    <m/>
    <m/>
    <m/>
    <m/>
    <m/>
    <m/>
    <n v="15"/>
    <n v="40"/>
    <n v="70"/>
    <n v="8800"/>
    <s v="Indian Oil"/>
    <n v="5"/>
    <s v="Agriculture-related"/>
    <s v="Rarely"/>
    <s v="Bus"/>
    <n v="0"/>
  </r>
  <r>
    <n v="24"/>
    <x v="0"/>
    <x v="0"/>
    <n v="4"/>
    <x v="0"/>
    <x v="2"/>
    <m/>
    <s v="Petrol"/>
    <m/>
    <m/>
    <m/>
    <m/>
    <m/>
    <n v="2"/>
    <n v="5"/>
    <n v="4"/>
    <m/>
    <m/>
    <m/>
    <m/>
    <m/>
    <m/>
    <n v="520"/>
    <s v="BPCL"/>
    <n v="3"/>
    <s v="College"/>
    <s v="Weekly"/>
    <s v="Bus"/>
    <n v="1"/>
  </r>
  <r>
    <n v="38"/>
    <x v="1"/>
    <x v="4"/>
    <n v="4"/>
    <x v="1"/>
    <x v="4"/>
    <s v="Petrol"/>
    <m/>
    <s v="Petrol"/>
    <m/>
    <n v="7"/>
    <n v="9"/>
    <n v="6"/>
    <m/>
    <m/>
    <m/>
    <n v="5"/>
    <n v="23"/>
    <n v="21"/>
    <m/>
    <m/>
    <m/>
    <n v="3700"/>
    <s v="Shell"/>
    <n v="11"/>
    <s v="Business"/>
    <s v="Never"/>
    <s v="I don’t use public transport"/>
    <n v="2"/>
  </r>
  <r>
    <n v="52"/>
    <x v="1"/>
    <x v="2"/>
    <n v="6"/>
    <x v="0"/>
    <x v="16"/>
    <m/>
    <m/>
    <m/>
    <s v="Diesel"/>
    <m/>
    <m/>
    <m/>
    <m/>
    <m/>
    <m/>
    <m/>
    <m/>
    <m/>
    <n v="19"/>
    <n v="55"/>
    <n v="90"/>
    <n v="9200"/>
    <s v="Indian Oil"/>
    <n v="6"/>
    <s v="Agriculture-related"/>
    <s v="Never"/>
    <s v="I don’t use public transport"/>
    <n v="0"/>
  </r>
  <r>
    <n v="56"/>
    <x v="1"/>
    <x v="4"/>
    <n v="6"/>
    <x v="0"/>
    <x v="0"/>
    <s v="Petrol"/>
    <m/>
    <m/>
    <m/>
    <n v="8"/>
    <n v="9"/>
    <n v="6"/>
    <m/>
    <m/>
    <m/>
    <m/>
    <m/>
    <m/>
    <m/>
    <m/>
    <m/>
    <n v="780"/>
    <s v="Shell"/>
    <n v="3"/>
    <s v="Agriculture-related"/>
    <s v="Monthly"/>
    <s v="Auto"/>
    <n v="2"/>
  </r>
  <r>
    <n v="28"/>
    <x v="0"/>
    <x v="2"/>
    <n v="5"/>
    <x v="0"/>
    <x v="2"/>
    <m/>
    <s v="Petrol"/>
    <m/>
    <m/>
    <m/>
    <m/>
    <m/>
    <n v="2"/>
    <n v="10"/>
    <n v="7"/>
    <m/>
    <m/>
    <m/>
    <m/>
    <m/>
    <m/>
    <n v="780"/>
    <s v="Shell"/>
    <n v="4"/>
    <s v="Office"/>
    <s v="Rarely"/>
    <s v="Bus"/>
    <n v="0"/>
  </r>
  <r>
    <n v="23"/>
    <x v="1"/>
    <x v="0"/>
    <n v="5"/>
    <x v="0"/>
    <x v="0"/>
    <s v="Petrol"/>
    <m/>
    <m/>
    <m/>
    <n v="1"/>
    <n v="8"/>
    <n v="11"/>
    <m/>
    <m/>
    <m/>
    <m/>
    <m/>
    <m/>
    <m/>
    <m/>
    <m/>
    <n v="1180"/>
    <s v="Reliance"/>
    <n v="9"/>
    <s v="College"/>
    <s v="Never"/>
    <s v="I don’t use public transport"/>
    <n v="0"/>
  </r>
  <r>
    <n v="50"/>
    <x v="1"/>
    <x v="4"/>
    <n v="5"/>
    <x v="1"/>
    <x v="4"/>
    <s v="Petrol"/>
    <m/>
    <s v="Petrol"/>
    <m/>
    <n v="12"/>
    <n v="7"/>
    <n v="5"/>
    <m/>
    <m/>
    <m/>
    <n v="10"/>
    <n v="26"/>
    <n v="23"/>
    <m/>
    <m/>
    <m/>
    <n v="3600"/>
    <s v="BPCL"/>
    <n v="13"/>
    <s v="Business"/>
    <s v="Rarely"/>
    <s v="Bus"/>
    <n v="2"/>
  </r>
  <r>
    <n v="35"/>
    <x v="0"/>
    <x v="1"/>
    <n v="5"/>
    <x v="0"/>
    <x v="2"/>
    <m/>
    <s v="Petrol"/>
    <m/>
    <m/>
    <m/>
    <m/>
    <m/>
    <n v="4"/>
    <n v="6"/>
    <n v="4"/>
    <m/>
    <m/>
    <m/>
    <m/>
    <m/>
    <m/>
    <n v="520"/>
    <s v="BPCL"/>
    <n v="3"/>
    <s v="Market/Shopping"/>
    <s v="Rarely"/>
    <s v="Auto"/>
    <n v="2"/>
  </r>
  <r>
    <n v="50"/>
    <x v="1"/>
    <x v="4"/>
    <n v="5"/>
    <x v="0"/>
    <x v="0"/>
    <s v="Petrol"/>
    <m/>
    <m/>
    <m/>
    <n v="3"/>
    <n v="25"/>
    <n v="16"/>
    <m/>
    <m/>
    <m/>
    <m/>
    <m/>
    <m/>
    <m/>
    <m/>
    <m/>
    <n v="2080"/>
    <s v="Indian Oil"/>
    <n v="12"/>
    <s v="Office"/>
    <s v="Never"/>
    <s v="I don’t use public transport"/>
    <n v="0"/>
  </r>
  <r>
    <n v="43"/>
    <x v="0"/>
    <x v="2"/>
    <n v="5"/>
    <x v="0"/>
    <x v="0"/>
    <s v="Petrol"/>
    <m/>
    <m/>
    <m/>
    <n v="14"/>
    <n v="5"/>
    <n v="3"/>
    <m/>
    <m/>
    <m/>
    <m/>
    <m/>
    <m/>
    <m/>
    <m/>
    <m/>
    <n v="390"/>
    <s v="HP"/>
    <n v="4"/>
    <s v="Agriculture-related"/>
    <s v="Never"/>
    <s v="I don’t use public transport"/>
    <n v="2"/>
  </r>
  <r>
    <n v="38"/>
    <x v="1"/>
    <x v="2"/>
    <n v="6"/>
    <x v="0"/>
    <x v="8"/>
    <m/>
    <m/>
    <s v="Petrol"/>
    <m/>
    <m/>
    <m/>
    <m/>
    <m/>
    <m/>
    <m/>
    <n v="5"/>
    <n v="30"/>
    <n v="27"/>
    <m/>
    <m/>
    <m/>
    <n v="4350"/>
    <s v="Shell"/>
    <n v="15"/>
    <s v="Office"/>
    <s v="Never"/>
    <s v="I don’t use public transport"/>
    <n v="0"/>
  </r>
  <r>
    <n v="54"/>
    <x v="1"/>
    <x v="0"/>
    <n v="5"/>
    <x v="0"/>
    <x v="0"/>
    <s v="Petrol"/>
    <m/>
    <m/>
    <m/>
    <n v="16"/>
    <n v="6"/>
    <n v="5"/>
    <m/>
    <m/>
    <m/>
    <m/>
    <m/>
    <m/>
    <m/>
    <m/>
    <m/>
    <n v="520"/>
    <s v="Indian Oil"/>
    <n v="3"/>
    <s v="Work"/>
    <s v="Rarely"/>
    <s v="Auto"/>
    <n v="2"/>
  </r>
  <r>
    <n v="27"/>
    <x v="1"/>
    <x v="2"/>
    <n v="5"/>
    <x v="0"/>
    <x v="0"/>
    <s v="Petrol"/>
    <m/>
    <m/>
    <m/>
    <n v="2"/>
    <n v="18"/>
    <n v="11"/>
    <m/>
    <m/>
    <m/>
    <m/>
    <m/>
    <m/>
    <m/>
    <m/>
    <m/>
    <n v="11430"/>
    <s v="HP"/>
    <n v="9"/>
    <s v="Business"/>
    <s v="Rarely"/>
    <s v="Bus"/>
    <n v="2"/>
  </r>
  <r>
    <n v="37"/>
    <x v="1"/>
    <x v="2"/>
    <n v="5"/>
    <x v="0"/>
    <x v="0"/>
    <s v="Petrol"/>
    <m/>
    <m/>
    <m/>
    <n v="6"/>
    <n v="12"/>
    <n v="8"/>
    <m/>
    <m/>
    <m/>
    <m/>
    <m/>
    <m/>
    <m/>
    <m/>
    <m/>
    <n v="900"/>
    <s v="Indian Oil"/>
    <n v="6"/>
    <s v="Agriculture-related"/>
    <s v="Rarely"/>
    <s v="Bus"/>
    <n v="0"/>
  </r>
  <r>
    <n v="39"/>
    <x v="1"/>
    <x v="2"/>
    <n v="4"/>
    <x v="0"/>
    <x v="2"/>
    <m/>
    <s v="Petrol"/>
    <m/>
    <m/>
    <m/>
    <m/>
    <m/>
    <n v="3"/>
    <n v="11"/>
    <n v="7"/>
    <m/>
    <m/>
    <m/>
    <m/>
    <m/>
    <m/>
    <n v="910"/>
    <s v="HP"/>
    <n v="5"/>
    <s v="Office"/>
    <s v="Weekly"/>
    <s v="Auto"/>
    <n v="0"/>
  </r>
  <r>
    <n v="24"/>
    <x v="1"/>
    <x v="0"/>
    <n v="5"/>
    <x v="0"/>
    <x v="0"/>
    <s v="Petrol"/>
    <m/>
    <m/>
    <m/>
    <n v="2"/>
    <n v="20"/>
    <n v="12"/>
    <m/>
    <m/>
    <m/>
    <m/>
    <m/>
    <m/>
    <m/>
    <m/>
    <m/>
    <n v="1560"/>
    <s v="Reliance"/>
    <n v="10"/>
    <s v="College"/>
    <s v="Rarely"/>
    <s v="Bus"/>
    <n v="2"/>
  </r>
  <r>
    <n v="56"/>
    <x v="1"/>
    <x v="4"/>
    <n v="5"/>
    <x v="1"/>
    <x v="4"/>
    <s v="Petrol"/>
    <m/>
    <s v="Petrol"/>
    <m/>
    <n v="10"/>
    <n v="8"/>
    <n v="6"/>
    <m/>
    <m/>
    <m/>
    <n v="7"/>
    <n v="30"/>
    <n v="26"/>
    <m/>
    <m/>
    <m/>
    <n v="4160"/>
    <s v="Indian Oil"/>
    <n v="15"/>
    <s v="Business"/>
    <s v="Rarely"/>
    <s v="Bus"/>
    <n v="2"/>
  </r>
  <r>
    <n v="34"/>
    <x v="0"/>
    <x v="0"/>
    <n v="5"/>
    <x v="0"/>
    <x v="2"/>
    <m/>
    <s v="Petrol"/>
    <m/>
    <m/>
    <m/>
    <m/>
    <m/>
    <n v="5"/>
    <n v="6"/>
    <n v="4"/>
    <m/>
    <m/>
    <m/>
    <m/>
    <m/>
    <m/>
    <n v="520"/>
    <s v="BPCL"/>
    <n v="3"/>
    <s v="School pickup/drop"/>
    <s v="Rarely"/>
    <s v="Auto"/>
    <n v="0"/>
  </r>
  <r>
    <n v="28"/>
    <x v="1"/>
    <x v="2"/>
    <n v="5"/>
    <x v="0"/>
    <x v="0"/>
    <s v="Petrol"/>
    <m/>
    <m/>
    <m/>
    <n v="3"/>
    <n v="24"/>
    <n v="15"/>
    <m/>
    <m/>
    <m/>
    <m/>
    <m/>
    <m/>
    <m/>
    <m/>
    <m/>
    <n v="1560"/>
    <s v="Indian Oil"/>
    <n v="12"/>
    <s v="Office"/>
    <s v="Never"/>
    <s v="I don’t use public transport"/>
    <n v="2"/>
  </r>
  <r>
    <n v="42"/>
    <x v="0"/>
    <x v="0"/>
    <n v="5"/>
    <x v="0"/>
    <x v="0"/>
    <s v="Petrol"/>
    <m/>
    <m/>
    <m/>
    <n v="14"/>
    <n v="5"/>
    <n v="3"/>
    <m/>
    <m/>
    <m/>
    <m/>
    <m/>
    <m/>
    <m/>
    <m/>
    <m/>
    <n v="390"/>
    <s v="BPCL"/>
    <n v="2"/>
    <s v="Market/Shopping"/>
    <s v="Rarely"/>
    <s v="Auto"/>
    <n v="0"/>
  </r>
  <r>
    <n v="36"/>
    <x v="1"/>
    <x v="2"/>
    <n v="4"/>
    <x v="0"/>
    <x v="8"/>
    <m/>
    <m/>
    <s v="Petrol"/>
    <m/>
    <m/>
    <m/>
    <m/>
    <m/>
    <m/>
    <m/>
    <n v="4"/>
    <n v="32"/>
    <n v="28"/>
    <m/>
    <m/>
    <m/>
    <n v="4550"/>
    <s v="Indian Oil"/>
    <n v="16"/>
    <s v="Office"/>
    <s v="Rarely"/>
    <s v="Bus"/>
    <n v="2"/>
  </r>
  <r>
    <n v="51"/>
    <x v="0"/>
    <x v="2"/>
    <n v="4"/>
    <x v="0"/>
    <x v="0"/>
    <s v="Petrol"/>
    <m/>
    <m/>
    <m/>
    <n v="15"/>
    <n v="7"/>
    <n v="5"/>
    <m/>
    <m/>
    <m/>
    <m/>
    <m/>
    <m/>
    <m/>
    <m/>
    <m/>
    <n v="650"/>
    <s v="Reliance"/>
    <n v="4"/>
    <s v="Work"/>
    <s v="Weekly"/>
    <s v="Bus"/>
    <n v="2"/>
  </r>
  <r>
    <n v="33"/>
    <x v="1"/>
    <x v="4"/>
    <n v="4"/>
    <x v="1"/>
    <x v="10"/>
    <s v="Petrol"/>
    <s v="Petrol"/>
    <m/>
    <m/>
    <n v="5"/>
    <n v="10"/>
    <n v="7"/>
    <n v="2"/>
    <n v="6"/>
    <n v="4"/>
    <m/>
    <m/>
    <m/>
    <m/>
    <m/>
    <m/>
    <n v="1430"/>
    <s v="Indian Oil"/>
    <n v="6"/>
    <s v="Business"/>
    <s v="Rarely"/>
    <s v="Bus"/>
    <n v="2"/>
  </r>
  <r>
    <n v="39"/>
    <x v="1"/>
    <x v="2"/>
    <n v="5"/>
    <x v="0"/>
    <x v="0"/>
    <s v="Petrol"/>
    <m/>
    <m/>
    <m/>
    <n v="7"/>
    <n v="11"/>
    <n v="8"/>
    <m/>
    <m/>
    <m/>
    <m/>
    <m/>
    <m/>
    <m/>
    <m/>
    <m/>
    <n v="1040"/>
    <s v="Indian Oil"/>
    <n v="6"/>
    <s v="Agriculture-related"/>
    <s v="Rarely"/>
    <s v="Bus"/>
    <n v="2"/>
  </r>
  <r>
    <n v="27"/>
    <x v="0"/>
    <x v="2"/>
    <n v="3"/>
    <x v="0"/>
    <x v="2"/>
    <m/>
    <s v="CNG"/>
    <m/>
    <m/>
    <m/>
    <m/>
    <m/>
    <n v="2"/>
    <n v="9"/>
    <n v="6"/>
    <m/>
    <m/>
    <m/>
    <m/>
    <m/>
    <m/>
    <n v="780"/>
    <s v="BPCL"/>
    <n v="5"/>
    <s v="Office"/>
    <s v="Weekly"/>
    <s v="Bus"/>
    <n v="1"/>
  </r>
  <r>
    <n v="44"/>
    <x v="1"/>
    <x v="4"/>
    <n v="4"/>
    <x v="0"/>
    <x v="16"/>
    <m/>
    <m/>
    <m/>
    <s v="Diesel"/>
    <m/>
    <m/>
    <m/>
    <m/>
    <m/>
    <m/>
    <m/>
    <m/>
    <m/>
    <n v="6"/>
    <n v="70"/>
    <n v="85"/>
    <n v="7200"/>
    <s v="HP"/>
    <n v="35"/>
    <s v="Business"/>
    <s v="Rarely"/>
    <s v="Auto, Private Bus, I don’t use public transport"/>
    <n v="0"/>
  </r>
  <r>
    <n v="24"/>
    <x v="0"/>
    <x v="0"/>
    <n v="4"/>
    <x v="0"/>
    <x v="0"/>
    <s v="Petrol"/>
    <m/>
    <m/>
    <m/>
    <n v="1"/>
    <n v="14"/>
    <n v="9"/>
    <m/>
    <m/>
    <m/>
    <m/>
    <m/>
    <m/>
    <m/>
    <m/>
    <m/>
    <n v="1170"/>
    <s v="Reliance"/>
    <n v="7"/>
    <s v="College"/>
    <s v="Weekly"/>
    <s v="Bus"/>
    <n v="2"/>
  </r>
  <r>
    <n v="52"/>
    <x v="1"/>
    <x v="5"/>
    <n v="5"/>
    <x v="1"/>
    <x v="4"/>
    <s v="Petrol"/>
    <m/>
    <s v="Petrol"/>
    <m/>
    <n v="6"/>
    <n v="6"/>
    <n v="5"/>
    <m/>
    <m/>
    <m/>
    <n v="8"/>
    <n v="22"/>
    <n v="20"/>
    <m/>
    <m/>
    <m/>
    <n v="3250"/>
    <s v="Indian Oil"/>
    <n v="11"/>
    <s v="Office"/>
    <s v="Rarely"/>
    <s v="Bus"/>
    <n v="2"/>
  </r>
  <r>
    <n v="30"/>
    <x v="1"/>
    <x v="2"/>
    <n v="3"/>
    <x v="0"/>
    <x v="0"/>
    <s v="Petrol"/>
    <m/>
    <m/>
    <m/>
    <n v="3"/>
    <n v="55"/>
    <n v="32"/>
    <m/>
    <m/>
    <m/>
    <m/>
    <m/>
    <m/>
    <m/>
    <m/>
    <m/>
    <n v="4550"/>
    <s v="HP"/>
    <n v="25"/>
    <s v="Business"/>
    <s v="Never"/>
    <s v="I don’t use public transport"/>
    <n v="1"/>
  </r>
  <r>
    <n v="36"/>
    <x v="0"/>
    <x v="1"/>
    <n v="4"/>
    <x v="0"/>
    <x v="2"/>
    <m/>
    <s v="Petrol"/>
    <m/>
    <m/>
    <m/>
    <m/>
    <m/>
    <n v="5"/>
    <n v="6"/>
    <n v="4"/>
    <m/>
    <m/>
    <m/>
    <m/>
    <m/>
    <m/>
    <n v="520"/>
    <s v="Indian Oil"/>
    <n v="3"/>
    <s v="Market/Shopping"/>
    <s v="Monthly"/>
    <s v="Auto"/>
    <n v="0"/>
  </r>
  <r>
    <n v="22"/>
    <x v="1"/>
    <x v="0"/>
    <n v="5"/>
    <x v="0"/>
    <x v="0"/>
    <s v="Petrol"/>
    <m/>
    <m/>
    <m/>
    <n v="1"/>
    <n v="18"/>
    <n v="11"/>
    <m/>
    <m/>
    <m/>
    <m/>
    <m/>
    <m/>
    <m/>
    <m/>
    <m/>
    <n v="1430"/>
    <s v="BPCL"/>
    <n v="9"/>
    <s v="College"/>
    <s v="Weekly"/>
    <s v="Bus"/>
    <n v="2"/>
  </r>
  <r>
    <n v="47"/>
    <x v="1"/>
    <x v="4"/>
    <n v="6"/>
    <x v="0"/>
    <x v="0"/>
    <s v="Petrol"/>
    <m/>
    <m/>
    <m/>
    <n v="10"/>
    <n v="9"/>
    <n v="6"/>
    <m/>
    <m/>
    <m/>
    <m/>
    <m/>
    <m/>
    <m/>
    <m/>
    <m/>
    <n v="780"/>
    <s v="Indian Oil"/>
    <n v="4"/>
    <s v="Business"/>
    <s v="Rarely"/>
    <s v="Bus"/>
    <n v="0"/>
  </r>
  <r>
    <n v="34"/>
    <x v="1"/>
    <x v="3"/>
    <n v="3"/>
    <x v="0"/>
    <x v="8"/>
    <m/>
    <m/>
    <s v="Petrol"/>
    <m/>
    <m/>
    <m/>
    <m/>
    <m/>
    <m/>
    <m/>
    <n v="3"/>
    <n v="28"/>
    <n v="26"/>
    <m/>
    <m/>
    <m/>
    <n v="4100"/>
    <s v="Shell"/>
    <n v="14"/>
    <s v="Office"/>
    <s v="Never"/>
    <s v="I don’t use public transport"/>
    <n v="1"/>
  </r>
  <r>
    <n v="41"/>
    <x v="1"/>
    <x v="1"/>
    <n v="5"/>
    <x v="0"/>
    <x v="0"/>
    <s v="Petrol"/>
    <m/>
    <m/>
    <m/>
    <n v="9"/>
    <n v="10"/>
    <n v="7"/>
    <m/>
    <m/>
    <m/>
    <m/>
    <m/>
    <m/>
    <m/>
    <m/>
    <m/>
    <n v="910"/>
    <s v="Indian Oil"/>
    <n v="5"/>
    <s v="Agriculture-related"/>
    <s v="Rarely"/>
    <s v="Bus"/>
    <n v="0"/>
  </r>
  <r>
    <n v="26"/>
    <x v="0"/>
    <x v="2"/>
    <n v="3"/>
    <x v="0"/>
    <x v="2"/>
    <m/>
    <s v="Petrol"/>
    <m/>
    <m/>
    <m/>
    <m/>
    <m/>
    <n v="3"/>
    <n v="12"/>
    <n v="7"/>
    <m/>
    <m/>
    <m/>
    <m/>
    <m/>
    <m/>
    <n v="910"/>
    <s v="BPCL"/>
    <n v="6"/>
    <s v="Office"/>
    <s v="Weekly"/>
    <s v="Bus"/>
    <n v="2"/>
  </r>
  <r>
    <n v="23"/>
    <x v="1"/>
    <x v="1"/>
    <n v="4"/>
    <x v="0"/>
    <x v="0"/>
    <s v="Petrol"/>
    <m/>
    <m/>
    <m/>
    <n v="2"/>
    <n v="16"/>
    <n v="10"/>
    <m/>
    <m/>
    <m/>
    <m/>
    <m/>
    <m/>
    <m/>
    <m/>
    <m/>
    <n v="1300"/>
    <s v="Reliance"/>
    <n v="8"/>
    <s v="College"/>
    <s v="Weekly"/>
    <s v="Bus"/>
    <n v="2"/>
  </r>
  <r>
    <n v="48"/>
    <x v="1"/>
    <x v="4"/>
    <n v="6"/>
    <x v="1"/>
    <x v="4"/>
    <s v="Petrol"/>
    <m/>
    <s v="Petrol"/>
    <m/>
    <n v="11"/>
    <n v="6"/>
    <n v="9"/>
    <m/>
    <m/>
    <m/>
    <n v="9"/>
    <n v="24"/>
    <n v="22"/>
    <m/>
    <m/>
    <m/>
    <n v="3640"/>
    <s v="Indian Oil"/>
    <n v="12"/>
    <s v="Business"/>
    <s v="Rarely"/>
    <s v="Bus"/>
    <n v="0"/>
  </r>
  <r>
    <n v="32"/>
    <x v="0"/>
    <x v="1"/>
    <n v="4"/>
    <x v="0"/>
    <x v="2"/>
    <m/>
    <s v="Petrol"/>
    <m/>
    <m/>
    <m/>
    <m/>
    <m/>
    <n v="4"/>
    <n v="5"/>
    <n v="3"/>
    <m/>
    <m/>
    <m/>
    <m/>
    <m/>
    <m/>
    <n v="390"/>
    <s v="HP"/>
    <n v="2"/>
    <s v="Market/Shopping"/>
    <s v="Monthly"/>
    <s v="Auto"/>
    <n v="0"/>
  </r>
  <r>
    <n v="29"/>
    <x v="1"/>
    <x v="4"/>
    <n v="3"/>
    <x v="0"/>
    <x v="0"/>
    <s v="Petrol"/>
    <m/>
    <m/>
    <m/>
    <n v="4"/>
    <n v="22"/>
    <n v="14"/>
    <m/>
    <m/>
    <m/>
    <m/>
    <m/>
    <m/>
    <m/>
    <m/>
    <m/>
    <n v="1820"/>
    <s v="BPCL"/>
    <n v="11"/>
    <s v="Office"/>
    <s v="Rarely"/>
    <s v="Bus"/>
    <n v="2"/>
  </r>
  <r>
    <n v="45"/>
    <x v="0"/>
    <x v="1"/>
    <n v="5"/>
    <x v="0"/>
    <x v="0"/>
    <s v="Petrol"/>
    <m/>
    <m/>
    <m/>
    <n v="13"/>
    <n v="6"/>
    <n v="4"/>
    <m/>
    <m/>
    <m/>
    <m/>
    <m/>
    <m/>
    <m/>
    <m/>
    <m/>
    <n v="520"/>
    <s v="Indian Oil"/>
    <n v="3"/>
    <s v="Agriculture-related"/>
    <s v="Rarely"/>
    <s v="Bus"/>
    <n v="0"/>
  </r>
  <r>
    <n v="34"/>
    <x v="1"/>
    <x v="5"/>
    <n v="4"/>
    <x v="0"/>
    <x v="8"/>
    <m/>
    <m/>
    <s v="Petrol"/>
    <m/>
    <m/>
    <m/>
    <m/>
    <m/>
    <m/>
    <m/>
    <n v="5"/>
    <n v="26"/>
    <n v="24"/>
    <m/>
    <m/>
    <m/>
    <n v="3900"/>
    <s v="Shell"/>
    <n v="13"/>
    <s v="Office"/>
    <s v="Never"/>
    <s v="I don’t use public transport"/>
    <n v="1"/>
  </r>
  <r>
    <n v="38"/>
    <x v="1"/>
    <x v="0"/>
    <n v="4"/>
    <x v="0"/>
    <x v="0"/>
    <s v="Petrol"/>
    <m/>
    <m/>
    <m/>
    <n v="8"/>
    <n v="15"/>
    <n v="9"/>
    <m/>
    <m/>
    <m/>
    <m/>
    <m/>
    <m/>
    <m/>
    <m/>
    <m/>
    <n v="1170"/>
    <s v="Reliance"/>
    <n v="7"/>
    <s v="Work"/>
    <s v="Weekly"/>
    <s v="Bus"/>
    <n v="0"/>
  </r>
  <r>
    <n v="28"/>
    <x v="0"/>
    <x v="2"/>
    <n v="3"/>
    <x v="0"/>
    <x v="2"/>
    <m/>
    <s v="Petrol"/>
    <m/>
    <m/>
    <m/>
    <m/>
    <m/>
    <n v="2"/>
    <n v="10"/>
    <n v="6"/>
    <m/>
    <m/>
    <m/>
    <m/>
    <m/>
    <m/>
    <n v="780"/>
    <s v="BPCL"/>
    <n v="5"/>
    <s v="Office"/>
    <s v="Monthly"/>
    <s v="Bus"/>
    <n v="2"/>
  </r>
  <r>
    <n v="34"/>
    <x v="1"/>
    <x v="2"/>
    <n v="4"/>
    <x v="0"/>
    <x v="0"/>
    <s v="Petrol"/>
    <m/>
    <m/>
    <m/>
    <n v="6"/>
    <n v="10"/>
    <n v="7"/>
    <m/>
    <m/>
    <m/>
    <m/>
    <m/>
    <m/>
    <m/>
    <m/>
    <m/>
    <n v="910"/>
    <s v="Indian Oil"/>
    <n v="5"/>
    <s v="Agriculture-related"/>
    <s v="Rarely"/>
    <s v="Bus"/>
    <n v="0"/>
  </r>
  <r>
    <n v="26"/>
    <x v="0"/>
    <x v="2"/>
    <n v="3"/>
    <x v="0"/>
    <x v="2"/>
    <m/>
    <s v="Petrol"/>
    <m/>
    <m/>
    <m/>
    <m/>
    <m/>
    <n v="2"/>
    <n v="9"/>
    <n v="5"/>
    <m/>
    <m/>
    <m/>
    <m/>
    <m/>
    <m/>
    <n v="650"/>
    <s v="BPCL"/>
    <n v="4"/>
    <s v="Office"/>
    <s v="Weekly"/>
    <s v="Bus"/>
    <n v="2"/>
  </r>
  <r>
    <n v="22"/>
    <x v="1"/>
    <x v="0"/>
    <n v="5"/>
    <x v="0"/>
    <x v="0"/>
    <s v="Petrol"/>
    <m/>
    <m/>
    <m/>
    <n v="1"/>
    <n v="20"/>
    <n v="12"/>
    <m/>
    <m/>
    <m/>
    <m/>
    <m/>
    <m/>
    <m/>
    <m/>
    <m/>
    <n v="1560"/>
    <s v="Reliance"/>
    <n v="10"/>
    <s v="College"/>
    <s v="Weekly"/>
    <s v="Bus"/>
    <n v="2"/>
  </r>
  <r>
    <n v="49"/>
    <x v="1"/>
    <x v="4"/>
    <n v="6"/>
    <x v="1"/>
    <x v="4"/>
    <s v="Petrol"/>
    <m/>
    <s v="Petrol"/>
    <m/>
    <n v="11"/>
    <n v="6"/>
    <n v="5"/>
    <m/>
    <m/>
    <m/>
    <n v="9"/>
    <n v="25"/>
    <n v="22"/>
    <m/>
    <m/>
    <m/>
    <n v="3510"/>
    <s v="Indian Oil"/>
    <n v="12"/>
    <s v="Business"/>
    <s v="Rarely"/>
    <s v="Bus"/>
    <n v="0"/>
  </r>
  <r>
    <n v="37"/>
    <x v="0"/>
    <x v="1"/>
    <n v="4"/>
    <x v="0"/>
    <x v="2"/>
    <m/>
    <s v="Petrol"/>
    <m/>
    <m/>
    <m/>
    <m/>
    <m/>
    <n v="5"/>
    <n v="5"/>
    <n v="3"/>
    <m/>
    <m/>
    <m/>
    <m/>
    <m/>
    <m/>
    <n v="390"/>
    <s v="HP"/>
    <n v="2"/>
    <s v="Market/Shopping"/>
    <s v="Monthly"/>
    <s v="Auto"/>
    <n v="0"/>
  </r>
  <r>
    <n v="31"/>
    <x v="1"/>
    <x v="4"/>
    <n v="3"/>
    <x v="0"/>
    <x v="0"/>
    <s v="Petrol"/>
    <m/>
    <m/>
    <m/>
    <n v="4"/>
    <n v="26"/>
    <n v="16"/>
    <m/>
    <m/>
    <m/>
    <m/>
    <m/>
    <m/>
    <m/>
    <m/>
    <m/>
    <n v="2080"/>
    <s v="BPCL"/>
    <n v="13"/>
    <s v="Office"/>
    <s v="Rarely"/>
    <s v="Bus"/>
    <n v="2"/>
  </r>
  <r>
    <n v="44"/>
    <x v="0"/>
    <x v="1"/>
    <n v="5"/>
    <x v="0"/>
    <x v="0"/>
    <s v="Petrol"/>
    <m/>
    <m/>
    <m/>
    <n v="15"/>
    <n v="4"/>
    <n v="3"/>
    <m/>
    <m/>
    <m/>
    <m/>
    <m/>
    <m/>
    <m/>
    <m/>
    <m/>
    <n v="390"/>
    <s v="Indian Oil"/>
    <n v="2"/>
    <s v="Agriculture-related"/>
    <s v="Rarely"/>
    <s v="Bus"/>
    <n v="0"/>
  </r>
  <r>
    <n v="39"/>
    <x v="1"/>
    <x v="5"/>
    <n v="4"/>
    <x v="0"/>
    <x v="8"/>
    <m/>
    <m/>
    <s v="Petrol"/>
    <m/>
    <m/>
    <m/>
    <m/>
    <m/>
    <m/>
    <m/>
    <n v="6"/>
    <n v="29"/>
    <n v="26"/>
    <m/>
    <m/>
    <m/>
    <n v="4160"/>
    <s v="Shell"/>
    <n v="14"/>
    <s v="Office"/>
    <s v="Never"/>
    <s v="I don’t use public transport"/>
    <n v="1"/>
  </r>
  <r>
    <n v="56"/>
    <x v="1"/>
    <x v="0"/>
    <n v="6"/>
    <x v="0"/>
    <x v="0"/>
    <s v="Petrol"/>
    <m/>
    <m/>
    <m/>
    <n v="18"/>
    <n v="6"/>
    <n v="4"/>
    <m/>
    <m/>
    <m/>
    <m/>
    <m/>
    <m/>
    <m/>
    <m/>
    <m/>
    <n v="520"/>
    <s v="Reliance"/>
    <n v="3"/>
    <s v="Work"/>
    <s v="Weekly"/>
    <s v="Auto"/>
    <n v="0"/>
  </r>
  <r>
    <n v="29"/>
    <x v="1"/>
    <x v="2"/>
    <n v="3"/>
    <x v="0"/>
    <x v="0"/>
    <s v="Petrol"/>
    <m/>
    <m/>
    <m/>
    <n v="3"/>
    <n v="17"/>
    <n v="11"/>
    <m/>
    <m/>
    <m/>
    <m/>
    <m/>
    <m/>
    <m/>
    <m/>
    <m/>
    <n v="1430"/>
    <s v="Indian Oil"/>
    <n v="8"/>
    <s v="Business"/>
    <s v="Rarely"/>
    <s v="Bus"/>
    <n v="2"/>
  </r>
  <r>
    <n v="36"/>
    <x v="1"/>
    <x v="2"/>
    <n v="4"/>
    <x v="0"/>
    <x v="0"/>
    <s v="Petrol"/>
    <m/>
    <m/>
    <m/>
    <n v="7"/>
    <n v="11"/>
    <n v="7"/>
    <m/>
    <m/>
    <m/>
    <m/>
    <m/>
    <m/>
    <m/>
    <m/>
    <m/>
    <n v="910"/>
    <s v="Indian Oil"/>
    <n v="5"/>
    <s v="Agriculture-related"/>
    <s v="Rarely"/>
    <s v="Bus"/>
    <n v="0"/>
  </r>
  <r>
    <n v="25"/>
    <x v="0"/>
    <x v="2"/>
    <n v="3"/>
    <x v="0"/>
    <x v="2"/>
    <m/>
    <s v="Petrol"/>
    <m/>
    <m/>
    <m/>
    <m/>
    <m/>
    <n v="2"/>
    <n v="8"/>
    <n v="5"/>
    <m/>
    <m/>
    <m/>
    <m/>
    <m/>
    <m/>
    <n v="650"/>
    <s v="BPCL"/>
    <n v="4"/>
    <s v="Office"/>
    <s v="Weekly"/>
    <s v="Bus"/>
    <n v="2"/>
  </r>
  <r>
    <n v="21"/>
    <x v="1"/>
    <x v="0"/>
    <n v="5"/>
    <x v="0"/>
    <x v="0"/>
    <s v="Petrol"/>
    <m/>
    <m/>
    <m/>
    <n v="1"/>
    <n v="15"/>
    <n v="9"/>
    <m/>
    <m/>
    <m/>
    <m/>
    <m/>
    <m/>
    <m/>
    <m/>
    <m/>
    <n v="1170"/>
    <s v="Reliance"/>
    <n v="7"/>
    <s v="College"/>
    <s v="Weekly"/>
    <s v="Bus"/>
    <n v="2"/>
  </r>
  <r>
    <n v="24"/>
    <x v="1"/>
    <x v="0"/>
    <n v="4"/>
    <x v="0"/>
    <x v="0"/>
    <s v="Petrol"/>
    <m/>
    <m/>
    <m/>
    <n v="2"/>
    <n v="14"/>
    <n v="8"/>
    <m/>
    <m/>
    <m/>
    <m/>
    <m/>
    <m/>
    <m/>
    <m/>
    <m/>
    <n v="900"/>
    <s v="Shell"/>
    <n v="7"/>
    <s v="College"/>
    <s v="Rarely"/>
    <s v="Bus"/>
    <n v="2"/>
  </r>
  <r>
    <n v="52"/>
    <x v="1"/>
    <x v="4"/>
    <n v="6"/>
    <x v="1"/>
    <x v="4"/>
    <s v="Petrol"/>
    <m/>
    <s v="Petrol"/>
    <m/>
    <n v="13"/>
    <n v="6"/>
    <n v="5"/>
    <m/>
    <m/>
    <m/>
    <n v="11"/>
    <n v="24"/>
    <n v="21"/>
    <m/>
    <m/>
    <m/>
    <n v="3380"/>
    <s v="Indian Oil"/>
    <n v="12"/>
    <s v="Business"/>
    <s v="Rarely"/>
    <s v="Bus"/>
    <n v="0"/>
  </r>
  <r>
    <n v="38"/>
    <x v="0"/>
    <x v="1"/>
    <n v="4"/>
    <x v="0"/>
    <x v="2"/>
    <m/>
    <s v="Petrol"/>
    <m/>
    <m/>
    <m/>
    <m/>
    <m/>
    <n v="6"/>
    <n v="5"/>
    <n v="3"/>
    <m/>
    <m/>
    <m/>
    <m/>
    <m/>
    <m/>
    <n v="390"/>
    <s v="HP"/>
    <n v="2"/>
    <s v="Market/Shopping"/>
    <s v="Monthly"/>
    <s v="Auto"/>
    <n v="0"/>
  </r>
  <r>
    <n v="33"/>
    <x v="1"/>
    <x v="4"/>
    <n v="3"/>
    <x v="0"/>
    <x v="0"/>
    <s v="Petrol"/>
    <m/>
    <m/>
    <m/>
    <n v="4"/>
    <n v="23"/>
    <n v="15"/>
    <m/>
    <m/>
    <m/>
    <m/>
    <m/>
    <m/>
    <m/>
    <m/>
    <m/>
    <n v="1950"/>
    <s v="BPCL"/>
    <n v="11"/>
    <s v="Office"/>
    <s v="Rarely"/>
    <s v="Bus"/>
    <n v="2"/>
  </r>
  <r>
    <n v="46"/>
    <x v="0"/>
    <x v="1"/>
    <n v="5"/>
    <x v="0"/>
    <x v="0"/>
    <s v="Petrol"/>
    <m/>
    <m/>
    <m/>
    <n v="16"/>
    <n v="4"/>
    <n v="3"/>
    <m/>
    <m/>
    <m/>
    <m/>
    <m/>
    <m/>
    <m/>
    <m/>
    <m/>
    <n v="390"/>
    <s v="Indian Oil"/>
    <n v="2"/>
    <s v="Agriculture-related"/>
    <s v="Rarely"/>
    <s v="Bus"/>
    <n v="0"/>
  </r>
  <r>
    <n v="40"/>
    <x v="1"/>
    <x v="5"/>
    <n v="4"/>
    <x v="0"/>
    <x v="8"/>
    <m/>
    <m/>
    <s v="Petrol"/>
    <m/>
    <m/>
    <m/>
    <m/>
    <m/>
    <m/>
    <m/>
    <n v="6"/>
    <n v="31"/>
    <n v="27"/>
    <m/>
    <m/>
    <m/>
    <n v="4350"/>
    <s v="Shell"/>
    <n v="15"/>
    <s v="Office"/>
    <s v="Never"/>
    <s v="I don’t use public transport"/>
    <n v="1"/>
  </r>
  <r>
    <n v="58"/>
    <x v="1"/>
    <x v="0"/>
    <n v="6"/>
    <x v="0"/>
    <x v="0"/>
    <s v="Petrol"/>
    <m/>
    <m/>
    <m/>
    <n v="20"/>
    <n v="5"/>
    <n v="4"/>
    <m/>
    <m/>
    <m/>
    <m/>
    <m/>
    <m/>
    <m/>
    <m/>
    <m/>
    <n v="520"/>
    <s v="Reliance"/>
    <n v="3"/>
    <s v="Work"/>
    <s v="Weekly"/>
    <s v="Bus"/>
    <n v="0"/>
  </r>
  <r>
    <n v="28"/>
    <x v="1"/>
    <x v="2"/>
    <n v="3"/>
    <x v="0"/>
    <x v="0"/>
    <s v="Petrol"/>
    <m/>
    <m/>
    <m/>
    <n v="3"/>
    <n v="19"/>
    <n v="12"/>
    <m/>
    <m/>
    <m/>
    <m/>
    <m/>
    <m/>
    <m/>
    <m/>
    <m/>
    <n v="1560"/>
    <s v="Indian Oil"/>
    <n v="9"/>
    <s v="Office"/>
    <s v="Rarely"/>
    <s v="Bus"/>
    <n v="2"/>
  </r>
  <r>
    <n v="41"/>
    <x v="0"/>
    <x v="0"/>
    <n v="5"/>
    <x v="0"/>
    <x v="2"/>
    <m/>
    <s v="Petrol"/>
    <m/>
    <m/>
    <m/>
    <m/>
    <m/>
    <n v="2"/>
    <n v="6"/>
    <n v="4"/>
    <m/>
    <m/>
    <m/>
    <m/>
    <m/>
    <m/>
    <n v="420"/>
    <s v="HP"/>
    <n v="3"/>
    <s v="Market/Shopping"/>
    <s v="Rarely"/>
    <s v="Auto"/>
    <n v="0"/>
  </r>
  <r>
    <n v="32"/>
    <x v="1"/>
    <x v="2"/>
    <n v="5"/>
    <x v="0"/>
    <x v="8"/>
    <m/>
    <m/>
    <s v="Petrol"/>
    <m/>
    <m/>
    <m/>
    <m/>
    <m/>
    <m/>
    <m/>
    <n v="5"/>
    <n v="28"/>
    <n v="24"/>
    <m/>
    <m/>
    <m/>
    <n v="3840"/>
    <s v="Shell"/>
    <n v="14"/>
    <s v="Office"/>
    <s v="Never"/>
    <s v="I don’t use public transport"/>
    <n v="0"/>
  </r>
  <r>
    <n v="48"/>
    <x v="1"/>
    <x v="4"/>
    <n v="5"/>
    <x v="1"/>
    <x v="1"/>
    <s v="Petrol"/>
    <m/>
    <m/>
    <s v="Diesel"/>
    <n v="10"/>
    <n v="7"/>
    <n v="6"/>
    <m/>
    <m/>
    <m/>
    <m/>
    <m/>
    <m/>
    <n v="12"/>
    <n v="4"/>
    <n v="45"/>
    <n v="5400"/>
    <s v="Indian Oil"/>
    <n v="4"/>
    <s v="Agriculture-related"/>
    <s v="Never"/>
    <s v="I don’t use public transport"/>
    <n v="2"/>
  </r>
  <r>
    <n v="28"/>
    <x v="0"/>
    <x v="2"/>
    <n v="4"/>
    <x v="0"/>
    <x v="2"/>
    <m/>
    <s v="Petrol"/>
    <m/>
    <m/>
    <m/>
    <m/>
    <m/>
    <n v="2"/>
    <n v="9"/>
    <n v="8"/>
    <m/>
    <m/>
    <m/>
    <m/>
    <m/>
    <m/>
    <n v="880"/>
    <s v="BPCL"/>
    <n v="5"/>
    <s v="Office"/>
    <s v="Rarely"/>
    <s v="Bus"/>
    <n v="2"/>
  </r>
  <r>
    <n v="55"/>
    <x v="1"/>
    <x v="4"/>
    <n v="5"/>
    <x v="0"/>
    <x v="8"/>
    <m/>
    <m/>
    <s v="Petrol"/>
    <m/>
    <m/>
    <m/>
    <m/>
    <m/>
    <m/>
    <m/>
    <n v="9"/>
    <n v="18"/>
    <n v="20"/>
    <m/>
    <m/>
    <m/>
    <n v="2000"/>
    <s v="HP"/>
    <n v="9"/>
    <s v="Business"/>
    <s v="Never"/>
    <s v="I don’t use public transport"/>
    <n v="0"/>
  </r>
  <r>
    <n v="39"/>
    <x v="1"/>
    <x v="2"/>
    <n v="3"/>
    <x v="0"/>
    <x v="8"/>
    <m/>
    <m/>
    <s v="Petrol"/>
    <m/>
    <m/>
    <m/>
    <m/>
    <m/>
    <m/>
    <m/>
    <n v="2"/>
    <n v="24"/>
    <n v="22"/>
    <m/>
    <m/>
    <m/>
    <n v="2300"/>
    <s v="Shell"/>
    <n v="12"/>
    <s v="Office"/>
    <s v="Rarely"/>
    <s v="Bus"/>
    <n v="0"/>
  </r>
  <r>
    <n v="22"/>
    <x v="1"/>
    <x v="0"/>
    <n v="5"/>
    <x v="0"/>
    <x v="0"/>
    <s v="Petrol"/>
    <m/>
    <m/>
    <m/>
    <n v="2"/>
    <n v="7"/>
    <n v="10"/>
    <m/>
    <m/>
    <m/>
    <m/>
    <m/>
    <m/>
    <m/>
    <m/>
    <m/>
    <n v="1000"/>
    <s v="BPCL"/>
    <n v="4"/>
    <s v="College"/>
    <s v="Never"/>
    <s v="I don’t use public transport"/>
    <n v="2"/>
  </r>
  <r>
    <n v="51"/>
    <x v="0"/>
    <x v="4"/>
    <n v="4"/>
    <x v="0"/>
    <x v="8"/>
    <m/>
    <m/>
    <s v="Petrol"/>
    <m/>
    <m/>
    <m/>
    <m/>
    <m/>
    <m/>
    <m/>
    <n v="4"/>
    <n v="24"/>
    <n v="26"/>
    <m/>
    <m/>
    <m/>
    <n v="2800"/>
    <s v="HP"/>
    <n v="12"/>
    <s v="Office"/>
    <s v="Never"/>
    <s v="I don’t use public transport"/>
    <n v="0"/>
  </r>
  <r>
    <n v="39"/>
    <x v="1"/>
    <x v="2"/>
    <n v="6"/>
    <x v="0"/>
    <x v="0"/>
    <s v="Petrol"/>
    <m/>
    <m/>
    <m/>
    <n v="15"/>
    <n v="6"/>
    <n v="5"/>
    <m/>
    <m/>
    <m/>
    <m/>
    <m/>
    <m/>
    <m/>
    <m/>
    <m/>
    <n v="580"/>
    <s v="Shell"/>
    <n v="3"/>
    <s v="Work"/>
    <s v="Rarely"/>
    <s v="Bus"/>
    <n v="2"/>
  </r>
  <r>
    <n v="33"/>
    <x v="1"/>
    <x v="2"/>
    <n v="4"/>
    <x v="0"/>
    <x v="0"/>
    <s v="Petrol"/>
    <m/>
    <m/>
    <m/>
    <n v="5"/>
    <n v="18"/>
    <n v="11"/>
    <m/>
    <m/>
    <m/>
    <m/>
    <m/>
    <m/>
    <m/>
    <m/>
    <m/>
    <n v="1430"/>
    <s v="Indian Oil"/>
    <n v="9"/>
    <s v="Office"/>
    <s v="Rarely"/>
    <s v="Bus"/>
    <n v="2"/>
  </r>
  <r>
    <n v="29"/>
    <x v="0"/>
    <x v="1"/>
    <n v="3"/>
    <x v="0"/>
    <x v="2"/>
    <m/>
    <s v="Petrol"/>
    <m/>
    <m/>
    <m/>
    <m/>
    <m/>
    <n v="4"/>
    <n v="8"/>
    <n v="5"/>
    <m/>
    <m/>
    <m/>
    <m/>
    <m/>
    <m/>
    <n v="650"/>
    <s v="BPCL"/>
    <n v="4"/>
    <s v="Office"/>
    <s v="Monthly"/>
    <s v="Auto"/>
    <n v="2"/>
  </r>
  <r>
    <n v="46"/>
    <x v="1"/>
    <x v="4"/>
    <n v="6"/>
    <x v="1"/>
    <x v="1"/>
    <s v="Petrol"/>
    <m/>
    <m/>
    <s v="Diesel"/>
    <n v="11"/>
    <n v="7"/>
    <n v="6"/>
    <m/>
    <m/>
    <m/>
    <m/>
    <m/>
    <m/>
    <n v="14"/>
    <n v="3"/>
    <n v="60"/>
    <n v="7800"/>
    <s v="Indian Oil"/>
    <n v="3"/>
    <s v="Agriculture-related"/>
    <s v="Never"/>
    <s v="I don’t use public transport"/>
    <n v="0"/>
  </r>
  <r>
    <n v="27"/>
    <x v="1"/>
    <x v="5"/>
    <n v="3"/>
    <x v="0"/>
    <x v="8"/>
    <m/>
    <m/>
    <s v="Petrol"/>
    <m/>
    <m/>
    <m/>
    <m/>
    <m/>
    <m/>
    <m/>
    <n v="3"/>
    <n v="36"/>
    <n v="30"/>
    <m/>
    <m/>
    <m/>
    <n v="4800"/>
    <s v="Shell"/>
    <n v="18"/>
    <s v="Office"/>
    <s v="Never"/>
    <s v="I don’t use public transport"/>
    <n v="1"/>
  </r>
  <r>
    <n v="42"/>
    <x v="0"/>
    <x v="1"/>
    <n v="5"/>
    <x v="0"/>
    <x v="2"/>
    <m/>
    <s v="Petrol"/>
    <m/>
    <m/>
    <m/>
    <m/>
    <m/>
    <n v="7"/>
    <n v="4"/>
    <n v="3"/>
    <m/>
    <m/>
    <m/>
    <m/>
    <m/>
    <m/>
    <n v="390"/>
    <s v="Indian Oil"/>
    <n v="2"/>
    <s v="Market/Shopping"/>
    <s v="Monthly"/>
    <s v="Auto"/>
    <n v="0"/>
  </r>
  <r>
    <n v="35"/>
    <x v="1"/>
    <x v="4"/>
    <n v="4"/>
    <x v="1"/>
    <x v="4"/>
    <s v="Petrol"/>
    <m/>
    <s v="Petrol"/>
    <m/>
    <n v="6"/>
    <n v="5"/>
    <n v="4"/>
    <m/>
    <m/>
    <m/>
    <n v="5"/>
    <n v="20"/>
    <n v="22"/>
    <m/>
    <m/>
    <m/>
    <n v="3500"/>
    <s v="HP"/>
    <n v="9"/>
    <s v="Business"/>
    <s v="Never"/>
    <s v="I don’t use public transport"/>
    <n v="2"/>
  </r>
  <r>
    <n v="22"/>
    <x v="1"/>
    <x v="0"/>
    <n v="5"/>
    <x v="0"/>
    <x v="0"/>
    <s v="Petrol"/>
    <m/>
    <m/>
    <m/>
    <n v="1"/>
    <n v="16"/>
    <n v="9"/>
    <m/>
    <m/>
    <m/>
    <m/>
    <m/>
    <m/>
    <m/>
    <m/>
    <m/>
    <n v="1000"/>
    <s v="BPCL"/>
    <n v="8"/>
    <s v="College"/>
    <s v="Rarely"/>
    <s v="Bus"/>
    <n v="0"/>
  </r>
  <r>
    <n v="44"/>
    <x v="1"/>
    <x v="4"/>
    <n v="5"/>
    <x v="0"/>
    <x v="8"/>
    <m/>
    <m/>
    <s v="Petrol"/>
    <m/>
    <m/>
    <m/>
    <m/>
    <m/>
    <m/>
    <m/>
    <n v="7"/>
    <n v="9"/>
    <n v="20"/>
    <m/>
    <m/>
    <m/>
    <n v="2100"/>
    <s v="HP"/>
    <n v="6"/>
    <s v="Office"/>
    <s v="Never"/>
    <s v="I don’t use public transport"/>
    <n v="2"/>
  </r>
  <r>
    <n v="23"/>
    <x v="1"/>
    <x v="0"/>
    <n v="4"/>
    <x v="0"/>
    <x v="0"/>
    <s v="Petrol"/>
    <m/>
    <m/>
    <m/>
    <n v="2"/>
    <n v="15"/>
    <n v="9"/>
    <m/>
    <m/>
    <m/>
    <m/>
    <m/>
    <m/>
    <m/>
    <m/>
    <m/>
    <n v="1170"/>
    <s v="Reliance"/>
    <n v="7"/>
    <s v="College"/>
    <s v="Weekly"/>
    <s v="Bus"/>
    <n v="2"/>
  </r>
  <r>
    <n v="39"/>
    <x v="0"/>
    <x v="4"/>
    <n v="4"/>
    <x v="0"/>
    <x v="8"/>
    <m/>
    <m/>
    <s v="Petrol"/>
    <m/>
    <m/>
    <m/>
    <m/>
    <m/>
    <m/>
    <m/>
    <n v="6"/>
    <n v="22"/>
    <n v="20"/>
    <m/>
    <m/>
    <m/>
    <n v="3200"/>
    <s v="Indian Oil"/>
    <n v="11"/>
    <s v="Office"/>
    <s v="Rarely"/>
    <s v="Bus"/>
    <n v="1"/>
  </r>
  <r>
    <n v="36"/>
    <x v="0"/>
    <x v="2"/>
    <n v="4"/>
    <x v="0"/>
    <x v="0"/>
    <s v="Petrol"/>
    <m/>
    <m/>
    <m/>
    <n v="4"/>
    <n v="20"/>
    <n v="11"/>
    <m/>
    <m/>
    <m/>
    <m/>
    <m/>
    <m/>
    <m/>
    <m/>
    <m/>
    <n v="1430"/>
    <s v="Shell"/>
    <n v="10"/>
    <s v="Office"/>
    <s v="Rarely"/>
    <s v="Auto"/>
    <n v="2"/>
  </r>
  <r>
    <n v="54"/>
    <x v="1"/>
    <x v="4"/>
    <n v="6"/>
    <x v="1"/>
    <x v="1"/>
    <s v="Petrol"/>
    <m/>
    <m/>
    <s v="Diesel"/>
    <n v="15"/>
    <n v="5"/>
    <n v="3"/>
    <m/>
    <m/>
    <m/>
    <m/>
    <m/>
    <m/>
    <n v="18"/>
    <n v="45"/>
    <n v="75"/>
    <n v="9300"/>
    <s v="Indian Oil"/>
    <n v="3"/>
    <s v="Agriculture-related"/>
    <s v="Rarely"/>
    <s v="Auto"/>
    <n v="2"/>
  </r>
  <r>
    <n v="23"/>
    <x v="0"/>
    <x v="0"/>
    <n v="6"/>
    <x v="0"/>
    <x v="2"/>
    <m/>
    <s v="Petrol"/>
    <m/>
    <m/>
    <m/>
    <m/>
    <m/>
    <n v="1"/>
    <n v="5"/>
    <n v="7"/>
    <m/>
    <m/>
    <m/>
    <m/>
    <m/>
    <m/>
    <n v="780"/>
    <s v="HP"/>
    <n v="3"/>
    <s v="College"/>
    <s v="Rarely"/>
    <s v="Bus"/>
    <n v="2"/>
  </r>
  <r>
    <n v="44"/>
    <x v="1"/>
    <x v="1"/>
    <n v="6"/>
    <x v="0"/>
    <x v="0"/>
    <s v="Petrol"/>
    <m/>
    <m/>
    <m/>
    <n v="13"/>
    <n v="8"/>
    <n v="6"/>
    <m/>
    <m/>
    <m/>
    <m/>
    <m/>
    <m/>
    <m/>
    <m/>
    <m/>
    <n v="780"/>
    <s v="Indian Oil"/>
    <n v="4"/>
    <s v="Work"/>
    <s v="Weekly"/>
    <s v="Bus"/>
    <n v="0"/>
  </r>
  <r>
    <n v="39"/>
    <x v="1"/>
    <x v="2"/>
    <n v="4"/>
    <x v="1"/>
    <x v="4"/>
    <s v="Petrol"/>
    <m/>
    <s v="Petrol"/>
    <m/>
    <n v="7"/>
    <n v="6"/>
    <n v="5"/>
    <m/>
    <m/>
    <m/>
    <n v="6"/>
    <n v="21"/>
    <n v="22"/>
    <m/>
    <m/>
    <m/>
    <n v="3600"/>
    <s v="Indian Oil"/>
    <n v="10"/>
    <s v="Business"/>
    <s v="Never"/>
    <s v="I don’t use public transport"/>
    <n v="0"/>
  </r>
  <r>
    <n v="31"/>
    <x v="0"/>
    <x v="2"/>
    <n v="5"/>
    <x v="0"/>
    <x v="8"/>
    <m/>
    <m/>
    <s v="Petrol"/>
    <m/>
    <m/>
    <m/>
    <m/>
    <m/>
    <m/>
    <m/>
    <n v="3"/>
    <n v="26"/>
    <n v="23"/>
    <m/>
    <m/>
    <m/>
    <n v="3600"/>
    <s v="Shell"/>
    <n v="12"/>
    <s v="Office"/>
    <s v="Never"/>
    <s v="I don’t use public transport"/>
    <n v="2"/>
  </r>
  <r>
    <n v="47"/>
    <x v="1"/>
    <x v="4"/>
    <n v="6"/>
    <x v="1"/>
    <x v="1"/>
    <s v="Petrol"/>
    <m/>
    <m/>
    <s v="Diesel"/>
    <n v="11"/>
    <n v="6"/>
    <n v="5"/>
    <m/>
    <m/>
    <m/>
    <m/>
    <m/>
    <m/>
    <n v="13"/>
    <n v="13"/>
    <n v="60"/>
    <n v="7500"/>
    <s v="Indian Oil"/>
    <n v="6"/>
    <s v="Agriculture-related"/>
    <s v="Never"/>
    <s v="I don’t use public transport"/>
    <n v="2"/>
  </r>
  <r>
    <n v="31"/>
    <x v="1"/>
    <x v="4"/>
    <n v="3"/>
    <x v="0"/>
    <x v="17"/>
    <m/>
    <m/>
    <m/>
    <m/>
    <m/>
    <m/>
    <m/>
    <m/>
    <m/>
    <m/>
    <m/>
    <m/>
    <m/>
    <m/>
    <m/>
    <m/>
    <n v="1200"/>
    <s v="No preference"/>
    <n v="14"/>
    <s v="Office"/>
    <s v="Never"/>
    <s v="I don’t use public transport"/>
    <n v="1"/>
  </r>
  <r>
    <n v="34"/>
    <x v="0"/>
    <x v="1"/>
    <n v="5"/>
    <x v="0"/>
    <x v="2"/>
    <m/>
    <s v="Petrol"/>
    <m/>
    <m/>
    <m/>
    <m/>
    <m/>
    <n v="6"/>
    <n v="5"/>
    <n v="4"/>
    <m/>
    <m/>
    <m/>
    <m/>
    <m/>
    <m/>
    <n v="430"/>
    <s v="Indian Oil"/>
    <n v="3"/>
    <s v="School pickup/drop"/>
    <s v="Rarely"/>
    <s v="Auto"/>
    <n v="2"/>
  </r>
  <r>
    <n v="26"/>
    <x v="1"/>
    <x v="2"/>
    <n v="3"/>
    <x v="0"/>
    <x v="0"/>
    <s v="Petrol"/>
    <m/>
    <m/>
    <m/>
    <n v="2"/>
    <n v="18"/>
    <n v="10"/>
    <m/>
    <m/>
    <m/>
    <m/>
    <m/>
    <m/>
    <m/>
    <m/>
    <m/>
    <n v="1000"/>
    <s v="HP"/>
    <n v="9"/>
    <s v="Office"/>
    <s v="Rarely"/>
    <s v="Bus"/>
    <n v="2"/>
  </r>
  <r>
    <n v="28"/>
    <x v="1"/>
    <x v="2"/>
    <n v="3"/>
    <x v="0"/>
    <x v="17"/>
    <m/>
    <m/>
    <m/>
    <m/>
    <m/>
    <m/>
    <m/>
    <m/>
    <m/>
    <m/>
    <m/>
    <m/>
    <m/>
    <m/>
    <m/>
    <m/>
    <n v="1100"/>
    <s v="No preference"/>
    <n v="12"/>
    <s v="Business"/>
    <s v="Monthly"/>
    <s v="Bus"/>
    <n v="0"/>
  </r>
  <r>
    <n v="28"/>
    <x v="1"/>
    <x v="4"/>
    <n v="5"/>
    <x v="1"/>
    <x v="4"/>
    <s v="Petrol"/>
    <m/>
    <s v="Petrol"/>
    <m/>
    <n v="12"/>
    <n v="4"/>
    <n v="3"/>
    <m/>
    <m/>
    <m/>
    <n v="6"/>
    <n v="16"/>
    <n v="18"/>
    <m/>
    <m/>
    <m/>
    <n v="3000"/>
    <s v="HP"/>
    <n v="6"/>
    <s v="Business"/>
    <s v="Rarely"/>
    <s v="Auto"/>
    <n v="2"/>
  </r>
  <r>
    <n v="23"/>
    <x v="0"/>
    <x v="0"/>
    <n v="5"/>
    <x v="0"/>
    <x v="0"/>
    <s v="Petrol"/>
    <m/>
    <m/>
    <m/>
    <n v="1"/>
    <n v="14"/>
    <n v="8"/>
    <m/>
    <m/>
    <m/>
    <m/>
    <m/>
    <m/>
    <m/>
    <m/>
    <m/>
    <n v="900"/>
    <s v="Indian Oil"/>
    <n v="7"/>
    <s v="College"/>
    <s v="Rarely"/>
    <s v="Bus"/>
    <n v="2"/>
  </r>
  <r>
    <n v="41"/>
    <x v="0"/>
    <x v="4"/>
    <n v="5"/>
    <x v="0"/>
    <x v="8"/>
    <m/>
    <m/>
    <s v="Diesel"/>
    <m/>
    <m/>
    <m/>
    <m/>
    <m/>
    <m/>
    <m/>
    <n v="8"/>
    <n v="18"/>
    <n v="19"/>
    <m/>
    <m/>
    <m/>
    <n v="1900"/>
    <s v="Shell"/>
    <n v="9"/>
    <s v="Office"/>
    <s v="Never"/>
    <s v="I don’t use public transport"/>
    <n v="0"/>
  </r>
  <r>
    <n v="26"/>
    <x v="0"/>
    <x v="2"/>
    <n v="3"/>
    <x v="0"/>
    <x v="2"/>
    <m/>
    <s v="Petrol"/>
    <m/>
    <m/>
    <m/>
    <m/>
    <m/>
    <n v="2"/>
    <n v="9"/>
    <n v="6"/>
    <m/>
    <m/>
    <m/>
    <m/>
    <m/>
    <m/>
    <n v="650"/>
    <s v="Shell"/>
    <n v="3"/>
    <s v="Office"/>
    <s v="Never"/>
    <s v="I don’t use public transport"/>
    <n v="2"/>
  </r>
  <r>
    <n v="52"/>
    <x v="1"/>
    <x v="2"/>
    <n v="6"/>
    <x v="1"/>
    <x v="1"/>
    <s v="Petrol"/>
    <m/>
    <m/>
    <s v="Diesel"/>
    <n v="14"/>
    <n v="5"/>
    <n v="4"/>
    <m/>
    <m/>
    <m/>
    <m/>
    <m/>
    <m/>
    <n v="15"/>
    <n v="0"/>
    <n v="60"/>
    <n v="8700"/>
    <s v="Indian Oil"/>
    <n v="3"/>
    <s v="Agriculture-related"/>
    <s v="Never"/>
    <s v="I don’t use public transport"/>
    <n v="2"/>
  </r>
  <r>
    <n v="34"/>
    <x v="0"/>
    <x v="4"/>
    <n v="3"/>
    <x v="0"/>
    <x v="8"/>
    <m/>
    <m/>
    <s v="Petrol"/>
    <m/>
    <m/>
    <m/>
    <m/>
    <m/>
    <m/>
    <m/>
    <n v="4"/>
    <n v="24"/>
    <n v="22"/>
    <m/>
    <m/>
    <m/>
    <n v="3000"/>
    <s v="Shell"/>
    <n v="12"/>
    <s v="Office"/>
    <s v="Never"/>
    <s v="I don’t use public transport"/>
    <n v="0"/>
  </r>
  <r>
    <n v="38"/>
    <x v="1"/>
    <x v="4"/>
    <n v="4"/>
    <x v="1"/>
    <x v="4"/>
    <s v="Petrol"/>
    <m/>
    <s v="Petrol"/>
    <m/>
    <n v="8"/>
    <n v="6"/>
    <n v="5"/>
    <m/>
    <m/>
    <m/>
    <n v="6"/>
    <n v="20"/>
    <n v="21"/>
    <m/>
    <m/>
    <m/>
    <n v="3600"/>
    <s v="BPCL"/>
    <n v="10"/>
    <s v="Business"/>
    <s v="Never"/>
    <s v="I don’t use public transport"/>
    <n v="2"/>
  </r>
  <r>
    <n v="55"/>
    <x v="0"/>
    <x v="2"/>
    <n v="5"/>
    <x v="0"/>
    <x v="2"/>
    <m/>
    <s v="Petrol"/>
    <m/>
    <m/>
    <m/>
    <m/>
    <m/>
    <n v="7"/>
    <n v="10"/>
    <n v="6"/>
    <m/>
    <m/>
    <m/>
    <m/>
    <m/>
    <m/>
    <n v="600"/>
    <s v="Shell"/>
    <n v="5"/>
    <s v="Agriculture-related"/>
    <s v="Never"/>
    <s v="I don’t use public transport"/>
    <n v="0"/>
  </r>
  <r>
    <n v="28"/>
    <x v="1"/>
    <x v="2"/>
    <n v="5"/>
    <x v="0"/>
    <x v="0"/>
    <s v="Petrol"/>
    <m/>
    <m/>
    <m/>
    <n v="3"/>
    <n v="22"/>
    <n v="12"/>
    <m/>
    <m/>
    <m/>
    <m/>
    <m/>
    <m/>
    <m/>
    <m/>
    <m/>
    <n v="1300"/>
    <s v="Indian Oil"/>
    <n v="6"/>
    <s v="Office"/>
    <s v="Never"/>
    <s v="I don’t use public transport"/>
    <n v="2"/>
  </r>
  <r>
    <n v="52"/>
    <x v="1"/>
    <x v="5"/>
    <n v="5"/>
    <x v="1"/>
    <x v="5"/>
    <m/>
    <m/>
    <s v="Petrol"/>
    <m/>
    <m/>
    <m/>
    <m/>
    <m/>
    <m/>
    <m/>
    <n v="8"/>
    <n v="20"/>
    <n v="19"/>
    <m/>
    <m/>
    <m/>
    <n v="3000"/>
    <s v="HP"/>
    <n v="10"/>
    <s v="Business"/>
    <s v="Never"/>
    <s v="I don’t use public transport"/>
    <n v="2"/>
  </r>
  <r>
    <n v="21"/>
    <x v="1"/>
    <x v="0"/>
    <n v="5"/>
    <x v="0"/>
    <x v="0"/>
    <s v="Petrol"/>
    <m/>
    <m/>
    <m/>
    <n v="6"/>
    <n v="16"/>
    <n v="9"/>
    <m/>
    <m/>
    <m/>
    <m/>
    <m/>
    <m/>
    <m/>
    <m/>
    <m/>
    <n v="980"/>
    <s v="Indian Oil"/>
    <n v="6"/>
    <s v="College"/>
    <s v="Weekly"/>
    <s v="Bus"/>
    <n v="2"/>
  </r>
  <r>
    <n v="38"/>
    <x v="1"/>
    <x v="2"/>
    <n v="6"/>
    <x v="0"/>
    <x v="0"/>
    <s v="Petrol"/>
    <m/>
    <m/>
    <m/>
    <n v="12"/>
    <n v="9"/>
    <n v="7"/>
    <m/>
    <m/>
    <m/>
    <m/>
    <m/>
    <m/>
    <m/>
    <m/>
    <m/>
    <n v="910"/>
    <s v="Reliance"/>
    <n v="4"/>
    <s v="Work"/>
    <s v="Rarely"/>
    <s v="Bus"/>
    <n v="0"/>
  </r>
  <r>
    <n v="47"/>
    <x v="0"/>
    <x v="4"/>
    <n v="4"/>
    <x v="0"/>
    <x v="8"/>
    <m/>
    <m/>
    <s v="Petrol"/>
    <m/>
    <m/>
    <m/>
    <m/>
    <m/>
    <m/>
    <m/>
    <n v="6"/>
    <n v="24"/>
    <n v="21"/>
    <m/>
    <m/>
    <m/>
    <n v="2300"/>
    <s v="Shell"/>
    <n v="12"/>
    <s v="Office"/>
    <s v="Rarely"/>
    <s v="Bus"/>
    <n v="2"/>
  </r>
  <r>
    <n v="27"/>
    <x v="1"/>
    <x v="2"/>
    <n v="4"/>
    <x v="0"/>
    <x v="0"/>
    <s v="Petrol"/>
    <m/>
    <m/>
    <m/>
    <n v="3"/>
    <n v="21"/>
    <n v="22"/>
    <m/>
    <m/>
    <m/>
    <m/>
    <m/>
    <m/>
    <m/>
    <m/>
    <m/>
    <n v="2300"/>
    <s v="BPCL"/>
    <n v="12"/>
    <s v="Office"/>
    <s v="Rarely"/>
    <s v="Bus"/>
    <n v="2"/>
  </r>
  <r>
    <n v="36"/>
    <x v="0"/>
    <x v="1"/>
    <n v="4"/>
    <x v="0"/>
    <x v="2"/>
    <m/>
    <s v="Petrol"/>
    <m/>
    <m/>
    <m/>
    <m/>
    <m/>
    <n v="4"/>
    <n v="5"/>
    <n v="6"/>
    <m/>
    <m/>
    <m/>
    <m/>
    <m/>
    <m/>
    <n v="630"/>
    <s v="Indian Oil"/>
    <n v="3"/>
    <s v="Market/Shopping"/>
    <s v="Rarely"/>
    <s v="Bus"/>
    <n v="0"/>
  </r>
  <r>
    <n v="29"/>
    <x v="1"/>
    <x v="2"/>
    <n v="4"/>
    <x v="0"/>
    <x v="0"/>
    <s v="Petrol"/>
    <m/>
    <m/>
    <m/>
    <n v="4"/>
    <n v="26"/>
    <n v="18"/>
    <m/>
    <m/>
    <m/>
    <m/>
    <m/>
    <m/>
    <m/>
    <m/>
    <m/>
    <n v="1820"/>
    <s v="Indian Oil"/>
    <n v="13"/>
    <s v="Office"/>
    <s v="Rarely"/>
    <s v="Bus"/>
    <n v="2"/>
  </r>
  <r>
    <n v="41"/>
    <x v="1"/>
    <x v="4"/>
    <n v="5"/>
    <x v="1"/>
    <x v="4"/>
    <s v="Petrol"/>
    <m/>
    <s v="Petrol"/>
    <m/>
    <n v="9"/>
    <n v="6"/>
    <n v="5"/>
    <m/>
    <m/>
    <m/>
    <n v="5"/>
    <n v="22"/>
    <n v="23"/>
    <m/>
    <m/>
    <m/>
    <n v="3900"/>
    <s v="HP"/>
    <n v="10"/>
    <s v="Business"/>
    <s v="Rarely"/>
    <s v="Bus"/>
    <n v="0"/>
  </r>
  <r>
    <n v="25"/>
    <x v="0"/>
    <x v="2"/>
    <n v="5"/>
    <x v="0"/>
    <x v="2"/>
    <m/>
    <s v="Petrol"/>
    <m/>
    <m/>
    <m/>
    <m/>
    <m/>
    <n v="3"/>
    <n v="11"/>
    <n v="7"/>
    <m/>
    <m/>
    <m/>
    <m/>
    <m/>
    <m/>
    <n v="780"/>
    <s v="HP"/>
    <n v="6"/>
    <s v="Office"/>
    <s v="Rarely"/>
    <s v="Auto"/>
    <n v="2"/>
  </r>
  <r>
    <n v="34"/>
    <x v="1"/>
    <x v="2"/>
    <n v="5"/>
    <x v="1"/>
    <x v="4"/>
    <s v="Petrol"/>
    <m/>
    <s v="Petrol"/>
    <m/>
    <n v="6"/>
    <n v="8"/>
    <n v="6"/>
    <m/>
    <m/>
    <m/>
    <n v="7"/>
    <n v="18"/>
    <n v="20"/>
    <m/>
    <m/>
    <m/>
    <n v="3200"/>
    <s v="BPCL"/>
    <n v="6"/>
    <s v="Agriculture-related"/>
    <s v="Never"/>
    <s v="I don’t use public transport"/>
    <n v="0"/>
  </r>
  <r>
    <n v="37"/>
    <x v="1"/>
    <x v="2"/>
    <n v="5"/>
    <x v="1"/>
    <x v="1"/>
    <s v="Petrol"/>
    <m/>
    <m/>
    <s v="Diesel"/>
    <n v="7"/>
    <n v="6"/>
    <n v="5"/>
    <m/>
    <m/>
    <m/>
    <m/>
    <m/>
    <m/>
    <n v="10"/>
    <n v="0"/>
    <n v="55"/>
    <n v="6700"/>
    <s v="Indian Oil"/>
    <n v="3"/>
    <s v="Agriculture-related"/>
    <s v="Never"/>
    <s v="I don’t use public transport"/>
    <n v="0"/>
  </r>
  <r>
    <n v="24"/>
    <x v="0"/>
    <x v="0"/>
    <n v="4"/>
    <x v="0"/>
    <x v="2"/>
    <m/>
    <s v="Petrol"/>
    <m/>
    <m/>
    <m/>
    <m/>
    <m/>
    <n v="2"/>
    <n v="10"/>
    <n v="6"/>
    <m/>
    <m/>
    <m/>
    <m/>
    <m/>
    <m/>
    <n v="780"/>
    <s v="Reliance"/>
    <n v="5"/>
    <s v="College"/>
    <s v="Weekly"/>
    <s v="Bus"/>
    <n v="2"/>
  </r>
  <r>
    <n v="49"/>
    <x v="1"/>
    <x v="3"/>
    <n v="4"/>
    <x v="1"/>
    <x v="4"/>
    <s v="Petrol"/>
    <m/>
    <s v="Petrol"/>
    <m/>
    <n v="5"/>
    <n v="4"/>
    <n v="8"/>
    <m/>
    <m/>
    <m/>
    <n v="4"/>
    <n v="20"/>
    <n v="21"/>
    <m/>
    <m/>
    <m/>
    <n v="3900"/>
    <s v="Shell"/>
    <n v="10"/>
    <s v="Business"/>
    <s v="Never"/>
    <s v="I don’t use public transport"/>
    <n v="1"/>
  </r>
  <r>
    <n v="35"/>
    <x v="0"/>
    <x v="5"/>
    <n v="3"/>
    <x v="0"/>
    <x v="8"/>
    <m/>
    <m/>
    <s v="Petrol"/>
    <m/>
    <m/>
    <m/>
    <m/>
    <m/>
    <m/>
    <m/>
    <n v="5"/>
    <n v="25"/>
    <n v="22"/>
    <m/>
    <m/>
    <m/>
    <n v="3520"/>
    <s v="HP"/>
    <n v="12"/>
    <s v="Office"/>
    <s v="Rarely"/>
    <s v="Bus"/>
    <n v="1"/>
  </r>
  <r>
    <n v="28"/>
    <x v="1"/>
    <x v="1"/>
    <n v="6"/>
    <x v="0"/>
    <x v="0"/>
    <s v="Petrol"/>
    <m/>
    <m/>
    <m/>
    <n v="9"/>
    <n v="12"/>
    <n v="8"/>
    <m/>
    <m/>
    <m/>
    <m/>
    <m/>
    <m/>
    <m/>
    <m/>
    <m/>
    <n v="1049"/>
    <s v="Indian Oil"/>
    <n v="6"/>
    <s v="Work"/>
    <s v="Rarely"/>
    <s v="Bus"/>
    <n v="1"/>
  </r>
  <r>
    <n v="46"/>
    <x v="0"/>
    <x v="1"/>
    <n v="4"/>
    <x v="0"/>
    <x v="2"/>
    <m/>
    <s v="Petrol"/>
    <m/>
    <m/>
    <m/>
    <m/>
    <m/>
    <n v="7"/>
    <n v="6"/>
    <n v="5"/>
    <m/>
    <m/>
    <m/>
    <m/>
    <m/>
    <m/>
    <n v="530"/>
    <s v="No preference"/>
    <n v="3"/>
    <s v="Market/Shopping"/>
    <s v="Monthly"/>
    <s v="Auto"/>
    <n v="0"/>
  </r>
  <r>
    <n v="35"/>
    <x v="1"/>
    <x v="5"/>
    <n v="3"/>
    <x v="0"/>
    <x v="8"/>
    <m/>
    <m/>
    <s v="Petrol"/>
    <m/>
    <m/>
    <m/>
    <m/>
    <m/>
    <m/>
    <m/>
    <n v="3"/>
    <n v="33"/>
    <n v="29"/>
    <m/>
    <m/>
    <m/>
    <n v="4890"/>
    <s v="Shell"/>
    <n v="15"/>
    <s v="Office"/>
    <s v="Never"/>
    <s v="I don’t use public transport"/>
    <n v="1"/>
  </r>
  <r>
    <n v="25"/>
    <x v="0"/>
    <x v="4"/>
    <n v="3"/>
    <x v="0"/>
    <x v="0"/>
    <s v="Petrol"/>
    <m/>
    <m/>
    <m/>
    <n v="5"/>
    <n v="15"/>
    <n v="10"/>
    <m/>
    <m/>
    <m/>
    <m/>
    <m/>
    <m/>
    <m/>
    <m/>
    <m/>
    <n v="1180"/>
    <s v="No preference"/>
    <n v="7"/>
    <s v="Office"/>
    <s v="Rarely"/>
    <s v="Bus"/>
    <n v="2"/>
  </r>
  <r>
    <n v="57"/>
    <x v="1"/>
    <x v="4"/>
    <n v="5"/>
    <x v="1"/>
    <x v="1"/>
    <s v="Petrol"/>
    <m/>
    <m/>
    <s v="Diesel"/>
    <n v="6"/>
    <n v="5"/>
    <n v="4"/>
    <m/>
    <m/>
    <m/>
    <m/>
    <m/>
    <m/>
    <n v="16"/>
    <n v="0"/>
    <n v="65"/>
    <n v="8100"/>
    <s v="Indian Oil"/>
    <n v="2"/>
    <s v="Agriculture-related"/>
    <s v="Never"/>
    <s v="I don’t use public transport"/>
    <n v="0"/>
  </r>
  <r>
    <n v="30"/>
    <x v="1"/>
    <x v="3"/>
    <n v="5"/>
    <x v="1"/>
    <x v="5"/>
    <m/>
    <m/>
    <s v="Petrol"/>
    <m/>
    <m/>
    <m/>
    <m/>
    <m/>
    <m/>
    <m/>
    <n v="2"/>
    <n v="22"/>
    <n v="18"/>
    <m/>
    <m/>
    <m/>
    <n v="2600"/>
    <s v="Shell"/>
    <n v="11"/>
    <s v="Business"/>
    <s v="Never"/>
    <s v="I don’t use public transport"/>
    <n v="1"/>
  </r>
  <r>
    <n v="18"/>
    <x v="0"/>
    <x v="0"/>
    <n v="4"/>
    <x v="2"/>
    <x v="2"/>
    <m/>
    <s v="Petrol"/>
    <m/>
    <m/>
    <m/>
    <m/>
    <m/>
    <n v="2"/>
    <n v="2"/>
    <n v="6"/>
    <m/>
    <m/>
    <m/>
    <m/>
    <m/>
    <m/>
    <n v="3000"/>
    <s v="Indian Oil"/>
    <n v="2"/>
    <s v="Market/Shopping"/>
    <s v="Daily"/>
    <s v="Bus"/>
    <n v="0"/>
  </r>
  <r>
    <n v="21"/>
    <x v="0"/>
    <x v="1"/>
    <n v="6"/>
    <x v="1"/>
    <x v="2"/>
    <m/>
    <s v="Petrol"/>
    <m/>
    <m/>
    <m/>
    <m/>
    <m/>
    <n v="8"/>
    <n v="25"/>
    <n v="30"/>
    <m/>
    <m/>
    <m/>
    <m/>
    <m/>
    <m/>
    <n v="555"/>
    <s v="Indian Oil"/>
    <n v="5"/>
    <s v="College"/>
    <s v="Rarely"/>
    <s v="Bus, Auto, Shared Rickshaw"/>
    <n v="2"/>
  </r>
  <r>
    <n v="21"/>
    <x v="0"/>
    <x v="0"/>
    <n v="5"/>
    <x v="0"/>
    <x v="0"/>
    <s v="Petrol"/>
    <m/>
    <m/>
    <m/>
    <n v="7"/>
    <n v="2"/>
    <n v="22"/>
    <m/>
    <m/>
    <m/>
    <m/>
    <m/>
    <m/>
    <m/>
    <m/>
    <m/>
    <n v="650"/>
    <s v="Indian Oil"/>
    <n v="6"/>
    <s v="Agriculture-related"/>
    <s v="Rarely"/>
    <s v="Bus"/>
    <n v="1"/>
  </r>
  <r>
    <n v="19"/>
    <x v="0"/>
    <x v="0"/>
    <n v="6"/>
    <x v="0"/>
    <x v="0"/>
    <s v="Petrol"/>
    <m/>
    <m/>
    <m/>
    <n v="3"/>
    <n v="4"/>
    <n v="22"/>
    <m/>
    <m/>
    <m/>
    <m/>
    <m/>
    <m/>
    <m/>
    <m/>
    <m/>
    <n v="750"/>
    <s v="Indian Oil"/>
    <n v="7"/>
    <s v="Office"/>
    <s v="Never"/>
    <s v="Bus"/>
    <n v="2"/>
  </r>
  <r>
    <n v="19"/>
    <x v="0"/>
    <x v="0"/>
    <n v="6"/>
    <x v="0"/>
    <x v="0"/>
    <s v="Petrol"/>
    <m/>
    <m/>
    <m/>
    <n v="5"/>
    <n v="2"/>
    <n v="22"/>
    <m/>
    <m/>
    <m/>
    <m/>
    <m/>
    <m/>
    <m/>
    <m/>
    <m/>
    <n v="950"/>
    <s v="Indian Oil"/>
    <n v="6"/>
    <s v="Agriculture-related"/>
    <s v="Rarely"/>
    <s v="Bus"/>
    <n v="1"/>
  </r>
  <r>
    <n v="21"/>
    <x v="0"/>
    <x v="1"/>
    <n v="6"/>
    <x v="1"/>
    <x v="2"/>
    <m/>
    <s v="Petrol"/>
    <m/>
    <m/>
    <m/>
    <m/>
    <m/>
    <n v="1"/>
    <n v="6"/>
    <n v="7"/>
    <m/>
    <m/>
    <m/>
    <m/>
    <m/>
    <m/>
    <n v="1000"/>
    <s v="Indian Oil"/>
    <n v="6"/>
    <s v="College"/>
    <s v="Daily"/>
    <s v="Bus"/>
    <n v="1"/>
  </r>
  <r>
    <n v="18"/>
    <x v="0"/>
    <x v="0"/>
    <n v="4"/>
    <x v="0"/>
    <x v="2"/>
    <m/>
    <s v="Petrol"/>
    <m/>
    <m/>
    <m/>
    <m/>
    <m/>
    <n v="1"/>
    <n v="5"/>
    <n v="30"/>
    <m/>
    <m/>
    <m/>
    <m/>
    <m/>
    <m/>
    <n v="3000"/>
    <s v="Indian Oil"/>
    <n v="5"/>
    <s v="College"/>
    <s v="Never"/>
    <s v="I don’t use public transport"/>
    <n v="0"/>
  </r>
  <r>
    <n v="18"/>
    <x v="0"/>
    <x v="0"/>
    <n v="6"/>
    <x v="0"/>
    <x v="2"/>
    <m/>
    <s v="Petrol"/>
    <m/>
    <m/>
    <m/>
    <m/>
    <m/>
    <n v="4"/>
    <n v="5"/>
    <n v="25"/>
    <m/>
    <m/>
    <m/>
    <m/>
    <m/>
    <m/>
    <n v="1000"/>
    <s v="Indian Oil"/>
    <n v="5"/>
    <s v="College"/>
    <s v="Never"/>
    <s v="I don’t use public transport"/>
    <n v="0"/>
  </r>
  <r>
    <n v="21"/>
    <x v="1"/>
    <x v="0"/>
    <n v="3"/>
    <x v="0"/>
    <x v="0"/>
    <s v="Petrol"/>
    <m/>
    <m/>
    <m/>
    <n v="4"/>
    <n v="12"/>
    <n v="35"/>
    <m/>
    <m/>
    <m/>
    <m/>
    <m/>
    <m/>
    <m/>
    <m/>
    <m/>
    <n v="750"/>
    <s v="Indian Oil"/>
    <n v="12"/>
    <s v="College"/>
    <s v="Weekly"/>
    <s v="Bus"/>
    <n v="0"/>
  </r>
  <r>
    <n v="22"/>
    <x v="1"/>
    <x v="0"/>
    <n v="3"/>
    <x v="0"/>
    <x v="0"/>
    <s v="Petrol"/>
    <m/>
    <m/>
    <m/>
    <n v="7"/>
    <n v="6"/>
    <n v="22"/>
    <m/>
    <m/>
    <m/>
    <m/>
    <m/>
    <m/>
    <m/>
    <m/>
    <m/>
    <n v="950"/>
    <s v="Indian Oil"/>
    <n v="6"/>
    <s v="College"/>
    <s v="Monthly"/>
    <s v="Bus"/>
    <n v="1"/>
  </r>
  <r>
    <n v="30"/>
    <x v="1"/>
    <x v="2"/>
    <n v="5"/>
    <x v="1"/>
    <x v="5"/>
    <m/>
    <m/>
    <s v="Petrol"/>
    <m/>
    <m/>
    <m/>
    <m/>
    <m/>
    <m/>
    <m/>
    <n v="2"/>
    <n v="22"/>
    <n v="18"/>
    <m/>
    <m/>
    <m/>
    <n v="2600"/>
    <s v="Shell"/>
    <n v="11"/>
    <s v="Business"/>
    <s v="Never"/>
    <s v="I don’t use public transport"/>
    <n v="0"/>
  </r>
  <r>
    <n v="56"/>
    <x v="1"/>
    <x v="2"/>
    <n v="6"/>
    <x v="1"/>
    <x v="1"/>
    <s v="Petrol"/>
    <m/>
    <m/>
    <s v="Diesel"/>
    <n v="15"/>
    <n v="5"/>
    <n v="4"/>
    <m/>
    <m/>
    <m/>
    <m/>
    <m/>
    <m/>
    <n v="16"/>
    <n v="0"/>
    <n v="65"/>
    <n v="8100"/>
    <s v="Indian Oil"/>
    <n v="2"/>
    <s v="Agriculture-related"/>
    <s v="Never"/>
    <s v="I don’t use public transport"/>
    <n v="2"/>
  </r>
  <r>
    <n v="36"/>
    <x v="0"/>
    <x v="2"/>
    <n v="4"/>
    <x v="0"/>
    <x v="0"/>
    <s v="Petrol"/>
    <m/>
    <m/>
    <m/>
    <n v="4"/>
    <n v="15"/>
    <n v="9"/>
    <m/>
    <m/>
    <m/>
    <m/>
    <m/>
    <m/>
    <m/>
    <m/>
    <m/>
    <n v="1170"/>
    <s v="HP"/>
    <n v="7"/>
    <s v="Office"/>
    <s v="Never"/>
    <s v="I don’t use public transport"/>
    <n v="2"/>
  </r>
  <r>
    <n v="34"/>
    <x v="1"/>
    <x v="2"/>
    <n v="4"/>
    <x v="0"/>
    <x v="8"/>
    <m/>
    <m/>
    <s v="Petrol"/>
    <m/>
    <m/>
    <m/>
    <m/>
    <m/>
    <m/>
    <m/>
    <n v="3"/>
    <n v="32"/>
    <n v="28"/>
    <m/>
    <m/>
    <m/>
    <n v="4480"/>
    <s v="Indian Oil"/>
    <n v="16"/>
    <s v="Office"/>
    <s v="Rarely"/>
    <s v="Bus"/>
    <n v="2"/>
  </r>
  <r>
    <n v="41"/>
    <x v="1"/>
    <x v="4"/>
    <n v="4"/>
    <x v="1"/>
    <x v="4"/>
    <s v="Petrol"/>
    <m/>
    <s v="Petrol"/>
    <m/>
    <n v="6"/>
    <n v="10"/>
    <n v="6"/>
    <m/>
    <m/>
    <m/>
    <n v="5"/>
    <n v="20"/>
    <n v="21"/>
    <m/>
    <m/>
    <m/>
    <n v="3510"/>
    <s v="Indian Oil"/>
    <n v="10"/>
    <s v="Business"/>
    <s v="Never"/>
    <s v="I don’t use public transport"/>
    <n v="0"/>
  </r>
  <r>
    <n v="31"/>
    <x v="0"/>
    <x v="1"/>
    <n v="5"/>
    <x v="0"/>
    <x v="2"/>
    <m/>
    <s v="Petrol"/>
    <m/>
    <m/>
    <m/>
    <m/>
    <m/>
    <n v="6"/>
    <n v="4"/>
    <n v="6"/>
    <m/>
    <m/>
    <m/>
    <m/>
    <m/>
    <m/>
    <n v="520"/>
    <s v="Shell"/>
    <n v="2"/>
    <s v="School pickup/drop"/>
    <s v="Rarely"/>
    <s v="Auto"/>
    <n v="2"/>
  </r>
  <r>
    <n v="46"/>
    <x v="1"/>
    <x v="4"/>
    <n v="5"/>
    <x v="1"/>
    <x v="1"/>
    <s v="Petrol"/>
    <m/>
    <m/>
    <s v="Diesel"/>
    <n v="13"/>
    <n v="5"/>
    <n v="4"/>
    <m/>
    <m/>
    <m/>
    <m/>
    <m/>
    <m/>
    <n v="11"/>
    <n v="0"/>
    <n v="85"/>
    <n v="7200"/>
    <s v="Indian Oil"/>
    <n v="7"/>
    <s v="Agriculture-related"/>
    <s v="Rarely"/>
    <s v="Bus"/>
    <n v="2"/>
  </r>
  <r>
    <n v="32"/>
    <x v="1"/>
    <x v="2"/>
    <n v="3"/>
    <x v="0"/>
    <x v="0"/>
    <s v="Petrol"/>
    <m/>
    <m/>
    <m/>
    <n v="4"/>
    <n v="22"/>
    <n v="12"/>
    <m/>
    <m/>
    <m/>
    <m/>
    <m/>
    <m/>
    <m/>
    <m/>
    <m/>
    <n v="1560"/>
    <s v="Indian Oil"/>
    <n v="11"/>
    <s v="Office"/>
    <s v="Rarely"/>
    <s v="Bus"/>
    <n v="2"/>
  </r>
  <r>
    <n v="41"/>
    <x v="0"/>
    <x v="1"/>
    <n v="5"/>
    <x v="0"/>
    <x v="2"/>
    <m/>
    <s v="Petrol"/>
    <m/>
    <m/>
    <m/>
    <m/>
    <m/>
    <n v="6"/>
    <n v="5"/>
    <n v="4"/>
    <m/>
    <m/>
    <m/>
    <m/>
    <m/>
    <m/>
    <n v="520"/>
    <s v="HP"/>
    <n v="2"/>
    <s v="Market/Shopping"/>
    <s v="Monthly"/>
    <s v="Auto"/>
    <n v="2"/>
  </r>
  <r>
    <n v="39"/>
    <x v="1"/>
    <x v="2"/>
    <n v="5"/>
    <x v="0"/>
    <x v="0"/>
    <s v="Petrol"/>
    <m/>
    <m/>
    <m/>
    <n v="5"/>
    <n v="20"/>
    <n v="11"/>
    <m/>
    <m/>
    <m/>
    <m/>
    <m/>
    <m/>
    <m/>
    <m/>
    <m/>
    <n v="1180"/>
    <s v="BPCL"/>
    <n v="10"/>
    <s v="Office"/>
    <s v="Never"/>
    <s v="I don’t use public transport"/>
    <n v="2"/>
  </r>
  <r>
    <n v="57"/>
    <x v="1"/>
    <x v="2"/>
    <n v="5"/>
    <x v="1"/>
    <x v="1"/>
    <s v="Petrol"/>
    <m/>
    <m/>
    <s v="Diesel"/>
    <n v="11"/>
    <n v="6"/>
    <n v="4"/>
    <m/>
    <m/>
    <m/>
    <m/>
    <m/>
    <m/>
    <n v="9"/>
    <n v="0"/>
    <n v="52"/>
    <n v="6600"/>
    <s v="HP"/>
    <n v="3"/>
    <s v="Agriculture-related"/>
    <s v="Never"/>
    <s v="I don’t use public transport"/>
    <n v="2"/>
  </r>
  <r>
    <n v="45"/>
    <x v="0"/>
    <x v="2"/>
    <n v="5"/>
    <x v="0"/>
    <x v="2"/>
    <m/>
    <s v="Petrol"/>
    <m/>
    <m/>
    <m/>
    <m/>
    <m/>
    <n v="2"/>
    <n v="9"/>
    <n v="6"/>
    <m/>
    <m/>
    <m/>
    <m/>
    <m/>
    <m/>
    <n v="680"/>
    <s v="Shell"/>
    <n v="3"/>
    <s v="Office"/>
    <s v="Rarely"/>
    <s v="Bus"/>
    <n v="2"/>
  </r>
  <r>
    <n v="52"/>
    <x v="0"/>
    <x v="4"/>
    <n v="5"/>
    <x v="0"/>
    <x v="8"/>
    <m/>
    <m/>
    <s v="Petrol"/>
    <m/>
    <m/>
    <m/>
    <m/>
    <m/>
    <m/>
    <m/>
    <n v="8"/>
    <n v="18"/>
    <n v="19"/>
    <m/>
    <m/>
    <m/>
    <n v="2000"/>
    <s v="Indian Oil"/>
    <n v="9"/>
    <s v="Office"/>
    <s v="Never"/>
    <s v="I don’t use public transport"/>
    <n v="2"/>
  </r>
</pivotCacheRecords>
</file>

<file path=xl/pivotCache/pivotCacheRecords3.xml><?xml version="1.0" encoding="utf-8"?>
<pivotCacheRecords xmlns="http://schemas.openxmlformats.org/spreadsheetml/2006/main" xmlns:r="http://schemas.openxmlformats.org/officeDocument/2006/relationships" count="4">
  <r>
    <x v="0"/>
    <n v="4116.9802816901411"/>
  </r>
  <r>
    <x v="1"/>
    <n v="1413.1818181818182"/>
  </r>
  <r>
    <x v="2"/>
    <n v="5135.8869047619046"/>
  </r>
  <r>
    <x v="3"/>
    <n v="9236.0465116279065"/>
  </r>
</pivotCacheRecords>
</file>

<file path=xl/pivotCache/pivotCacheRecords4.xml><?xml version="1.0" encoding="utf-8"?>
<pivotCacheRecords xmlns="http://schemas.openxmlformats.org/spreadsheetml/2006/main" xmlns:r="http://schemas.openxmlformats.org/officeDocument/2006/relationships" count="567">
  <r>
    <n v="1"/>
    <n v="0"/>
    <n v="0"/>
    <n v="0"/>
    <n v="0"/>
    <x v="0"/>
  </r>
  <r>
    <n v="1"/>
    <n v="0"/>
    <n v="0"/>
    <n v="1"/>
    <n v="0"/>
    <x v="1"/>
  </r>
  <r>
    <n v="0"/>
    <n v="1"/>
    <n v="0"/>
    <n v="0"/>
    <n v="0"/>
    <x v="0"/>
  </r>
  <r>
    <n v="1"/>
    <n v="0"/>
    <n v="0"/>
    <n v="0"/>
    <n v="0"/>
    <x v="1"/>
  </r>
  <r>
    <n v="1"/>
    <n v="0"/>
    <n v="1"/>
    <n v="1"/>
    <n v="0"/>
    <x v="1"/>
  </r>
  <r>
    <n v="0"/>
    <n v="1"/>
    <n v="0"/>
    <n v="0"/>
    <n v="0"/>
    <x v="0"/>
  </r>
  <r>
    <n v="1"/>
    <n v="0"/>
    <n v="1"/>
    <n v="0"/>
    <n v="0"/>
    <x v="0"/>
  </r>
  <r>
    <n v="1"/>
    <n v="0"/>
    <n v="0"/>
    <n v="0"/>
    <n v="0"/>
    <x v="1"/>
  </r>
  <r>
    <n v="0"/>
    <n v="1"/>
    <n v="0"/>
    <n v="0"/>
    <n v="0"/>
    <x v="0"/>
  </r>
  <r>
    <n v="0"/>
    <n v="0"/>
    <n v="1"/>
    <n v="0"/>
    <n v="1"/>
    <x v="1"/>
  </r>
  <r>
    <n v="0"/>
    <n v="1"/>
    <n v="0"/>
    <n v="0"/>
    <n v="0"/>
    <x v="1"/>
  </r>
  <r>
    <n v="1"/>
    <n v="0"/>
    <n v="0"/>
    <n v="1"/>
    <n v="0"/>
    <x v="1"/>
  </r>
  <r>
    <n v="1"/>
    <n v="0"/>
    <n v="1"/>
    <n v="0"/>
    <n v="0"/>
    <x v="0"/>
  </r>
  <r>
    <n v="1"/>
    <n v="0"/>
    <n v="1"/>
    <n v="0"/>
    <n v="0"/>
    <x v="1"/>
  </r>
  <r>
    <n v="1"/>
    <n v="1"/>
    <n v="1"/>
    <n v="0"/>
    <n v="0"/>
    <x v="1"/>
  </r>
  <r>
    <n v="0"/>
    <n v="1"/>
    <n v="0"/>
    <n v="0"/>
    <n v="0"/>
    <x v="0"/>
  </r>
  <r>
    <n v="1"/>
    <n v="0"/>
    <n v="1"/>
    <n v="0"/>
    <n v="0"/>
    <x v="1"/>
  </r>
  <r>
    <n v="1"/>
    <n v="0"/>
    <n v="0"/>
    <n v="0"/>
    <n v="0"/>
    <x v="1"/>
  </r>
  <r>
    <n v="0"/>
    <n v="1"/>
    <n v="0"/>
    <n v="0"/>
    <n v="0"/>
    <x v="0"/>
  </r>
  <r>
    <n v="1"/>
    <n v="0"/>
    <n v="0"/>
    <n v="1"/>
    <n v="0"/>
    <x v="1"/>
  </r>
  <r>
    <n v="0"/>
    <n v="0"/>
    <n v="1"/>
    <n v="0"/>
    <n v="0"/>
    <x v="0"/>
  </r>
  <r>
    <n v="1"/>
    <n v="0"/>
    <n v="1"/>
    <n v="0"/>
    <n v="1"/>
    <x v="1"/>
  </r>
  <r>
    <n v="1"/>
    <n v="0"/>
    <n v="0"/>
    <n v="0"/>
    <n v="0"/>
    <x v="1"/>
  </r>
  <r>
    <n v="1"/>
    <n v="1"/>
    <n v="0"/>
    <n v="0"/>
    <n v="0"/>
    <x v="0"/>
  </r>
  <r>
    <n v="0"/>
    <n v="1"/>
    <n v="1"/>
    <n v="0"/>
    <n v="0"/>
    <x v="0"/>
  </r>
  <r>
    <n v="1"/>
    <n v="0"/>
    <n v="1"/>
    <n v="0"/>
    <n v="0"/>
    <x v="1"/>
  </r>
  <r>
    <n v="1"/>
    <n v="0"/>
    <n v="0"/>
    <n v="1"/>
    <n v="0"/>
    <x v="0"/>
  </r>
  <r>
    <n v="1"/>
    <n v="0"/>
    <n v="0"/>
    <n v="0"/>
    <n v="0"/>
    <x v="1"/>
  </r>
  <r>
    <n v="1"/>
    <n v="0"/>
    <n v="0"/>
    <n v="0"/>
    <n v="0"/>
    <x v="1"/>
  </r>
  <r>
    <n v="1"/>
    <n v="1"/>
    <n v="1"/>
    <n v="0"/>
    <n v="0"/>
    <x v="1"/>
  </r>
  <r>
    <n v="0"/>
    <n v="0"/>
    <n v="1"/>
    <n v="0"/>
    <n v="0"/>
    <x v="0"/>
  </r>
  <r>
    <n v="1"/>
    <n v="0"/>
    <n v="1"/>
    <n v="0"/>
    <n v="0"/>
    <x v="1"/>
  </r>
  <r>
    <n v="1"/>
    <n v="0"/>
    <n v="0"/>
    <n v="1"/>
    <n v="0"/>
    <x v="1"/>
  </r>
  <r>
    <n v="1"/>
    <n v="0"/>
    <n v="1"/>
    <n v="0"/>
    <n v="0"/>
    <x v="1"/>
  </r>
  <r>
    <n v="0"/>
    <n v="1"/>
    <n v="0"/>
    <n v="0"/>
    <n v="0"/>
    <x v="0"/>
  </r>
  <r>
    <n v="1"/>
    <n v="0"/>
    <n v="0"/>
    <n v="1"/>
    <n v="0"/>
    <x v="1"/>
  </r>
  <r>
    <n v="0"/>
    <n v="1"/>
    <n v="0"/>
    <n v="0"/>
    <n v="0"/>
    <x v="0"/>
  </r>
  <r>
    <n v="1"/>
    <n v="0"/>
    <n v="1"/>
    <n v="1"/>
    <n v="0"/>
    <x v="1"/>
  </r>
  <r>
    <n v="0"/>
    <n v="0"/>
    <n v="1"/>
    <n v="0"/>
    <n v="0"/>
    <x v="0"/>
  </r>
  <r>
    <n v="1"/>
    <n v="0"/>
    <n v="0"/>
    <n v="0"/>
    <n v="0"/>
    <x v="1"/>
  </r>
  <r>
    <n v="0"/>
    <n v="1"/>
    <n v="0"/>
    <n v="0"/>
    <n v="0"/>
    <x v="0"/>
  </r>
  <r>
    <n v="1"/>
    <n v="0"/>
    <n v="1"/>
    <n v="0"/>
    <n v="0"/>
    <x v="1"/>
  </r>
  <r>
    <n v="1"/>
    <n v="0"/>
    <n v="0"/>
    <n v="0"/>
    <n v="0"/>
    <x v="0"/>
  </r>
  <r>
    <n v="1"/>
    <n v="0"/>
    <n v="0"/>
    <n v="0"/>
    <n v="0"/>
    <x v="1"/>
  </r>
  <r>
    <n v="0"/>
    <n v="1"/>
    <n v="1"/>
    <n v="0"/>
    <n v="0"/>
    <x v="0"/>
  </r>
  <r>
    <n v="1"/>
    <n v="0"/>
    <n v="0"/>
    <n v="1"/>
    <n v="0"/>
    <x v="1"/>
  </r>
  <r>
    <n v="0"/>
    <n v="1"/>
    <n v="0"/>
    <n v="0"/>
    <n v="0"/>
    <x v="0"/>
  </r>
  <r>
    <n v="1"/>
    <n v="0"/>
    <n v="1"/>
    <n v="1"/>
    <n v="0"/>
    <x v="1"/>
  </r>
  <r>
    <n v="0"/>
    <n v="1"/>
    <n v="0"/>
    <n v="0"/>
    <n v="0"/>
    <x v="0"/>
  </r>
  <r>
    <n v="1"/>
    <n v="1"/>
    <n v="0"/>
    <n v="0"/>
    <n v="0"/>
    <x v="1"/>
  </r>
  <r>
    <n v="1"/>
    <n v="1"/>
    <n v="0"/>
    <n v="0"/>
    <n v="0"/>
    <x v="0"/>
  </r>
  <r>
    <n v="0"/>
    <n v="0"/>
    <n v="1"/>
    <n v="0"/>
    <n v="0"/>
    <x v="0"/>
  </r>
  <r>
    <n v="1"/>
    <n v="0"/>
    <n v="0"/>
    <n v="1"/>
    <n v="0"/>
    <x v="1"/>
  </r>
  <r>
    <n v="0"/>
    <n v="1"/>
    <n v="0"/>
    <n v="0"/>
    <n v="0"/>
    <x v="0"/>
  </r>
  <r>
    <n v="1"/>
    <n v="0"/>
    <n v="0"/>
    <n v="0"/>
    <n v="0"/>
    <x v="0"/>
  </r>
  <r>
    <n v="1"/>
    <n v="1"/>
    <n v="0"/>
    <n v="0"/>
    <n v="0"/>
    <x v="1"/>
  </r>
  <r>
    <n v="1"/>
    <n v="0"/>
    <n v="0"/>
    <n v="0"/>
    <n v="0"/>
    <x v="0"/>
  </r>
  <r>
    <n v="1"/>
    <n v="0"/>
    <n v="0"/>
    <n v="0"/>
    <n v="0"/>
    <x v="1"/>
  </r>
  <r>
    <n v="1"/>
    <n v="1"/>
    <n v="0"/>
    <n v="0"/>
    <n v="0"/>
    <x v="0"/>
  </r>
  <r>
    <n v="0"/>
    <n v="1"/>
    <n v="0"/>
    <n v="0"/>
    <n v="0"/>
    <x v="1"/>
  </r>
  <r>
    <n v="1"/>
    <n v="0"/>
    <n v="0"/>
    <n v="0"/>
    <n v="0"/>
    <x v="1"/>
  </r>
  <r>
    <n v="1"/>
    <n v="0"/>
    <n v="0"/>
    <n v="1"/>
    <n v="0"/>
    <x v="1"/>
  </r>
  <r>
    <n v="0"/>
    <n v="1"/>
    <n v="0"/>
    <n v="0"/>
    <n v="0"/>
    <x v="0"/>
  </r>
  <r>
    <n v="1"/>
    <n v="0"/>
    <n v="1"/>
    <n v="0"/>
    <n v="0"/>
    <x v="1"/>
  </r>
  <r>
    <n v="0"/>
    <n v="1"/>
    <n v="0"/>
    <n v="0"/>
    <n v="0"/>
    <x v="0"/>
  </r>
  <r>
    <n v="1"/>
    <n v="0"/>
    <n v="0"/>
    <n v="0"/>
    <n v="0"/>
    <x v="1"/>
  </r>
  <r>
    <n v="0"/>
    <n v="0"/>
    <n v="1"/>
    <n v="0"/>
    <n v="0"/>
    <x v="0"/>
  </r>
  <r>
    <n v="1"/>
    <n v="0"/>
    <n v="1"/>
    <n v="0"/>
    <n v="0"/>
    <x v="1"/>
  </r>
  <r>
    <n v="0"/>
    <n v="1"/>
    <n v="0"/>
    <n v="0"/>
    <n v="0"/>
    <x v="0"/>
  </r>
  <r>
    <n v="0"/>
    <n v="0"/>
    <n v="1"/>
    <n v="1"/>
    <n v="0"/>
    <x v="1"/>
  </r>
  <r>
    <n v="0"/>
    <n v="0"/>
    <n v="1"/>
    <n v="0"/>
    <n v="0"/>
    <x v="0"/>
  </r>
  <r>
    <n v="1"/>
    <n v="0"/>
    <n v="0"/>
    <n v="0"/>
    <n v="0"/>
    <x v="1"/>
  </r>
  <r>
    <n v="1"/>
    <n v="0"/>
    <n v="1"/>
    <n v="0"/>
    <n v="0"/>
    <x v="1"/>
  </r>
  <r>
    <n v="0"/>
    <n v="1"/>
    <n v="0"/>
    <n v="0"/>
    <n v="0"/>
    <x v="0"/>
  </r>
  <r>
    <n v="1"/>
    <n v="0"/>
    <n v="0"/>
    <n v="1"/>
    <n v="0"/>
    <x v="1"/>
  </r>
  <r>
    <n v="0"/>
    <n v="1"/>
    <n v="1"/>
    <n v="0"/>
    <n v="0"/>
    <x v="0"/>
  </r>
  <r>
    <n v="0"/>
    <n v="0"/>
    <n v="1"/>
    <n v="1"/>
    <n v="0"/>
    <x v="1"/>
  </r>
  <r>
    <n v="1"/>
    <n v="0"/>
    <n v="0"/>
    <n v="0"/>
    <n v="0"/>
    <x v="0"/>
  </r>
  <r>
    <n v="1"/>
    <n v="0"/>
    <n v="0"/>
    <n v="0"/>
    <n v="0"/>
    <x v="1"/>
  </r>
  <r>
    <n v="0"/>
    <n v="1"/>
    <n v="0"/>
    <n v="0"/>
    <n v="0"/>
    <x v="1"/>
  </r>
  <r>
    <n v="0"/>
    <n v="0"/>
    <n v="1"/>
    <n v="0"/>
    <n v="1"/>
    <x v="1"/>
  </r>
  <r>
    <n v="0"/>
    <n v="1"/>
    <n v="0"/>
    <n v="0"/>
    <n v="0"/>
    <x v="0"/>
  </r>
  <r>
    <n v="1"/>
    <n v="0"/>
    <n v="0"/>
    <n v="1"/>
    <n v="0"/>
    <x v="1"/>
  </r>
  <r>
    <n v="1"/>
    <n v="0"/>
    <n v="0"/>
    <n v="0"/>
    <n v="0"/>
    <x v="0"/>
  </r>
  <r>
    <n v="1"/>
    <n v="0"/>
    <n v="1"/>
    <n v="0"/>
    <n v="0"/>
    <x v="1"/>
  </r>
  <r>
    <n v="0"/>
    <n v="0"/>
    <n v="1"/>
    <n v="0"/>
    <n v="0"/>
    <x v="0"/>
  </r>
  <r>
    <n v="1"/>
    <n v="0"/>
    <n v="0"/>
    <n v="0"/>
    <n v="0"/>
    <x v="1"/>
  </r>
  <r>
    <n v="0"/>
    <n v="1"/>
    <n v="0"/>
    <n v="0"/>
    <n v="0"/>
    <x v="0"/>
  </r>
  <r>
    <n v="1"/>
    <n v="0"/>
    <n v="1"/>
    <n v="0"/>
    <n v="0"/>
    <x v="1"/>
  </r>
  <r>
    <n v="1"/>
    <n v="0"/>
    <n v="0"/>
    <n v="0"/>
    <n v="0"/>
    <x v="1"/>
  </r>
  <r>
    <n v="0"/>
    <n v="1"/>
    <n v="0"/>
    <n v="0"/>
    <n v="0"/>
    <x v="0"/>
  </r>
  <r>
    <n v="1"/>
    <n v="0"/>
    <n v="1"/>
    <n v="0"/>
    <n v="0"/>
    <x v="1"/>
  </r>
  <r>
    <n v="0"/>
    <n v="1"/>
    <n v="0"/>
    <n v="0"/>
    <n v="0"/>
    <x v="0"/>
  </r>
  <r>
    <n v="0"/>
    <n v="0"/>
    <n v="1"/>
    <n v="0"/>
    <n v="0"/>
    <x v="0"/>
  </r>
  <r>
    <n v="1"/>
    <n v="0"/>
    <n v="0"/>
    <n v="0"/>
    <n v="0"/>
    <x v="1"/>
  </r>
  <r>
    <n v="0"/>
    <n v="1"/>
    <n v="0"/>
    <n v="0"/>
    <n v="0"/>
    <x v="0"/>
  </r>
  <r>
    <n v="1"/>
    <n v="0"/>
    <n v="0"/>
    <n v="1"/>
    <n v="0"/>
    <x v="1"/>
  </r>
  <r>
    <n v="1"/>
    <n v="0"/>
    <n v="0"/>
    <n v="1"/>
    <n v="0"/>
    <x v="1"/>
  </r>
  <r>
    <n v="0"/>
    <n v="0"/>
    <n v="1"/>
    <n v="0"/>
    <n v="0"/>
    <x v="0"/>
  </r>
  <r>
    <n v="1"/>
    <n v="0"/>
    <n v="0"/>
    <n v="1"/>
    <n v="0"/>
    <x v="1"/>
  </r>
  <r>
    <n v="0"/>
    <n v="1"/>
    <n v="0"/>
    <n v="0"/>
    <n v="0"/>
    <x v="0"/>
  </r>
  <r>
    <n v="1"/>
    <n v="0"/>
    <n v="1"/>
    <n v="0"/>
    <n v="0"/>
    <x v="1"/>
  </r>
  <r>
    <n v="1"/>
    <n v="0"/>
    <n v="1"/>
    <n v="0"/>
    <n v="0"/>
    <x v="1"/>
  </r>
  <r>
    <n v="1"/>
    <n v="0"/>
    <n v="0"/>
    <n v="0"/>
    <n v="0"/>
    <x v="0"/>
  </r>
  <r>
    <n v="1"/>
    <n v="0"/>
    <n v="1"/>
    <n v="0"/>
    <n v="0"/>
    <x v="1"/>
  </r>
  <r>
    <n v="1"/>
    <n v="0"/>
    <n v="0"/>
    <n v="1"/>
    <n v="0"/>
    <x v="1"/>
  </r>
  <r>
    <n v="0"/>
    <n v="1"/>
    <n v="0"/>
    <n v="0"/>
    <n v="0"/>
    <x v="0"/>
  </r>
  <r>
    <n v="0"/>
    <n v="1"/>
    <n v="0"/>
    <n v="0"/>
    <n v="0"/>
    <x v="0"/>
  </r>
  <r>
    <n v="1"/>
    <n v="0"/>
    <n v="0"/>
    <n v="1"/>
    <n v="0"/>
    <x v="1"/>
  </r>
  <r>
    <n v="1"/>
    <n v="0"/>
    <n v="1"/>
    <n v="1"/>
    <n v="0"/>
    <x v="1"/>
  </r>
  <r>
    <n v="0"/>
    <n v="0"/>
    <n v="1"/>
    <n v="0"/>
    <n v="0"/>
    <x v="0"/>
  </r>
  <r>
    <n v="0"/>
    <n v="1"/>
    <n v="0"/>
    <n v="0"/>
    <n v="0"/>
    <x v="0"/>
  </r>
  <r>
    <n v="1"/>
    <n v="0"/>
    <n v="1"/>
    <n v="0"/>
    <n v="1"/>
    <x v="1"/>
  </r>
  <r>
    <n v="0"/>
    <n v="1"/>
    <n v="0"/>
    <n v="0"/>
    <n v="0"/>
    <x v="0"/>
  </r>
  <r>
    <n v="1"/>
    <n v="0"/>
    <n v="1"/>
    <n v="0"/>
    <n v="0"/>
    <x v="1"/>
  </r>
  <r>
    <n v="1"/>
    <n v="0"/>
    <n v="0"/>
    <n v="0"/>
    <n v="0"/>
    <x v="0"/>
  </r>
  <r>
    <n v="1"/>
    <n v="0"/>
    <n v="1"/>
    <n v="0"/>
    <n v="1"/>
    <x v="1"/>
  </r>
  <r>
    <n v="1"/>
    <n v="0"/>
    <n v="0"/>
    <n v="0"/>
    <n v="0"/>
    <x v="1"/>
  </r>
  <r>
    <n v="0"/>
    <n v="1"/>
    <n v="0"/>
    <n v="0"/>
    <n v="0"/>
    <x v="0"/>
  </r>
  <r>
    <n v="1"/>
    <n v="0"/>
    <n v="0"/>
    <n v="0"/>
    <n v="0"/>
    <x v="0"/>
  </r>
  <r>
    <n v="1"/>
    <n v="0"/>
    <n v="0"/>
    <n v="0"/>
    <n v="0"/>
    <x v="1"/>
  </r>
  <r>
    <n v="1"/>
    <n v="0"/>
    <n v="0"/>
    <n v="0"/>
    <n v="0"/>
    <x v="1"/>
  </r>
  <r>
    <n v="1"/>
    <n v="0"/>
    <n v="0"/>
    <n v="0"/>
    <n v="0"/>
    <x v="1"/>
  </r>
  <r>
    <n v="1"/>
    <n v="0"/>
    <n v="1"/>
    <n v="0"/>
    <n v="0"/>
    <x v="1"/>
  </r>
  <r>
    <n v="0"/>
    <n v="1"/>
    <n v="0"/>
    <n v="0"/>
    <n v="0"/>
    <x v="0"/>
  </r>
  <r>
    <n v="1"/>
    <n v="0"/>
    <n v="1"/>
    <n v="0"/>
    <n v="0"/>
    <x v="1"/>
  </r>
  <r>
    <n v="0"/>
    <n v="1"/>
    <n v="0"/>
    <n v="0"/>
    <n v="0"/>
    <x v="0"/>
  </r>
  <r>
    <n v="1"/>
    <n v="0"/>
    <n v="0"/>
    <n v="1"/>
    <n v="0"/>
    <x v="1"/>
  </r>
  <r>
    <n v="0"/>
    <n v="1"/>
    <n v="0"/>
    <n v="0"/>
    <n v="0"/>
    <x v="0"/>
  </r>
  <r>
    <n v="1"/>
    <n v="0"/>
    <n v="1"/>
    <n v="0"/>
    <n v="1"/>
    <x v="1"/>
  </r>
  <r>
    <n v="1"/>
    <n v="0"/>
    <n v="0"/>
    <n v="0"/>
    <n v="0"/>
    <x v="0"/>
  </r>
  <r>
    <n v="1"/>
    <n v="0"/>
    <n v="0"/>
    <n v="0"/>
    <n v="0"/>
    <x v="1"/>
  </r>
  <r>
    <n v="0"/>
    <n v="1"/>
    <n v="0"/>
    <n v="0"/>
    <n v="0"/>
    <x v="0"/>
  </r>
  <r>
    <n v="1"/>
    <n v="0"/>
    <n v="1"/>
    <n v="0"/>
    <n v="0"/>
    <x v="1"/>
  </r>
  <r>
    <n v="0"/>
    <n v="1"/>
    <n v="0"/>
    <n v="0"/>
    <n v="0"/>
    <x v="0"/>
  </r>
  <r>
    <n v="1"/>
    <n v="0"/>
    <n v="0"/>
    <n v="1"/>
    <n v="0"/>
    <x v="1"/>
  </r>
  <r>
    <n v="0"/>
    <n v="1"/>
    <n v="0"/>
    <n v="0"/>
    <n v="0"/>
    <x v="0"/>
  </r>
  <r>
    <n v="1"/>
    <n v="0"/>
    <n v="1"/>
    <n v="0"/>
    <n v="0"/>
    <x v="1"/>
  </r>
  <r>
    <n v="1"/>
    <n v="0"/>
    <n v="0"/>
    <n v="0"/>
    <n v="0"/>
    <x v="0"/>
  </r>
  <r>
    <n v="1"/>
    <n v="0"/>
    <n v="1"/>
    <n v="0"/>
    <n v="1"/>
    <x v="1"/>
  </r>
  <r>
    <n v="0"/>
    <n v="1"/>
    <n v="0"/>
    <n v="0"/>
    <n v="0"/>
    <x v="0"/>
  </r>
  <r>
    <n v="1"/>
    <n v="0"/>
    <n v="0"/>
    <n v="0"/>
    <n v="0"/>
    <x v="1"/>
  </r>
  <r>
    <n v="0"/>
    <n v="1"/>
    <n v="0"/>
    <n v="0"/>
    <n v="0"/>
    <x v="0"/>
  </r>
  <r>
    <n v="1"/>
    <n v="1"/>
    <n v="1"/>
    <n v="0"/>
    <n v="0"/>
    <x v="0"/>
  </r>
  <r>
    <n v="1"/>
    <n v="1"/>
    <n v="0"/>
    <n v="0"/>
    <n v="0"/>
    <x v="0"/>
  </r>
  <r>
    <n v="1"/>
    <n v="1"/>
    <n v="0"/>
    <n v="0"/>
    <n v="0"/>
    <x v="0"/>
  </r>
  <r>
    <n v="1"/>
    <n v="1"/>
    <n v="1"/>
    <n v="0"/>
    <n v="0"/>
    <x v="0"/>
  </r>
  <r>
    <n v="1"/>
    <n v="0"/>
    <n v="1"/>
    <n v="0"/>
    <n v="0"/>
    <x v="1"/>
  </r>
  <r>
    <n v="0"/>
    <n v="1"/>
    <n v="0"/>
    <n v="0"/>
    <n v="0"/>
    <x v="0"/>
  </r>
  <r>
    <n v="1"/>
    <n v="0"/>
    <n v="0"/>
    <n v="1"/>
    <n v="0"/>
    <x v="1"/>
  </r>
  <r>
    <n v="1"/>
    <n v="0"/>
    <n v="1"/>
    <n v="0"/>
    <n v="0"/>
    <x v="1"/>
  </r>
  <r>
    <n v="1"/>
    <n v="0"/>
    <n v="0"/>
    <n v="0"/>
    <n v="0"/>
    <x v="0"/>
  </r>
  <r>
    <n v="1"/>
    <n v="0"/>
    <n v="0"/>
    <n v="1"/>
    <n v="0"/>
    <x v="1"/>
  </r>
  <r>
    <n v="0"/>
    <n v="1"/>
    <n v="0"/>
    <n v="0"/>
    <n v="0"/>
    <x v="0"/>
  </r>
  <r>
    <n v="1"/>
    <n v="0"/>
    <n v="1"/>
    <n v="0"/>
    <n v="0"/>
    <x v="1"/>
  </r>
  <r>
    <n v="1"/>
    <n v="0"/>
    <n v="0"/>
    <n v="0"/>
    <n v="0"/>
    <x v="1"/>
  </r>
  <r>
    <n v="1"/>
    <n v="0"/>
    <n v="0"/>
    <n v="0"/>
    <n v="0"/>
    <x v="1"/>
  </r>
  <r>
    <n v="0"/>
    <n v="1"/>
    <n v="1"/>
    <n v="0"/>
    <n v="0"/>
    <x v="0"/>
  </r>
  <r>
    <n v="1"/>
    <n v="0"/>
    <n v="0"/>
    <n v="1"/>
    <n v="0"/>
    <x v="1"/>
  </r>
  <r>
    <n v="0"/>
    <n v="1"/>
    <n v="0"/>
    <n v="0"/>
    <n v="0"/>
    <x v="0"/>
  </r>
  <r>
    <n v="1"/>
    <n v="0"/>
    <n v="0"/>
    <n v="1"/>
    <n v="0"/>
    <x v="1"/>
  </r>
  <r>
    <n v="0"/>
    <n v="1"/>
    <n v="0"/>
    <n v="0"/>
    <n v="0"/>
    <x v="0"/>
  </r>
  <r>
    <n v="1"/>
    <n v="0"/>
    <n v="1"/>
    <n v="0"/>
    <n v="0"/>
    <x v="1"/>
  </r>
  <r>
    <n v="0"/>
    <n v="1"/>
    <n v="0"/>
    <n v="0"/>
    <n v="0"/>
    <x v="0"/>
  </r>
  <r>
    <n v="1"/>
    <n v="0"/>
    <n v="1"/>
    <n v="1"/>
    <n v="0"/>
    <x v="1"/>
  </r>
  <r>
    <n v="0"/>
    <n v="0"/>
    <n v="1"/>
    <n v="0"/>
    <n v="0"/>
    <x v="0"/>
  </r>
  <r>
    <n v="1"/>
    <n v="0"/>
    <n v="0"/>
    <n v="1"/>
    <n v="0"/>
    <x v="1"/>
  </r>
  <r>
    <n v="0"/>
    <n v="1"/>
    <n v="0"/>
    <n v="0"/>
    <n v="0"/>
    <x v="0"/>
  </r>
  <r>
    <n v="1"/>
    <n v="0"/>
    <n v="1"/>
    <n v="1"/>
    <n v="0"/>
    <x v="1"/>
  </r>
  <r>
    <n v="0"/>
    <n v="1"/>
    <n v="0"/>
    <n v="0"/>
    <n v="0"/>
    <x v="0"/>
  </r>
  <r>
    <n v="1"/>
    <n v="0"/>
    <n v="1"/>
    <n v="0"/>
    <n v="0"/>
    <x v="1"/>
  </r>
  <r>
    <n v="1"/>
    <n v="0"/>
    <n v="0"/>
    <n v="0"/>
    <n v="0"/>
    <x v="0"/>
  </r>
  <r>
    <n v="1"/>
    <n v="0"/>
    <n v="1"/>
    <n v="0"/>
    <n v="1"/>
    <x v="1"/>
  </r>
  <r>
    <n v="0"/>
    <n v="1"/>
    <n v="1"/>
    <n v="0"/>
    <n v="0"/>
    <x v="0"/>
  </r>
  <r>
    <n v="1"/>
    <n v="0"/>
    <n v="0"/>
    <n v="0"/>
    <n v="0"/>
    <x v="1"/>
  </r>
  <r>
    <n v="0"/>
    <n v="1"/>
    <n v="0"/>
    <n v="0"/>
    <n v="0"/>
    <x v="0"/>
  </r>
  <r>
    <n v="1"/>
    <n v="0"/>
    <n v="0"/>
    <n v="1"/>
    <n v="0"/>
    <x v="1"/>
  </r>
  <r>
    <n v="1"/>
    <n v="0"/>
    <n v="0"/>
    <n v="0"/>
    <n v="0"/>
    <x v="1"/>
  </r>
  <r>
    <n v="0"/>
    <n v="1"/>
    <n v="0"/>
    <n v="0"/>
    <n v="0"/>
    <x v="0"/>
  </r>
  <r>
    <n v="1"/>
    <n v="0"/>
    <n v="0"/>
    <n v="1"/>
    <n v="0"/>
    <x v="1"/>
  </r>
  <r>
    <n v="0"/>
    <n v="1"/>
    <n v="1"/>
    <n v="0"/>
    <n v="0"/>
    <x v="0"/>
  </r>
  <r>
    <n v="1"/>
    <n v="0"/>
    <n v="0"/>
    <n v="0"/>
    <n v="0"/>
    <x v="1"/>
  </r>
  <r>
    <n v="1"/>
    <n v="0"/>
    <n v="1"/>
    <n v="1"/>
    <n v="0"/>
    <x v="1"/>
  </r>
  <r>
    <n v="0"/>
    <n v="1"/>
    <n v="0"/>
    <n v="0"/>
    <n v="0"/>
    <x v="0"/>
  </r>
  <r>
    <n v="1"/>
    <n v="0"/>
    <n v="0"/>
    <n v="0"/>
    <n v="0"/>
    <x v="1"/>
  </r>
  <r>
    <n v="0"/>
    <n v="1"/>
    <n v="0"/>
    <n v="0"/>
    <n v="0"/>
    <x v="0"/>
  </r>
  <r>
    <n v="0"/>
    <n v="1"/>
    <n v="0"/>
    <n v="0"/>
    <n v="0"/>
    <x v="0"/>
  </r>
  <r>
    <n v="1"/>
    <n v="0"/>
    <n v="0"/>
    <n v="1"/>
    <n v="0"/>
    <x v="1"/>
  </r>
  <r>
    <n v="1"/>
    <n v="0"/>
    <n v="0"/>
    <n v="0"/>
    <n v="0"/>
    <x v="0"/>
  </r>
  <r>
    <n v="1"/>
    <n v="1"/>
    <n v="0"/>
    <n v="0"/>
    <n v="0"/>
    <x v="1"/>
  </r>
  <r>
    <n v="0"/>
    <n v="1"/>
    <n v="0"/>
    <n v="0"/>
    <n v="0"/>
    <x v="0"/>
  </r>
  <r>
    <n v="1"/>
    <n v="0"/>
    <n v="0"/>
    <n v="0"/>
    <n v="0"/>
    <x v="0"/>
  </r>
  <r>
    <n v="0"/>
    <n v="0"/>
    <n v="1"/>
    <n v="0"/>
    <n v="0"/>
    <x v="0"/>
  </r>
  <r>
    <n v="0"/>
    <n v="1"/>
    <n v="0"/>
    <n v="0"/>
    <n v="0"/>
    <x v="0"/>
  </r>
  <r>
    <n v="1"/>
    <n v="1"/>
    <n v="0"/>
    <n v="0"/>
    <n v="0"/>
    <x v="0"/>
  </r>
  <r>
    <n v="1"/>
    <n v="0"/>
    <n v="0"/>
    <n v="0"/>
    <n v="0"/>
    <x v="0"/>
  </r>
  <r>
    <n v="1"/>
    <n v="1"/>
    <n v="0"/>
    <n v="0"/>
    <n v="0"/>
    <x v="1"/>
  </r>
  <r>
    <n v="0"/>
    <n v="1"/>
    <n v="0"/>
    <n v="0"/>
    <n v="0"/>
    <x v="0"/>
  </r>
  <r>
    <n v="1"/>
    <n v="1"/>
    <n v="1"/>
    <n v="0"/>
    <n v="0"/>
    <x v="0"/>
  </r>
  <r>
    <n v="1"/>
    <n v="0"/>
    <n v="0"/>
    <n v="0"/>
    <n v="0"/>
    <x v="0"/>
  </r>
  <r>
    <n v="1"/>
    <n v="1"/>
    <n v="1"/>
    <n v="0"/>
    <n v="0"/>
    <x v="1"/>
  </r>
  <r>
    <n v="0"/>
    <n v="1"/>
    <n v="0"/>
    <n v="0"/>
    <n v="0"/>
    <x v="1"/>
  </r>
  <r>
    <n v="1"/>
    <n v="0"/>
    <n v="0"/>
    <n v="0"/>
    <n v="0"/>
    <x v="0"/>
  </r>
  <r>
    <n v="1"/>
    <n v="1"/>
    <n v="0"/>
    <n v="0"/>
    <n v="0"/>
    <x v="0"/>
  </r>
  <r>
    <n v="1"/>
    <n v="1"/>
    <n v="0"/>
    <n v="0"/>
    <n v="0"/>
    <x v="1"/>
  </r>
  <r>
    <n v="1"/>
    <n v="1"/>
    <n v="0"/>
    <n v="0"/>
    <n v="0"/>
    <x v="0"/>
  </r>
  <r>
    <n v="1"/>
    <n v="0"/>
    <n v="0"/>
    <n v="0"/>
    <n v="0"/>
    <x v="0"/>
  </r>
  <r>
    <n v="1"/>
    <n v="1"/>
    <n v="0"/>
    <n v="0"/>
    <n v="0"/>
    <x v="0"/>
  </r>
  <r>
    <n v="1"/>
    <n v="0"/>
    <n v="0"/>
    <n v="0"/>
    <n v="0"/>
    <x v="0"/>
  </r>
  <r>
    <n v="1"/>
    <n v="0"/>
    <n v="0"/>
    <n v="0"/>
    <n v="0"/>
    <x v="0"/>
  </r>
  <r>
    <n v="1"/>
    <n v="0"/>
    <n v="0"/>
    <n v="0"/>
    <n v="0"/>
    <x v="0"/>
  </r>
  <r>
    <n v="1"/>
    <n v="1"/>
    <n v="0"/>
    <n v="0"/>
    <n v="0"/>
    <x v="0"/>
  </r>
  <r>
    <n v="1"/>
    <n v="0"/>
    <n v="0"/>
    <n v="0"/>
    <n v="0"/>
    <x v="0"/>
  </r>
  <r>
    <n v="1"/>
    <n v="0"/>
    <n v="0"/>
    <n v="0"/>
    <n v="0"/>
    <x v="1"/>
  </r>
  <r>
    <n v="0"/>
    <n v="0"/>
    <n v="1"/>
    <n v="0"/>
    <n v="0"/>
    <x v="0"/>
  </r>
  <r>
    <n v="1"/>
    <n v="0"/>
    <n v="0"/>
    <n v="0"/>
    <n v="0"/>
    <x v="0"/>
  </r>
  <r>
    <n v="1"/>
    <n v="0"/>
    <n v="1"/>
    <n v="0"/>
    <n v="0"/>
    <x v="1"/>
  </r>
  <r>
    <n v="0"/>
    <n v="1"/>
    <n v="0"/>
    <n v="0"/>
    <n v="0"/>
    <x v="0"/>
  </r>
  <r>
    <n v="1"/>
    <n v="0"/>
    <n v="0"/>
    <n v="0"/>
    <n v="0"/>
    <x v="1"/>
  </r>
  <r>
    <n v="1"/>
    <n v="0"/>
    <n v="1"/>
    <n v="0"/>
    <n v="1"/>
    <x v="0"/>
  </r>
  <r>
    <n v="1"/>
    <n v="0"/>
    <n v="1"/>
    <n v="0"/>
    <n v="0"/>
    <x v="1"/>
  </r>
  <r>
    <n v="0"/>
    <n v="1"/>
    <n v="0"/>
    <n v="0"/>
    <n v="0"/>
    <x v="0"/>
  </r>
  <r>
    <n v="1"/>
    <n v="0"/>
    <n v="1"/>
    <n v="1"/>
    <n v="0"/>
    <x v="1"/>
  </r>
  <r>
    <n v="1"/>
    <n v="0"/>
    <n v="0"/>
    <n v="0"/>
    <n v="0"/>
    <x v="0"/>
  </r>
  <r>
    <n v="1"/>
    <n v="0"/>
    <n v="0"/>
    <n v="1"/>
    <n v="0"/>
    <x v="1"/>
  </r>
  <r>
    <n v="0"/>
    <n v="1"/>
    <n v="0"/>
    <n v="0"/>
    <n v="0"/>
    <x v="0"/>
  </r>
  <r>
    <n v="1"/>
    <n v="0"/>
    <n v="1"/>
    <n v="1"/>
    <n v="0"/>
    <x v="1"/>
  </r>
  <r>
    <n v="0"/>
    <n v="0"/>
    <n v="1"/>
    <n v="0"/>
    <n v="0"/>
    <x v="0"/>
  </r>
  <r>
    <n v="1"/>
    <n v="0"/>
    <n v="0"/>
    <n v="1"/>
    <n v="0"/>
    <x v="1"/>
  </r>
  <r>
    <n v="0"/>
    <n v="1"/>
    <n v="0"/>
    <n v="0"/>
    <n v="0"/>
    <x v="0"/>
  </r>
  <r>
    <n v="1"/>
    <n v="0"/>
    <n v="0"/>
    <n v="0"/>
    <n v="0"/>
    <x v="1"/>
  </r>
  <r>
    <n v="0"/>
    <n v="1"/>
    <n v="0"/>
    <n v="0"/>
    <n v="0"/>
    <x v="0"/>
  </r>
  <r>
    <n v="1"/>
    <n v="0"/>
    <n v="0"/>
    <n v="1"/>
    <n v="0"/>
    <x v="1"/>
  </r>
  <r>
    <n v="0"/>
    <n v="0"/>
    <n v="1"/>
    <n v="0"/>
    <n v="0"/>
    <x v="0"/>
  </r>
  <r>
    <n v="1"/>
    <n v="0"/>
    <n v="1"/>
    <n v="1"/>
    <n v="0"/>
    <x v="1"/>
  </r>
  <r>
    <n v="0"/>
    <n v="1"/>
    <n v="0"/>
    <n v="0"/>
    <n v="0"/>
    <x v="0"/>
  </r>
  <r>
    <n v="1"/>
    <n v="0"/>
    <n v="1"/>
    <n v="0"/>
    <n v="0"/>
    <x v="1"/>
  </r>
  <r>
    <n v="1"/>
    <n v="0"/>
    <n v="0"/>
    <n v="0"/>
    <n v="0"/>
    <x v="0"/>
  </r>
  <r>
    <n v="1"/>
    <n v="0"/>
    <n v="0"/>
    <n v="1"/>
    <n v="0"/>
    <x v="1"/>
  </r>
  <r>
    <n v="0"/>
    <n v="0"/>
    <n v="1"/>
    <n v="0"/>
    <n v="0"/>
    <x v="1"/>
  </r>
  <r>
    <n v="1"/>
    <n v="0"/>
    <n v="0"/>
    <n v="0"/>
    <n v="0"/>
    <x v="1"/>
  </r>
  <r>
    <n v="0"/>
    <n v="1"/>
    <n v="0"/>
    <n v="0"/>
    <n v="0"/>
    <x v="0"/>
  </r>
  <r>
    <n v="1"/>
    <n v="0"/>
    <n v="1"/>
    <n v="0"/>
    <n v="0"/>
    <x v="1"/>
  </r>
  <r>
    <n v="1"/>
    <n v="0"/>
    <n v="0"/>
    <n v="0"/>
    <n v="0"/>
    <x v="0"/>
  </r>
  <r>
    <n v="1"/>
    <n v="0"/>
    <n v="0"/>
    <n v="1"/>
    <n v="0"/>
    <x v="1"/>
  </r>
  <r>
    <n v="0"/>
    <n v="0"/>
    <n v="1"/>
    <n v="0"/>
    <n v="0"/>
    <x v="1"/>
  </r>
  <r>
    <n v="0"/>
    <n v="1"/>
    <n v="0"/>
    <n v="0"/>
    <n v="0"/>
    <x v="0"/>
  </r>
  <r>
    <n v="1"/>
    <n v="0"/>
    <n v="0"/>
    <n v="0"/>
    <n v="1"/>
    <x v="1"/>
  </r>
  <r>
    <n v="1"/>
    <n v="0"/>
    <n v="1"/>
    <n v="1"/>
    <n v="0"/>
    <x v="1"/>
  </r>
  <r>
    <n v="0"/>
    <n v="0"/>
    <n v="1"/>
    <n v="0"/>
    <n v="0"/>
    <x v="0"/>
  </r>
  <r>
    <n v="1"/>
    <n v="0"/>
    <n v="0"/>
    <n v="0"/>
    <n v="0"/>
    <x v="1"/>
  </r>
  <r>
    <n v="0"/>
    <n v="1"/>
    <n v="0"/>
    <n v="0"/>
    <n v="0"/>
    <x v="0"/>
  </r>
  <r>
    <n v="1"/>
    <n v="0"/>
    <n v="0"/>
    <n v="1"/>
    <n v="0"/>
    <x v="1"/>
  </r>
  <r>
    <n v="0"/>
    <n v="0"/>
    <n v="1"/>
    <n v="0"/>
    <n v="0"/>
    <x v="1"/>
  </r>
  <r>
    <n v="1"/>
    <n v="0"/>
    <n v="0"/>
    <n v="0"/>
    <n v="0"/>
    <x v="0"/>
  </r>
  <r>
    <n v="1"/>
    <n v="0"/>
    <n v="1"/>
    <n v="0"/>
    <n v="0"/>
    <x v="1"/>
  </r>
  <r>
    <n v="0"/>
    <n v="1"/>
    <n v="0"/>
    <n v="0"/>
    <n v="0"/>
    <x v="0"/>
  </r>
  <r>
    <n v="1"/>
    <n v="0"/>
    <n v="1"/>
    <n v="1"/>
    <n v="0"/>
    <x v="1"/>
  </r>
  <r>
    <n v="1"/>
    <n v="0"/>
    <n v="0"/>
    <n v="0"/>
    <n v="0"/>
    <x v="0"/>
  </r>
  <r>
    <n v="1"/>
    <n v="0"/>
    <n v="0"/>
    <n v="1"/>
    <n v="0"/>
    <x v="1"/>
  </r>
  <r>
    <n v="1"/>
    <n v="0"/>
    <n v="0"/>
    <n v="0"/>
    <n v="0"/>
    <x v="1"/>
  </r>
  <r>
    <n v="0"/>
    <n v="1"/>
    <n v="0"/>
    <n v="0"/>
    <n v="0"/>
    <x v="0"/>
  </r>
  <r>
    <n v="1"/>
    <n v="0"/>
    <n v="1"/>
    <n v="1"/>
    <n v="0"/>
    <x v="1"/>
  </r>
  <r>
    <n v="0"/>
    <n v="0"/>
    <n v="1"/>
    <n v="0"/>
    <n v="0"/>
    <x v="0"/>
  </r>
  <r>
    <n v="1"/>
    <n v="0"/>
    <n v="0"/>
    <n v="0"/>
    <n v="0"/>
    <x v="1"/>
  </r>
  <r>
    <n v="1"/>
    <n v="0"/>
    <n v="0"/>
    <n v="0"/>
    <n v="0"/>
    <x v="0"/>
  </r>
  <r>
    <n v="1"/>
    <n v="0"/>
    <n v="0"/>
    <n v="1"/>
    <n v="0"/>
    <x v="1"/>
  </r>
  <r>
    <n v="0"/>
    <n v="1"/>
    <n v="0"/>
    <n v="0"/>
    <n v="0"/>
    <x v="0"/>
  </r>
  <r>
    <n v="1"/>
    <n v="0"/>
    <n v="1"/>
    <n v="1"/>
    <n v="0"/>
    <x v="1"/>
  </r>
  <r>
    <n v="0"/>
    <n v="0"/>
    <n v="1"/>
    <n v="0"/>
    <n v="0"/>
    <x v="0"/>
  </r>
  <r>
    <n v="1"/>
    <n v="1"/>
    <n v="0"/>
    <n v="0"/>
    <n v="0"/>
    <x v="1"/>
  </r>
  <r>
    <n v="0"/>
    <n v="1"/>
    <n v="0"/>
    <n v="0"/>
    <n v="0"/>
    <x v="0"/>
  </r>
  <r>
    <n v="1"/>
    <n v="0"/>
    <n v="1"/>
    <n v="0"/>
    <n v="0"/>
    <x v="1"/>
  </r>
  <r>
    <n v="1"/>
    <n v="0"/>
    <n v="0"/>
    <n v="1"/>
    <n v="0"/>
    <x v="1"/>
  </r>
  <r>
    <n v="0"/>
    <n v="0"/>
    <n v="1"/>
    <n v="0"/>
    <n v="0"/>
    <x v="0"/>
  </r>
  <r>
    <n v="1"/>
    <n v="0"/>
    <n v="0"/>
    <n v="0"/>
    <n v="0"/>
    <x v="1"/>
  </r>
  <r>
    <n v="0"/>
    <n v="1"/>
    <n v="0"/>
    <n v="0"/>
    <n v="0"/>
    <x v="0"/>
  </r>
  <r>
    <n v="1"/>
    <n v="0"/>
    <n v="1"/>
    <n v="1"/>
    <n v="0"/>
    <x v="1"/>
  </r>
  <r>
    <n v="1"/>
    <n v="0"/>
    <n v="0"/>
    <n v="0"/>
    <n v="0"/>
    <x v="0"/>
  </r>
  <r>
    <n v="1"/>
    <n v="0"/>
    <n v="0"/>
    <n v="0"/>
    <n v="0"/>
    <x v="1"/>
  </r>
  <r>
    <n v="1"/>
    <n v="0"/>
    <n v="0"/>
    <n v="0"/>
    <n v="0"/>
    <x v="1"/>
  </r>
  <r>
    <n v="0"/>
    <n v="1"/>
    <n v="0"/>
    <n v="0"/>
    <n v="0"/>
    <x v="0"/>
  </r>
  <r>
    <n v="1"/>
    <n v="0"/>
    <n v="0"/>
    <n v="1"/>
    <n v="0"/>
    <x v="1"/>
  </r>
  <r>
    <n v="1"/>
    <n v="0"/>
    <n v="0"/>
    <n v="0"/>
    <n v="0"/>
    <x v="0"/>
  </r>
  <r>
    <n v="0"/>
    <n v="0"/>
    <n v="1"/>
    <n v="0"/>
    <n v="0"/>
    <x v="1"/>
  </r>
  <r>
    <n v="1"/>
    <n v="0"/>
    <n v="1"/>
    <n v="0"/>
    <n v="0"/>
    <x v="1"/>
  </r>
  <r>
    <n v="0"/>
    <n v="1"/>
    <n v="0"/>
    <n v="0"/>
    <n v="0"/>
    <x v="0"/>
  </r>
  <r>
    <n v="1"/>
    <n v="0"/>
    <n v="0"/>
    <n v="1"/>
    <n v="0"/>
    <x v="1"/>
  </r>
  <r>
    <n v="1"/>
    <n v="0"/>
    <n v="0"/>
    <n v="0"/>
    <n v="0"/>
    <x v="0"/>
  </r>
  <r>
    <n v="1"/>
    <n v="0"/>
    <n v="1"/>
    <n v="0"/>
    <n v="0"/>
    <x v="1"/>
  </r>
  <r>
    <n v="1"/>
    <n v="0"/>
    <n v="0"/>
    <n v="0"/>
    <n v="0"/>
    <x v="1"/>
  </r>
  <r>
    <n v="0"/>
    <n v="1"/>
    <n v="0"/>
    <n v="0"/>
    <n v="0"/>
    <x v="0"/>
  </r>
  <r>
    <n v="1"/>
    <n v="0"/>
    <n v="0"/>
    <n v="1"/>
    <n v="0"/>
    <x v="1"/>
  </r>
  <r>
    <n v="0"/>
    <n v="0"/>
    <n v="1"/>
    <n v="0"/>
    <n v="0"/>
    <x v="0"/>
  </r>
  <r>
    <n v="1"/>
    <n v="0"/>
    <n v="1"/>
    <n v="0"/>
    <n v="0"/>
    <x v="1"/>
  </r>
  <r>
    <n v="1"/>
    <n v="0"/>
    <n v="0"/>
    <n v="0"/>
    <n v="0"/>
    <x v="0"/>
  </r>
  <r>
    <n v="1"/>
    <n v="0"/>
    <n v="0"/>
    <n v="1"/>
    <n v="0"/>
    <x v="1"/>
  </r>
  <r>
    <n v="0"/>
    <n v="0"/>
    <n v="1"/>
    <n v="0"/>
    <n v="0"/>
    <x v="1"/>
  </r>
  <r>
    <n v="0"/>
    <n v="1"/>
    <n v="0"/>
    <n v="0"/>
    <n v="0"/>
    <x v="0"/>
  </r>
  <r>
    <n v="1"/>
    <n v="0"/>
    <n v="1"/>
    <n v="0"/>
    <n v="0"/>
    <x v="1"/>
  </r>
  <r>
    <n v="1"/>
    <n v="0"/>
    <n v="0"/>
    <n v="0"/>
    <n v="0"/>
    <x v="1"/>
  </r>
  <r>
    <n v="0"/>
    <n v="1"/>
    <n v="0"/>
    <n v="0"/>
    <n v="0"/>
    <x v="0"/>
  </r>
  <r>
    <n v="1"/>
    <n v="0"/>
    <n v="0"/>
    <n v="1"/>
    <n v="0"/>
    <x v="1"/>
  </r>
  <r>
    <n v="0"/>
    <n v="0"/>
    <n v="1"/>
    <n v="0"/>
    <n v="0"/>
    <x v="0"/>
  </r>
  <r>
    <n v="1"/>
    <n v="0"/>
    <n v="1"/>
    <n v="0"/>
    <n v="0"/>
    <x v="1"/>
  </r>
  <r>
    <n v="0"/>
    <n v="1"/>
    <n v="0"/>
    <n v="0"/>
    <n v="0"/>
    <x v="0"/>
  </r>
  <r>
    <n v="1"/>
    <n v="0"/>
    <n v="0"/>
    <n v="1"/>
    <n v="0"/>
    <x v="1"/>
  </r>
  <r>
    <n v="0"/>
    <n v="0"/>
    <n v="1"/>
    <n v="0"/>
    <n v="0"/>
    <x v="1"/>
  </r>
  <r>
    <n v="0"/>
    <n v="1"/>
    <n v="0"/>
    <n v="0"/>
    <n v="0"/>
    <x v="0"/>
  </r>
  <r>
    <n v="1"/>
    <n v="0"/>
    <n v="1"/>
    <n v="0"/>
    <n v="0"/>
    <x v="1"/>
  </r>
  <r>
    <n v="1"/>
    <n v="0"/>
    <n v="0"/>
    <n v="0"/>
    <n v="0"/>
    <x v="1"/>
  </r>
  <r>
    <n v="1"/>
    <n v="0"/>
    <n v="1"/>
    <n v="0"/>
    <n v="0"/>
    <x v="1"/>
  </r>
  <r>
    <n v="1"/>
    <n v="0"/>
    <n v="0"/>
    <n v="1"/>
    <n v="0"/>
    <x v="1"/>
  </r>
  <r>
    <n v="0"/>
    <n v="1"/>
    <n v="0"/>
    <n v="0"/>
    <n v="0"/>
    <x v="0"/>
  </r>
  <r>
    <n v="1"/>
    <n v="0"/>
    <n v="0"/>
    <n v="0"/>
    <n v="0"/>
    <x v="1"/>
  </r>
  <r>
    <n v="0"/>
    <n v="1"/>
    <n v="0"/>
    <n v="0"/>
    <n v="0"/>
    <x v="0"/>
  </r>
  <r>
    <n v="1"/>
    <n v="0"/>
    <n v="0"/>
    <n v="1"/>
    <n v="0"/>
    <x v="1"/>
  </r>
  <r>
    <n v="0"/>
    <n v="0"/>
    <n v="1"/>
    <n v="0"/>
    <n v="0"/>
    <x v="1"/>
  </r>
  <r>
    <n v="1"/>
    <n v="0"/>
    <n v="0"/>
    <n v="0"/>
    <n v="0"/>
    <x v="0"/>
  </r>
  <r>
    <n v="1"/>
    <n v="0"/>
    <n v="1"/>
    <n v="0"/>
    <n v="0"/>
    <x v="1"/>
  </r>
  <r>
    <n v="1"/>
    <n v="0"/>
    <n v="0"/>
    <n v="0"/>
    <n v="0"/>
    <x v="1"/>
  </r>
  <r>
    <n v="1"/>
    <n v="0"/>
    <n v="0"/>
    <n v="0"/>
    <n v="0"/>
    <x v="0"/>
  </r>
  <r>
    <n v="1"/>
    <n v="0"/>
    <n v="0"/>
    <n v="0"/>
    <n v="0"/>
    <x v="0"/>
  </r>
  <r>
    <n v="1"/>
    <n v="0"/>
    <n v="0"/>
    <n v="1"/>
    <n v="0"/>
    <x v="1"/>
  </r>
  <r>
    <n v="0"/>
    <n v="1"/>
    <n v="0"/>
    <n v="0"/>
    <n v="0"/>
    <x v="0"/>
  </r>
  <r>
    <n v="1"/>
    <n v="0"/>
    <n v="1"/>
    <n v="0"/>
    <n v="0"/>
    <x v="1"/>
  </r>
  <r>
    <n v="1"/>
    <n v="0"/>
    <n v="0"/>
    <n v="0"/>
    <n v="0"/>
    <x v="0"/>
  </r>
  <r>
    <n v="0"/>
    <n v="0"/>
    <n v="1"/>
    <n v="0"/>
    <n v="0"/>
    <x v="1"/>
  </r>
  <r>
    <n v="1"/>
    <n v="0"/>
    <n v="0"/>
    <n v="0"/>
    <n v="0"/>
    <x v="0"/>
  </r>
  <r>
    <n v="0"/>
    <n v="0"/>
    <n v="1"/>
    <n v="0"/>
    <n v="0"/>
    <x v="1"/>
  </r>
  <r>
    <n v="0"/>
    <n v="1"/>
    <n v="0"/>
    <n v="0"/>
    <n v="0"/>
    <x v="0"/>
  </r>
  <r>
    <n v="1"/>
    <n v="0"/>
    <n v="1"/>
    <n v="0"/>
    <n v="0"/>
    <x v="1"/>
  </r>
  <r>
    <n v="0"/>
    <n v="1"/>
    <n v="0"/>
    <n v="0"/>
    <n v="0"/>
    <x v="0"/>
  </r>
  <r>
    <n v="1"/>
    <n v="0"/>
    <n v="0"/>
    <n v="1"/>
    <n v="0"/>
    <x v="0"/>
  </r>
  <r>
    <n v="1"/>
    <n v="0"/>
    <n v="0"/>
    <n v="0"/>
    <n v="0"/>
    <x v="0"/>
  </r>
  <r>
    <n v="0"/>
    <n v="0"/>
    <n v="1"/>
    <n v="0"/>
    <n v="0"/>
    <x v="1"/>
  </r>
  <r>
    <n v="1"/>
    <n v="0"/>
    <n v="0"/>
    <n v="0"/>
    <n v="0"/>
    <x v="0"/>
  </r>
  <r>
    <n v="1"/>
    <n v="0"/>
    <n v="0"/>
    <n v="1"/>
    <n v="0"/>
    <x v="1"/>
  </r>
  <r>
    <n v="1"/>
    <n v="0"/>
    <n v="0"/>
    <n v="0"/>
    <n v="0"/>
    <x v="1"/>
  </r>
  <r>
    <n v="0"/>
    <n v="1"/>
    <n v="0"/>
    <n v="0"/>
    <n v="0"/>
    <x v="0"/>
  </r>
  <r>
    <n v="1"/>
    <n v="0"/>
    <n v="1"/>
    <n v="0"/>
    <n v="0"/>
    <x v="1"/>
  </r>
  <r>
    <n v="1"/>
    <n v="0"/>
    <n v="0"/>
    <n v="0"/>
    <n v="0"/>
    <x v="1"/>
  </r>
  <r>
    <n v="0"/>
    <n v="1"/>
    <n v="0"/>
    <n v="0"/>
    <n v="0"/>
    <x v="0"/>
  </r>
  <r>
    <n v="0"/>
    <n v="0"/>
    <n v="0"/>
    <n v="1"/>
    <n v="0"/>
    <x v="1"/>
  </r>
  <r>
    <n v="1"/>
    <n v="0"/>
    <n v="1"/>
    <n v="0"/>
    <n v="0"/>
    <x v="1"/>
  </r>
  <r>
    <n v="0"/>
    <n v="1"/>
    <n v="0"/>
    <n v="0"/>
    <n v="0"/>
    <x v="0"/>
  </r>
  <r>
    <n v="1"/>
    <n v="0"/>
    <n v="0"/>
    <n v="0"/>
    <n v="0"/>
    <x v="1"/>
  </r>
  <r>
    <n v="1"/>
    <n v="0"/>
    <n v="1"/>
    <n v="0"/>
    <n v="0"/>
    <x v="1"/>
  </r>
  <r>
    <n v="0"/>
    <n v="1"/>
    <n v="0"/>
    <n v="0"/>
    <n v="0"/>
    <x v="0"/>
  </r>
  <r>
    <n v="0"/>
    <n v="0"/>
    <n v="0"/>
    <n v="1"/>
    <n v="0"/>
    <x v="1"/>
  </r>
  <r>
    <n v="1"/>
    <n v="0"/>
    <n v="0"/>
    <n v="0"/>
    <n v="1"/>
    <x v="1"/>
  </r>
  <r>
    <n v="1"/>
    <n v="0"/>
    <n v="0"/>
    <n v="0"/>
    <n v="0"/>
    <x v="1"/>
  </r>
  <r>
    <n v="0"/>
    <n v="1"/>
    <n v="0"/>
    <n v="0"/>
    <n v="0"/>
    <x v="0"/>
  </r>
  <r>
    <n v="1"/>
    <n v="0"/>
    <n v="1"/>
    <n v="0"/>
    <n v="0"/>
    <x v="1"/>
  </r>
  <r>
    <n v="1"/>
    <n v="0"/>
    <n v="0"/>
    <n v="0"/>
    <n v="0"/>
    <x v="0"/>
  </r>
  <r>
    <n v="1"/>
    <n v="0"/>
    <n v="0"/>
    <n v="1"/>
    <n v="0"/>
    <x v="1"/>
  </r>
  <r>
    <n v="0"/>
    <n v="0"/>
    <n v="1"/>
    <n v="0"/>
    <n v="0"/>
    <x v="1"/>
  </r>
  <r>
    <n v="0"/>
    <n v="1"/>
    <n v="0"/>
    <n v="0"/>
    <n v="0"/>
    <x v="0"/>
  </r>
  <r>
    <n v="1"/>
    <n v="0"/>
    <n v="1"/>
    <n v="0"/>
    <n v="0"/>
    <x v="1"/>
  </r>
  <r>
    <n v="1"/>
    <n v="0"/>
    <n v="0"/>
    <n v="0"/>
    <n v="0"/>
    <x v="0"/>
  </r>
  <r>
    <n v="1"/>
    <n v="0"/>
    <n v="0"/>
    <n v="0"/>
    <n v="0"/>
    <x v="1"/>
  </r>
  <r>
    <n v="0"/>
    <n v="1"/>
    <n v="0"/>
    <n v="0"/>
    <n v="0"/>
    <x v="0"/>
  </r>
  <r>
    <n v="1"/>
    <n v="0"/>
    <n v="1"/>
    <n v="0"/>
    <n v="0"/>
    <x v="1"/>
  </r>
  <r>
    <n v="1"/>
    <n v="0"/>
    <n v="0"/>
    <n v="0"/>
    <n v="0"/>
    <x v="1"/>
  </r>
  <r>
    <n v="1"/>
    <n v="0"/>
    <n v="0"/>
    <n v="0"/>
    <n v="0"/>
    <x v="0"/>
  </r>
  <r>
    <n v="1"/>
    <n v="0"/>
    <n v="0"/>
    <n v="1"/>
    <n v="0"/>
    <x v="1"/>
  </r>
  <r>
    <n v="1"/>
    <n v="0"/>
    <n v="0"/>
    <n v="0"/>
    <n v="0"/>
    <x v="1"/>
  </r>
  <r>
    <n v="0"/>
    <n v="1"/>
    <n v="0"/>
    <n v="0"/>
    <n v="0"/>
    <x v="0"/>
  </r>
  <r>
    <n v="1"/>
    <n v="0"/>
    <n v="1"/>
    <n v="0"/>
    <n v="0"/>
    <x v="1"/>
  </r>
  <r>
    <n v="0"/>
    <n v="0"/>
    <n v="1"/>
    <n v="0"/>
    <n v="0"/>
    <x v="1"/>
  </r>
  <r>
    <n v="0"/>
    <n v="1"/>
    <n v="0"/>
    <n v="0"/>
    <n v="0"/>
    <x v="0"/>
  </r>
  <r>
    <n v="1"/>
    <n v="0"/>
    <n v="0"/>
    <n v="0"/>
    <n v="0"/>
    <x v="0"/>
  </r>
  <r>
    <n v="1"/>
    <n v="0"/>
    <n v="0"/>
    <n v="0"/>
    <n v="0"/>
    <x v="1"/>
  </r>
  <r>
    <n v="1"/>
    <n v="0"/>
    <n v="0"/>
    <n v="0"/>
    <n v="0"/>
    <x v="1"/>
  </r>
  <r>
    <n v="0"/>
    <n v="0"/>
    <n v="1"/>
    <n v="0"/>
    <n v="0"/>
    <x v="1"/>
  </r>
  <r>
    <n v="0"/>
    <n v="1"/>
    <n v="0"/>
    <n v="0"/>
    <n v="0"/>
    <x v="0"/>
  </r>
  <r>
    <n v="1"/>
    <n v="0"/>
    <n v="0"/>
    <n v="0"/>
    <n v="0"/>
    <x v="1"/>
  </r>
  <r>
    <n v="1"/>
    <n v="0"/>
    <n v="0"/>
    <n v="0"/>
    <n v="0"/>
    <x v="1"/>
  </r>
  <r>
    <n v="1"/>
    <n v="0"/>
    <n v="0"/>
    <n v="0"/>
    <n v="0"/>
    <x v="1"/>
  </r>
  <r>
    <n v="0"/>
    <n v="0"/>
    <n v="1"/>
    <n v="0"/>
    <n v="0"/>
    <x v="1"/>
  </r>
  <r>
    <n v="0"/>
    <n v="1"/>
    <n v="0"/>
    <n v="0"/>
    <n v="0"/>
    <x v="0"/>
  </r>
  <r>
    <n v="1"/>
    <n v="0"/>
    <n v="0"/>
    <n v="1"/>
    <n v="0"/>
    <x v="1"/>
  </r>
  <r>
    <n v="1"/>
    <n v="0"/>
    <n v="0"/>
    <n v="0"/>
    <n v="0"/>
    <x v="0"/>
  </r>
  <r>
    <n v="0"/>
    <n v="0"/>
    <n v="0"/>
    <n v="1"/>
    <n v="0"/>
    <x v="1"/>
  </r>
  <r>
    <n v="0"/>
    <n v="0"/>
    <n v="0"/>
    <n v="1"/>
    <n v="0"/>
    <x v="1"/>
  </r>
  <r>
    <n v="1"/>
    <n v="0"/>
    <n v="1"/>
    <n v="0"/>
    <n v="0"/>
    <x v="1"/>
  </r>
  <r>
    <n v="0"/>
    <n v="1"/>
    <n v="0"/>
    <n v="0"/>
    <n v="0"/>
    <x v="1"/>
  </r>
  <r>
    <n v="1"/>
    <n v="0"/>
    <n v="1"/>
    <n v="0"/>
    <n v="0"/>
    <x v="1"/>
  </r>
  <r>
    <n v="1"/>
    <n v="0"/>
    <n v="0"/>
    <n v="0"/>
    <n v="0"/>
    <x v="0"/>
  </r>
  <r>
    <n v="1"/>
    <n v="0"/>
    <n v="0"/>
    <n v="0"/>
    <n v="0"/>
    <x v="1"/>
  </r>
  <r>
    <n v="1"/>
    <n v="1"/>
    <n v="0"/>
    <n v="0"/>
    <n v="0"/>
    <x v="1"/>
  </r>
  <r>
    <n v="0"/>
    <n v="1"/>
    <n v="0"/>
    <n v="0"/>
    <n v="0"/>
    <x v="0"/>
  </r>
  <r>
    <n v="1"/>
    <n v="0"/>
    <n v="0"/>
    <n v="0"/>
    <n v="0"/>
    <x v="1"/>
  </r>
  <r>
    <n v="0"/>
    <n v="1"/>
    <n v="0"/>
    <n v="0"/>
    <n v="0"/>
    <x v="0"/>
  </r>
  <r>
    <n v="1"/>
    <n v="1"/>
    <n v="1"/>
    <n v="0"/>
    <n v="0"/>
    <x v="1"/>
  </r>
  <r>
    <n v="1"/>
    <n v="0"/>
    <n v="0"/>
    <n v="0"/>
    <n v="0"/>
    <x v="0"/>
  </r>
  <r>
    <n v="0"/>
    <n v="1"/>
    <n v="0"/>
    <n v="0"/>
    <n v="0"/>
    <x v="0"/>
  </r>
  <r>
    <n v="1"/>
    <n v="0"/>
    <n v="0"/>
    <n v="0"/>
    <n v="0"/>
    <x v="1"/>
  </r>
  <r>
    <n v="1"/>
    <n v="0"/>
    <n v="0"/>
    <n v="0"/>
    <n v="0"/>
    <x v="1"/>
  </r>
  <r>
    <n v="1"/>
    <n v="0"/>
    <n v="0"/>
    <n v="0"/>
    <n v="0"/>
    <x v="0"/>
  </r>
  <r>
    <n v="1"/>
    <n v="0"/>
    <n v="1"/>
    <n v="0"/>
    <n v="0"/>
    <x v="1"/>
  </r>
  <r>
    <n v="0"/>
    <n v="1"/>
    <n v="0"/>
    <n v="0"/>
    <n v="0"/>
    <x v="0"/>
  </r>
  <r>
    <n v="0"/>
    <n v="0"/>
    <n v="0"/>
    <n v="1"/>
    <n v="0"/>
    <x v="1"/>
  </r>
  <r>
    <n v="1"/>
    <n v="0"/>
    <n v="0"/>
    <n v="0"/>
    <n v="0"/>
    <x v="0"/>
  </r>
  <r>
    <n v="1"/>
    <n v="0"/>
    <n v="0"/>
    <n v="1"/>
    <n v="0"/>
    <x v="1"/>
  </r>
  <r>
    <n v="0"/>
    <n v="1"/>
    <n v="0"/>
    <n v="0"/>
    <n v="0"/>
    <x v="0"/>
  </r>
  <r>
    <n v="1"/>
    <n v="0"/>
    <n v="0"/>
    <n v="0"/>
    <n v="0"/>
    <x v="1"/>
  </r>
  <r>
    <n v="1"/>
    <n v="0"/>
    <n v="0"/>
    <n v="0"/>
    <n v="0"/>
    <x v="0"/>
  </r>
  <r>
    <n v="1"/>
    <n v="0"/>
    <n v="0"/>
    <n v="0"/>
    <n v="0"/>
    <x v="1"/>
  </r>
  <r>
    <n v="0"/>
    <n v="1"/>
    <n v="0"/>
    <n v="0"/>
    <n v="0"/>
    <x v="0"/>
  </r>
  <r>
    <n v="1"/>
    <n v="0"/>
    <n v="1"/>
    <n v="0"/>
    <n v="0"/>
    <x v="1"/>
  </r>
  <r>
    <n v="0"/>
    <n v="1"/>
    <n v="0"/>
    <n v="0"/>
    <n v="0"/>
    <x v="0"/>
  </r>
  <r>
    <n v="1"/>
    <n v="0"/>
    <n v="0"/>
    <n v="0"/>
    <n v="0"/>
    <x v="1"/>
  </r>
  <r>
    <n v="1"/>
    <n v="0"/>
    <n v="0"/>
    <n v="1"/>
    <n v="0"/>
    <x v="1"/>
  </r>
  <r>
    <n v="0"/>
    <n v="1"/>
    <n v="0"/>
    <n v="0"/>
    <n v="0"/>
    <x v="0"/>
  </r>
  <r>
    <n v="1"/>
    <n v="1"/>
    <n v="1"/>
    <n v="0"/>
    <n v="0"/>
    <x v="1"/>
  </r>
  <r>
    <n v="1"/>
    <n v="0"/>
    <n v="0"/>
    <n v="0"/>
    <n v="0"/>
    <x v="0"/>
  </r>
  <r>
    <n v="0"/>
    <n v="0"/>
    <n v="1"/>
    <n v="0"/>
    <n v="0"/>
    <x v="1"/>
  </r>
  <r>
    <n v="1"/>
    <n v="0"/>
    <n v="0"/>
    <n v="0"/>
    <n v="0"/>
    <x v="0"/>
  </r>
  <r>
    <n v="1"/>
    <n v="0"/>
    <n v="0"/>
    <n v="0"/>
    <n v="0"/>
    <x v="1"/>
  </r>
  <r>
    <n v="1"/>
    <n v="0"/>
    <n v="0"/>
    <n v="1"/>
    <n v="0"/>
    <x v="1"/>
  </r>
  <r>
    <n v="0"/>
    <n v="1"/>
    <n v="0"/>
    <n v="0"/>
    <n v="0"/>
    <x v="0"/>
  </r>
  <r>
    <n v="1"/>
    <n v="0"/>
    <n v="1"/>
    <n v="0"/>
    <n v="0"/>
    <x v="1"/>
  </r>
  <r>
    <n v="0"/>
    <n v="0"/>
    <n v="0"/>
    <n v="1"/>
    <n v="0"/>
    <x v="1"/>
  </r>
  <r>
    <n v="1"/>
    <n v="0"/>
    <n v="0"/>
    <n v="0"/>
    <n v="0"/>
    <x v="1"/>
  </r>
  <r>
    <n v="0"/>
    <n v="1"/>
    <n v="0"/>
    <n v="0"/>
    <n v="0"/>
    <x v="0"/>
  </r>
  <r>
    <n v="1"/>
    <n v="0"/>
    <n v="0"/>
    <n v="0"/>
    <n v="0"/>
    <x v="1"/>
  </r>
  <r>
    <n v="1"/>
    <n v="0"/>
    <n v="1"/>
    <n v="0"/>
    <n v="0"/>
    <x v="1"/>
  </r>
  <r>
    <n v="0"/>
    <n v="1"/>
    <n v="0"/>
    <n v="0"/>
    <n v="0"/>
    <x v="0"/>
  </r>
  <r>
    <n v="1"/>
    <n v="0"/>
    <n v="0"/>
    <n v="0"/>
    <n v="0"/>
    <x v="1"/>
  </r>
  <r>
    <n v="1"/>
    <n v="0"/>
    <n v="0"/>
    <n v="0"/>
    <n v="0"/>
    <x v="0"/>
  </r>
  <r>
    <n v="0"/>
    <n v="0"/>
    <n v="1"/>
    <n v="0"/>
    <n v="0"/>
    <x v="1"/>
  </r>
  <r>
    <n v="1"/>
    <n v="0"/>
    <n v="0"/>
    <n v="0"/>
    <n v="0"/>
    <x v="1"/>
  </r>
  <r>
    <n v="1"/>
    <n v="0"/>
    <n v="0"/>
    <n v="0"/>
    <n v="0"/>
    <x v="1"/>
  </r>
  <r>
    <n v="1"/>
    <n v="0"/>
    <n v="0"/>
    <n v="0"/>
    <n v="0"/>
    <x v="1"/>
  </r>
  <r>
    <n v="0"/>
    <n v="1"/>
    <n v="0"/>
    <n v="0"/>
    <n v="0"/>
    <x v="1"/>
  </r>
  <r>
    <n v="1"/>
    <n v="0"/>
    <n v="0"/>
    <n v="0"/>
    <n v="0"/>
    <x v="1"/>
  </r>
  <r>
    <n v="1"/>
    <n v="0"/>
    <n v="1"/>
    <n v="0"/>
    <n v="0"/>
    <x v="1"/>
  </r>
  <r>
    <n v="0"/>
    <n v="1"/>
    <n v="0"/>
    <n v="0"/>
    <n v="0"/>
    <x v="0"/>
  </r>
  <r>
    <n v="1"/>
    <n v="0"/>
    <n v="0"/>
    <n v="0"/>
    <n v="0"/>
    <x v="1"/>
  </r>
  <r>
    <n v="1"/>
    <n v="0"/>
    <n v="0"/>
    <n v="0"/>
    <n v="0"/>
    <x v="0"/>
  </r>
  <r>
    <n v="0"/>
    <n v="0"/>
    <n v="1"/>
    <n v="0"/>
    <n v="0"/>
    <x v="1"/>
  </r>
  <r>
    <n v="1"/>
    <n v="0"/>
    <n v="0"/>
    <n v="0"/>
    <n v="0"/>
    <x v="0"/>
  </r>
  <r>
    <n v="1"/>
    <n v="1"/>
    <n v="0"/>
    <n v="0"/>
    <n v="0"/>
    <x v="1"/>
  </r>
  <r>
    <n v="1"/>
    <n v="0"/>
    <n v="0"/>
    <n v="0"/>
    <n v="0"/>
    <x v="1"/>
  </r>
  <r>
    <n v="0"/>
    <n v="1"/>
    <n v="0"/>
    <n v="0"/>
    <n v="0"/>
    <x v="0"/>
  </r>
  <r>
    <n v="0"/>
    <n v="0"/>
    <n v="0"/>
    <n v="1"/>
    <n v="0"/>
    <x v="1"/>
  </r>
  <r>
    <n v="1"/>
    <n v="0"/>
    <n v="0"/>
    <n v="0"/>
    <n v="0"/>
    <x v="0"/>
  </r>
  <r>
    <n v="1"/>
    <n v="0"/>
    <n v="1"/>
    <n v="0"/>
    <n v="0"/>
    <x v="1"/>
  </r>
  <r>
    <n v="1"/>
    <n v="0"/>
    <n v="0"/>
    <n v="0"/>
    <n v="0"/>
    <x v="1"/>
  </r>
  <r>
    <n v="0"/>
    <n v="1"/>
    <n v="0"/>
    <n v="0"/>
    <n v="0"/>
    <x v="0"/>
  </r>
  <r>
    <n v="1"/>
    <n v="0"/>
    <n v="0"/>
    <n v="0"/>
    <n v="0"/>
    <x v="1"/>
  </r>
  <r>
    <n v="1"/>
    <n v="0"/>
    <n v="0"/>
    <n v="0"/>
    <n v="0"/>
    <x v="1"/>
  </r>
  <r>
    <n v="0"/>
    <n v="0"/>
    <n v="1"/>
    <n v="0"/>
    <n v="0"/>
    <x v="1"/>
  </r>
  <r>
    <n v="1"/>
    <n v="0"/>
    <n v="0"/>
    <n v="0"/>
    <n v="0"/>
    <x v="1"/>
  </r>
  <r>
    <n v="0"/>
    <n v="1"/>
    <n v="0"/>
    <n v="0"/>
    <n v="0"/>
    <x v="0"/>
  </r>
  <r>
    <n v="1"/>
    <n v="0"/>
    <n v="0"/>
    <n v="0"/>
    <n v="0"/>
    <x v="1"/>
  </r>
  <r>
    <n v="1"/>
    <n v="0"/>
    <n v="1"/>
    <n v="0"/>
    <n v="0"/>
    <x v="1"/>
  </r>
  <r>
    <n v="0"/>
    <n v="1"/>
    <n v="0"/>
    <n v="0"/>
    <n v="0"/>
    <x v="0"/>
  </r>
  <r>
    <n v="1"/>
    <n v="0"/>
    <n v="0"/>
    <n v="0"/>
    <n v="0"/>
    <x v="1"/>
  </r>
  <r>
    <n v="1"/>
    <n v="0"/>
    <n v="0"/>
    <n v="0"/>
    <n v="0"/>
    <x v="0"/>
  </r>
  <r>
    <n v="0"/>
    <n v="0"/>
    <n v="1"/>
    <n v="0"/>
    <n v="0"/>
    <x v="1"/>
  </r>
  <r>
    <n v="1"/>
    <n v="0"/>
    <n v="0"/>
    <n v="0"/>
    <n v="0"/>
    <x v="1"/>
  </r>
  <r>
    <n v="0"/>
    <n v="1"/>
    <n v="0"/>
    <n v="0"/>
    <n v="0"/>
    <x v="0"/>
  </r>
  <r>
    <n v="1"/>
    <n v="0"/>
    <n v="0"/>
    <n v="0"/>
    <n v="0"/>
    <x v="1"/>
  </r>
  <r>
    <n v="0"/>
    <n v="1"/>
    <n v="0"/>
    <n v="0"/>
    <n v="0"/>
    <x v="0"/>
  </r>
  <r>
    <n v="1"/>
    <n v="0"/>
    <n v="0"/>
    <n v="0"/>
    <n v="0"/>
    <x v="1"/>
  </r>
  <r>
    <n v="1"/>
    <n v="0"/>
    <n v="1"/>
    <n v="0"/>
    <n v="0"/>
    <x v="1"/>
  </r>
  <r>
    <n v="0"/>
    <n v="1"/>
    <n v="0"/>
    <n v="0"/>
    <n v="0"/>
    <x v="0"/>
  </r>
  <r>
    <n v="1"/>
    <n v="0"/>
    <n v="0"/>
    <n v="0"/>
    <n v="0"/>
    <x v="1"/>
  </r>
  <r>
    <n v="1"/>
    <n v="0"/>
    <n v="0"/>
    <n v="0"/>
    <n v="0"/>
    <x v="0"/>
  </r>
  <r>
    <n v="0"/>
    <n v="0"/>
    <n v="1"/>
    <n v="0"/>
    <n v="0"/>
    <x v="1"/>
  </r>
  <r>
    <n v="1"/>
    <n v="0"/>
    <n v="0"/>
    <n v="0"/>
    <n v="0"/>
    <x v="1"/>
  </r>
  <r>
    <n v="1"/>
    <n v="0"/>
    <n v="0"/>
    <n v="0"/>
    <n v="0"/>
    <x v="1"/>
  </r>
  <r>
    <n v="1"/>
    <n v="0"/>
    <n v="0"/>
    <n v="0"/>
    <n v="0"/>
    <x v="1"/>
  </r>
  <r>
    <n v="0"/>
    <n v="1"/>
    <n v="0"/>
    <n v="0"/>
    <n v="0"/>
    <x v="0"/>
  </r>
  <r>
    <n v="1"/>
    <n v="0"/>
    <n v="0"/>
    <n v="0"/>
    <n v="0"/>
    <x v="1"/>
  </r>
  <r>
    <n v="1"/>
    <n v="0"/>
    <n v="0"/>
    <n v="0"/>
    <n v="0"/>
    <x v="1"/>
  </r>
  <r>
    <n v="1"/>
    <n v="0"/>
    <n v="1"/>
    <n v="0"/>
    <n v="0"/>
    <x v="1"/>
  </r>
  <r>
    <n v="0"/>
    <n v="1"/>
    <n v="0"/>
    <n v="0"/>
    <n v="0"/>
    <x v="0"/>
  </r>
  <r>
    <n v="1"/>
    <n v="0"/>
    <n v="0"/>
    <n v="0"/>
    <n v="0"/>
    <x v="1"/>
  </r>
  <r>
    <n v="1"/>
    <n v="0"/>
    <n v="0"/>
    <n v="0"/>
    <n v="0"/>
    <x v="0"/>
  </r>
  <r>
    <n v="0"/>
    <n v="0"/>
    <n v="1"/>
    <n v="0"/>
    <n v="0"/>
    <x v="1"/>
  </r>
  <r>
    <n v="1"/>
    <n v="0"/>
    <n v="0"/>
    <n v="0"/>
    <n v="0"/>
    <x v="1"/>
  </r>
  <r>
    <n v="1"/>
    <n v="0"/>
    <n v="0"/>
    <n v="0"/>
    <n v="0"/>
    <x v="1"/>
  </r>
  <r>
    <n v="0"/>
    <n v="1"/>
    <n v="0"/>
    <n v="0"/>
    <n v="0"/>
    <x v="0"/>
  </r>
  <r>
    <n v="0"/>
    <n v="0"/>
    <n v="1"/>
    <n v="0"/>
    <n v="0"/>
    <x v="1"/>
  </r>
  <r>
    <n v="1"/>
    <n v="0"/>
    <n v="0"/>
    <n v="1"/>
    <n v="0"/>
    <x v="1"/>
  </r>
  <r>
    <n v="0"/>
    <n v="1"/>
    <n v="0"/>
    <n v="0"/>
    <n v="0"/>
    <x v="0"/>
  </r>
  <r>
    <n v="0"/>
    <n v="0"/>
    <n v="1"/>
    <n v="0"/>
    <n v="0"/>
    <x v="1"/>
  </r>
  <r>
    <n v="0"/>
    <n v="0"/>
    <n v="1"/>
    <n v="0"/>
    <n v="0"/>
    <x v="1"/>
  </r>
  <r>
    <n v="1"/>
    <n v="0"/>
    <n v="0"/>
    <n v="0"/>
    <n v="0"/>
    <x v="1"/>
  </r>
  <r>
    <n v="0"/>
    <n v="0"/>
    <n v="1"/>
    <n v="0"/>
    <n v="0"/>
    <x v="0"/>
  </r>
  <r>
    <n v="1"/>
    <n v="0"/>
    <n v="0"/>
    <n v="0"/>
    <n v="0"/>
    <x v="1"/>
  </r>
  <r>
    <n v="1"/>
    <n v="0"/>
    <n v="0"/>
    <n v="0"/>
    <n v="0"/>
    <x v="1"/>
  </r>
  <r>
    <n v="0"/>
    <n v="1"/>
    <n v="0"/>
    <n v="0"/>
    <n v="0"/>
    <x v="0"/>
  </r>
  <r>
    <n v="1"/>
    <n v="0"/>
    <n v="0"/>
    <n v="1"/>
    <n v="0"/>
    <x v="1"/>
  </r>
  <r>
    <n v="0"/>
    <n v="0"/>
    <n v="1"/>
    <n v="0"/>
    <n v="0"/>
    <x v="1"/>
  </r>
  <r>
    <n v="0"/>
    <n v="1"/>
    <n v="0"/>
    <n v="0"/>
    <n v="0"/>
    <x v="0"/>
  </r>
  <r>
    <n v="1"/>
    <n v="0"/>
    <n v="1"/>
    <n v="0"/>
    <n v="0"/>
    <x v="1"/>
  </r>
  <r>
    <n v="1"/>
    <n v="0"/>
    <n v="0"/>
    <n v="0"/>
    <n v="0"/>
    <x v="1"/>
  </r>
  <r>
    <n v="0"/>
    <n v="0"/>
    <n v="1"/>
    <n v="0"/>
    <n v="0"/>
    <x v="1"/>
  </r>
  <r>
    <n v="1"/>
    <n v="0"/>
    <n v="0"/>
    <n v="0"/>
    <n v="0"/>
    <x v="1"/>
  </r>
  <r>
    <n v="0"/>
    <n v="0"/>
    <n v="1"/>
    <n v="0"/>
    <n v="0"/>
    <x v="0"/>
  </r>
  <r>
    <n v="1"/>
    <n v="0"/>
    <n v="0"/>
    <n v="0"/>
    <n v="0"/>
    <x v="0"/>
  </r>
  <r>
    <n v="1"/>
    <n v="0"/>
    <n v="0"/>
    <n v="1"/>
    <n v="0"/>
    <x v="1"/>
  </r>
  <r>
    <n v="0"/>
    <n v="1"/>
    <n v="0"/>
    <n v="0"/>
    <n v="0"/>
    <x v="0"/>
  </r>
  <r>
    <n v="1"/>
    <n v="0"/>
    <n v="0"/>
    <n v="0"/>
    <n v="0"/>
    <x v="1"/>
  </r>
  <r>
    <n v="1"/>
    <n v="0"/>
    <n v="1"/>
    <n v="0"/>
    <n v="0"/>
    <x v="1"/>
  </r>
  <r>
    <n v="0"/>
    <n v="0"/>
    <n v="1"/>
    <n v="0"/>
    <n v="0"/>
    <x v="0"/>
  </r>
  <r>
    <n v="1"/>
    <n v="0"/>
    <n v="0"/>
    <n v="1"/>
    <n v="0"/>
    <x v="1"/>
  </r>
  <r>
    <n v="0"/>
    <n v="0"/>
    <n v="0"/>
    <n v="0"/>
    <n v="1"/>
    <x v="1"/>
  </r>
  <r>
    <n v="0"/>
    <n v="1"/>
    <n v="0"/>
    <n v="0"/>
    <n v="0"/>
    <x v="0"/>
  </r>
  <r>
    <n v="1"/>
    <n v="0"/>
    <n v="0"/>
    <n v="0"/>
    <n v="0"/>
    <x v="1"/>
  </r>
  <r>
    <n v="0"/>
    <n v="0"/>
    <n v="0"/>
    <n v="0"/>
    <n v="1"/>
    <x v="1"/>
  </r>
  <r>
    <n v="1"/>
    <n v="0"/>
    <n v="1"/>
    <n v="0"/>
    <n v="0"/>
    <x v="1"/>
  </r>
  <r>
    <n v="1"/>
    <n v="0"/>
    <n v="0"/>
    <n v="0"/>
    <n v="0"/>
    <x v="0"/>
  </r>
  <r>
    <n v="0"/>
    <n v="0"/>
    <n v="1"/>
    <n v="0"/>
    <n v="0"/>
    <x v="0"/>
  </r>
  <r>
    <n v="0"/>
    <n v="1"/>
    <n v="0"/>
    <n v="0"/>
    <n v="0"/>
    <x v="0"/>
  </r>
  <r>
    <n v="1"/>
    <n v="0"/>
    <n v="0"/>
    <n v="1"/>
    <n v="0"/>
    <x v="1"/>
  </r>
  <r>
    <n v="0"/>
    <n v="0"/>
    <n v="1"/>
    <n v="0"/>
    <n v="0"/>
    <x v="0"/>
  </r>
  <r>
    <n v="1"/>
    <n v="0"/>
    <n v="1"/>
    <n v="0"/>
    <n v="0"/>
    <x v="1"/>
  </r>
  <r>
    <n v="0"/>
    <n v="1"/>
    <n v="0"/>
    <n v="0"/>
    <n v="0"/>
    <x v="0"/>
  </r>
  <r>
    <n v="1"/>
    <n v="0"/>
    <n v="0"/>
    <n v="0"/>
    <n v="0"/>
    <x v="1"/>
  </r>
  <r>
    <n v="0"/>
    <n v="0"/>
    <n v="1"/>
    <n v="0"/>
    <n v="1"/>
    <x v="1"/>
  </r>
  <r>
    <n v="1"/>
    <n v="0"/>
    <n v="0"/>
    <n v="0"/>
    <n v="0"/>
    <x v="1"/>
  </r>
  <r>
    <n v="1"/>
    <n v="0"/>
    <n v="0"/>
    <n v="0"/>
    <n v="0"/>
    <x v="1"/>
  </r>
  <r>
    <n v="0"/>
    <n v="0"/>
    <n v="1"/>
    <n v="0"/>
    <n v="0"/>
    <x v="0"/>
  </r>
  <r>
    <n v="1"/>
    <n v="0"/>
    <n v="0"/>
    <n v="0"/>
    <n v="0"/>
    <x v="1"/>
  </r>
  <r>
    <n v="0"/>
    <n v="1"/>
    <n v="0"/>
    <n v="0"/>
    <n v="0"/>
    <x v="0"/>
  </r>
  <r>
    <n v="1"/>
    <n v="0"/>
    <n v="0"/>
    <n v="0"/>
    <n v="0"/>
    <x v="1"/>
  </r>
  <r>
    <n v="1"/>
    <n v="0"/>
    <n v="1"/>
    <n v="0"/>
    <n v="0"/>
    <x v="1"/>
  </r>
  <r>
    <n v="0"/>
    <n v="1"/>
    <n v="0"/>
    <n v="0"/>
    <n v="0"/>
    <x v="0"/>
  </r>
  <r>
    <n v="1"/>
    <n v="0"/>
    <n v="1"/>
    <n v="0"/>
    <n v="0"/>
    <x v="1"/>
  </r>
  <r>
    <n v="1"/>
    <n v="0"/>
    <n v="0"/>
    <n v="1"/>
    <n v="0"/>
    <x v="1"/>
  </r>
  <r>
    <n v="0"/>
    <n v="1"/>
    <n v="0"/>
    <n v="0"/>
    <n v="0"/>
    <x v="0"/>
  </r>
  <r>
    <n v="1"/>
    <n v="0"/>
    <n v="1"/>
    <n v="0"/>
    <n v="0"/>
    <x v="1"/>
  </r>
  <r>
    <n v="0"/>
    <n v="0"/>
    <n v="1"/>
    <n v="0"/>
    <n v="0"/>
    <x v="0"/>
  </r>
  <r>
    <n v="1"/>
    <n v="0"/>
    <n v="0"/>
    <n v="0"/>
    <n v="0"/>
    <x v="1"/>
  </r>
  <r>
    <n v="0"/>
    <n v="1"/>
    <n v="0"/>
    <n v="0"/>
    <n v="0"/>
    <x v="0"/>
  </r>
  <r>
    <n v="0"/>
    <n v="0"/>
    <n v="1"/>
    <n v="0"/>
    <n v="0"/>
    <x v="1"/>
  </r>
  <r>
    <n v="1"/>
    <n v="0"/>
    <n v="0"/>
    <n v="0"/>
    <n v="0"/>
    <x v="0"/>
  </r>
  <r>
    <n v="1"/>
    <n v="0"/>
    <n v="0"/>
    <n v="1"/>
    <n v="0"/>
    <x v="1"/>
  </r>
  <r>
    <n v="0"/>
    <n v="0"/>
    <n v="1"/>
    <n v="0"/>
    <n v="1"/>
    <x v="1"/>
  </r>
  <r>
    <n v="0"/>
    <n v="1"/>
    <n v="0"/>
    <n v="0"/>
    <n v="0"/>
    <x v="0"/>
  </r>
  <r>
    <n v="0"/>
    <n v="1"/>
    <n v="0"/>
    <n v="0"/>
    <n v="0"/>
    <x v="0"/>
  </r>
  <r>
    <n v="1"/>
    <n v="0"/>
    <n v="0"/>
    <n v="0"/>
    <n v="0"/>
    <x v="0"/>
  </r>
  <r>
    <n v="1"/>
    <n v="0"/>
    <n v="0"/>
    <n v="0"/>
    <n v="0"/>
    <x v="0"/>
  </r>
  <r>
    <n v="1"/>
    <n v="0"/>
    <n v="0"/>
    <n v="0"/>
    <n v="0"/>
    <x v="0"/>
  </r>
  <r>
    <n v="0"/>
    <n v="1"/>
    <n v="0"/>
    <n v="0"/>
    <n v="0"/>
    <x v="0"/>
  </r>
  <r>
    <n v="0"/>
    <n v="1"/>
    <n v="0"/>
    <n v="0"/>
    <n v="0"/>
    <x v="0"/>
  </r>
  <r>
    <n v="0"/>
    <n v="1"/>
    <n v="0"/>
    <n v="0"/>
    <n v="0"/>
    <x v="0"/>
  </r>
  <r>
    <n v="1"/>
    <n v="0"/>
    <n v="0"/>
    <n v="0"/>
    <n v="0"/>
    <x v="1"/>
  </r>
  <r>
    <n v="1"/>
    <n v="0"/>
    <n v="0"/>
    <n v="0"/>
    <n v="0"/>
    <x v="1"/>
  </r>
  <r>
    <n v="0"/>
    <n v="0"/>
    <n v="1"/>
    <n v="0"/>
    <n v="1"/>
    <x v="1"/>
  </r>
  <r>
    <n v="1"/>
    <n v="0"/>
    <n v="0"/>
    <n v="1"/>
    <n v="0"/>
    <x v="1"/>
  </r>
  <r>
    <n v="1"/>
    <n v="0"/>
    <n v="0"/>
    <n v="0"/>
    <n v="0"/>
    <x v="0"/>
  </r>
  <r>
    <n v="0"/>
    <n v="0"/>
    <n v="1"/>
    <n v="0"/>
    <n v="0"/>
    <x v="1"/>
  </r>
  <r>
    <n v="1"/>
    <n v="0"/>
    <n v="1"/>
    <n v="0"/>
    <n v="0"/>
    <x v="1"/>
  </r>
  <r>
    <n v="0"/>
    <n v="1"/>
    <n v="0"/>
    <n v="0"/>
    <n v="0"/>
    <x v="0"/>
  </r>
  <r>
    <n v="1"/>
    <n v="0"/>
    <n v="0"/>
    <n v="1"/>
    <n v="0"/>
    <x v="1"/>
  </r>
  <r>
    <n v="1"/>
    <n v="0"/>
    <n v="0"/>
    <n v="0"/>
    <n v="0"/>
    <x v="1"/>
  </r>
  <r>
    <n v="0"/>
    <n v="1"/>
    <n v="0"/>
    <n v="0"/>
    <n v="0"/>
    <x v="0"/>
  </r>
  <r>
    <n v="1"/>
    <n v="0"/>
    <n v="0"/>
    <n v="0"/>
    <n v="0"/>
    <x v="1"/>
  </r>
  <r>
    <n v="1"/>
    <n v="0"/>
    <n v="0"/>
    <n v="1"/>
    <n v="0"/>
    <x v="1"/>
  </r>
  <r>
    <n v="0"/>
    <n v="1"/>
    <n v="0"/>
    <n v="0"/>
    <n v="0"/>
    <x v="0"/>
  </r>
  <r>
    <n v="0"/>
    <n v="0"/>
    <n v="1"/>
    <n v="0"/>
    <n v="0"/>
    <x v="0"/>
  </r>
</pivotCacheRecords>
</file>

<file path=xl/pivotCache/pivotCacheRecords5.xml><?xml version="1.0" encoding="utf-8"?>
<pivotCacheRecords xmlns="http://schemas.openxmlformats.org/spreadsheetml/2006/main" xmlns:r="http://schemas.openxmlformats.org/officeDocument/2006/relationships" count="568">
  <r>
    <x v="0"/>
    <n v="4"/>
    <n v="750"/>
    <s v="Female"/>
    <x v="0"/>
  </r>
  <r>
    <x v="1"/>
    <n v="4"/>
    <n v="2300"/>
    <s v="Male"/>
    <x v="1"/>
  </r>
  <r>
    <x v="2"/>
    <n v="6"/>
    <n v="166.66666666666666"/>
    <s v="Female"/>
    <x v="1"/>
  </r>
  <r>
    <x v="2"/>
    <n v="5"/>
    <n v="200"/>
    <s v="Male"/>
    <x v="1"/>
  </r>
  <r>
    <x v="3"/>
    <n v="5"/>
    <n v="2000"/>
    <s v="Male"/>
    <x v="2"/>
  </r>
  <r>
    <x v="4"/>
    <n v="3"/>
    <n v="400"/>
    <s v="Female"/>
    <x v="0"/>
  </r>
  <r>
    <x v="2"/>
    <n v="2"/>
    <n v="500"/>
    <s v="Female"/>
    <x v="2"/>
  </r>
  <r>
    <x v="0"/>
    <n v="6"/>
    <n v="500"/>
    <s v="Male"/>
    <x v="1"/>
  </r>
  <r>
    <x v="5"/>
    <n v="3"/>
    <n v="500"/>
    <s v="Female"/>
    <x v="2"/>
  </r>
  <r>
    <x v="6"/>
    <n v="4"/>
    <n v="2375"/>
    <s v="Male"/>
    <x v="3"/>
  </r>
  <r>
    <x v="5"/>
    <n v="3"/>
    <n v="500"/>
    <s v="Male"/>
    <x v="0"/>
  </r>
  <r>
    <x v="7"/>
    <n v="5"/>
    <n v="1600"/>
    <s v="Male"/>
    <x v="2"/>
  </r>
  <r>
    <x v="8"/>
    <n v="4"/>
    <n v="1700"/>
    <s v="Female"/>
    <x v="4"/>
  </r>
  <r>
    <x v="9"/>
    <n v="4"/>
    <n v="2250"/>
    <s v="Male"/>
    <x v="4"/>
  </r>
  <r>
    <x v="9"/>
    <n v="5"/>
    <n v="1800"/>
    <s v="Male"/>
    <x v="2"/>
  </r>
  <r>
    <x v="10"/>
    <n v="4"/>
    <n v="225"/>
    <s v="Female"/>
    <x v="0"/>
  </r>
  <r>
    <x v="11"/>
    <n v="5"/>
    <n v="400"/>
    <s v="Male"/>
    <x v="0"/>
  </r>
  <r>
    <x v="12"/>
    <n v="3"/>
    <n v="766.66666666666663"/>
    <s v="Male"/>
    <x v="2"/>
  </r>
  <r>
    <x v="4"/>
    <n v="4"/>
    <n v="300"/>
    <s v="Female"/>
    <x v="0"/>
  </r>
  <r>
    <x v="13"/>
    <n v="6"/>
    <n v="1850"/>
    <s v="Male"/>
    <x v="2"/>
  </r>
  <r>
    <x v="14"/>
    <n v="3"/>
    <n v="2000"/>
    <s v="Female"/>
    <x v="2"/>
  </r>
  <r>
    <x v="15"/>
    <n v="5"/>
    <n v="1760"/>
    <s v="Male"/>
    <x v="5"/>
  </r>
  <r>
    <x v="16"/>
    <n v="4"/>
    <n v="675"/>
    <s v="Male"/>
    <x v="0"/>
  </r>
  <r>
    <x v="0"/>
    <n v="6"/>
    <n v="500"/>
    <s v="Female"/>
    <x v="1"/>
  </r>
  <r>
    <x v="17"/>
    <n v="5"/>
    <n v="1040"/>
    <s v="Female"/>
    <x v="1"/>
  </r>
  <r>
    <x v="18"/>
    <n v="4"/>
    <n v="2425"/>
    <s v="Male"/>
    <x v="4"/>
  </r>
  <r>
    <x v="19"/>
    <n v="5"/>
    <n v="1640"/>
    <s v="Female"/>
    <x v="2"/>
  </r>
  <r>
    <x v="20"/>
    <n v="3"/>
    <n v="800"/>
    <s v="Male"/>
    <x v="1"/>
  </r>
  <r>
    <x v="21"/>
    <n v="4"/>
    <n v="725"/>
    <s v="Male"/>
    <x v="0"/>
  </r>
  <r>
    <x v="6"/>
    <n v="6"/>
    <n v="1583.3333333333333"/>
    <s v="Male"/>
    <x v="4"/>
  </r>
  <r>
    <x v="17"/>
    <n v="3"/>
    <n v="1733.3333333333333"/>
    <s v="Female"/>
    <x v="2"/>
  </r>
  <r>
    <x v="22"/>
    <n v="4"/>
    <n v="2125"/>
    <s v="Male"/>
    <x v="5"/>
  </r>
  <r>
    <x v="23"/>
    <n v="5"/>
    <n v="1400"/>
    <s v="Male"/>
    <x v="1"/>
  </r>
  <r>
    <x v="24"/>
    <n v="5"/>
    <n v="1100"/>
    <s v="Male"/>
    <x v="4"/>
  </r>
  <r>
    <x v="10"/>
    <n v="3"/>
    <n v="300"/>
    <s v="Female"/>
    <x v="2"/>
  </r>
  <r>
    <x v="17"/>
    <n v="6"/>
    <n v="866.66666666666663"/>
    <s v="Male"/>
    <x v="1"/>
  </r>
  <r>
    <x v="25"/>
    <n v="4"/>
    <n v="162.5"/>
    <s v="Female"/>
    <x v="0"/>
  </r>
  <r>
    <x v="26"/>
    <n v="5"/>
    <n v="2400"/>
    <s v="Male"/>
    <x v="5"/>
  </r>
  <r>
    <x v="20"/>
    <n v="4"/>
    <n v="600"/>
    <s v="Female"/>
    <x v="4"/>
  </r>
  <r>
    <x v="5"/>
    <n v="3"/>
    <n v="500"/>
    <s v="Male"/>
    <x v="1"/>
  </r>
  <r>
    <x v="27"/>
    <n v="4"/>
    <n v="125"/>
    <s v="Female"/>
    <x v="0"/>
  </r>
  <r>
    <x v="28"/>
    <n v="4"/>
    <n v="1450"/>
    <s v="Male"/>
    <x v="3"/>
  </r>
  <r>
    <x v="29"/>
    <n v="5"/>
    <n v="170"/>
    <s v="Female"/>
    <x v="0"/>
  </r>
  <r>
    <x v="30"/>
    <n v="4"/>
    <n v="350"/>
    <s v="Male"/>
    <x v="1"/>
  </r>
  <r>
    <x v="31"/>
    <n v="3"/>
    <n v="1066.6666666666667"/>
    <s v="Female"/>
    <x v="2"/>
  </r>
  <r>
    <x v="8"/>
    <n v="5"/>
    <n v="1360"/>
    <s v="Male"/>
    <x v="2"/>
  </r>
  <r>
    <x v="32"/>
    <n v="4"/>
    <n v="175"/>
    <s v="Female"/>
    <x v="1"/>
  </r>
  <r>
    <x v="33"/>
    <n v="5"/>
    <n v="2200"/>
    <s v="Male"/>
    <x v="5"/>
  </r>
  <r>
    <x v="29"/>
    <n v="3"/>
    <n v="283.33333333333331"/>
    <s v="Female"/>
    <x v="0"/>
  </r>
  <r>
    <x v="34"/>
    <n v="4"/>
    <n v="1125"/>
    <s v="Male"/>
    <x v="4"/>
  </r>
  <r>
    <x v="35"/>
    <n v="5"/>
    <n v="40"/>
    <s v="Female"/>
    <x v="0"/>
  </r>
  <r>
    <x v="16"/>
    <n v="3"/>
    <n v="900"/>
    <s v="Female"/>
    <x v="2"/>
  </r>
  <r>
    <x v="36"/>
    <n v="6"/>
    <n v="833.33333333333337"/>
    <s v="Male"/>
    <x v="1"/>
  </r>
  <r>
    <x v="37"/>
    <n v="4"/>
    <n v="187.5"/>
    <s v="Female"/>
    <x v="0"/>
  </r>
  <r>
    <x v="25"/>
    <n v="5"/>
    <n v="130"/>
    <s v="Female"/>
    <x v="0"/>
  </r>
  <r>
    <x v="38"/>
    <n v="4"/>
    <n v="1000"/>
    <s v="Male"/>
    <x v="2"/>
  </r>
  <r>
    <x v="25"/>
    <n v="5"/>
    <n v="130"/>
    <s v="Female"/>
    <x v="0"/>
  </r>
  <r>
    <x v="25"/>
    <n v="5"/>
    <n v="130"/>
    <s v="Male"/>
    <x v="1"/>
  </r>
  <r>
    <x v="25"/>
    <n v="6"/>
    <n v="108.33333333333333"/>
    <s v="Female"/>
    <x v="1"/>
  </r>
  <r>
    <x v="2"/>
    <n v="5"/>
    <n v="200"/>
    <s v="Male"/>
    <x v="0"/>
  </r>
  <r>
    <x v="2"/>
    <n v="3"/>
    <n v="333.33333333333331"/>
    <s v="Male"/>
    <x v="0"/>
  </r>
  <r>
    <x v="39"/>
    <n v="6"/>
    <n v="1250"/>
    <s v="Male"/>
    <x v="2"/>
  </r>
  <r>
    <x v="10"/>
    <n v="3"/>
    <n v="300"/>
    <s v="Female"/>
    <x v="1"/>
  </r>
  <r>
    <x v="24"/>
    <n v="4"/>
    <n v="1375"/>
    <s v="Male"/>
    <x v="4"/>
  </r>
  <r>
    <x v="32"/>
    <n v="5"/>
    <n v="140"/>
    <s v="Female"/>
    <x v="0"/>
  </r>
  <r>
    <x v="4"/>
    <n v="6"/>
    <n v="200"/>
    <s v="Male"/>
    <x v="1"/>
  </r>
  <r>
    <x v="31"/>
    <n v="3"/>
    <n v="1066.6666666666667"/>
    <s v="Female"/>
    <x v="5"/>
  </r>
  <r>
    <x v="40"/>
    <n v="4"/>
    <n v="1200"/>
    <s v="Male"/>
    <x v="2"/>
  </r>
  <r>
    <x v="37"/>
    <n v="4"/>
    <n v="187.5"/>
    <s v="Female"/>
    <x v="0"/>
  </r>
  <r>
    <x v="3"/>
    <n v="5"/>
    <n v="2000"/>
    <s v="Male"/>
    <x v="4"/>
  </r>
  <r>
    <x v="12"/>
    <n v="3"/>
    <n v="766.66666666666663"/>
    <s v="Female"/>
    <x v="2"/>
  </r>
  <r>
    <x v="11"/>
    <n v="4"/>
    <n v="500"/>
    <s v="Male"/>
    <x v="2"/>
  </r>
  <r>
    <x v="36"/>
    <n v="4"/>
    <n v="1250"/>
    <s v="Male"/>
    <x v="2"/>
  </r>
  <r>
    <x v="2"/>
    <n v="5"/>
    <n v="200"/>
    <s v="Female"/>
    <x v="0"/>
  </r>
  <r>
    <x v="6"/>
    <n v="6"/>
    <n v="1583.3333333333333"/>
    <s v="Male"/>
    <x v="1"/>
  </r>
  <r>
    <x v="40"/>
    <n v="3"/>
    <n v="1600"/>
    <s v="Female"/>
    <x v="4"/>
  </r>
  <r>
    <x v="41"/>
    <n v="4"/>
    <n v="3500"/>
    <s v="Male"/>
    <x v="3"/>
  </r>
  <r>
    <x v="5"/>
    <n v="5"/>
    <n v="300"/>
    <s v="Female"/>
    <x v="1"/>
  </r>
  <r>
    <x v="11"/>
    <n v="3"/>
    <n v="666.66666666666663"/>
    <s v="Male"/>
    <x v="0"/>
  </r>
  <r>
    <x v="4"/>
    <n v="4"/>
    <n v="300"/>
    <s v="Male"/>
    <x v="0"/>
  </r>
  <r>
    <x v="31"/>
    <n v="3"/>
    <n v="1066.6666666666667"/>
    <s v="Male"/>
    <x v="4"/>
  </r>
  <r>
    <x v="10"/>
    <n v="6"/>
    <n v="150"/>
    <s v="Female"/>
    <x v="1"/>
  </r>
  <r>
    <x v="26"/>
    <n v="6"/>
    <n v="2000"/>
    <s v="Male"/>
    <x v="2"/>
  </r>
  <r>
    <x v="25"/>
    <n v="6"/>
    <n v="108.33333333333333"/>
    <s v="Female"/>
    <x v="4"/>
  </r>
  <r>
    <x v="42"/>
    <n v="5"/>
    <n v="840"/>
    <s v="Male"/>
    <x v="2"/>
  </r>
  <r>
    <x v="43"/>
    <n v="3"/>
    <n v="866.66666666666663"/>
    <s v="Female"/>
    <x v="4"/>
  </r>
  <r>
    <x v="44"/>
    <n v="6"/>
    <n v="183.33333333333334"/>
    <s v="Male"/>
    <x v="1"/>
  </r>
  <r>
    <x v="25"/>
    <n v="4"/>
    <n v="162.5"/>
    <s v="Female"/>
    <x v="0"/>
  </r>
  <r>
    <x v="45"/>
    <n v="3"/>
    <n v="1200"/>
    <s v="Male"/>
    <x v="2"/>
  </r>
  <r>
    <x v="46"/>
    <n v="5"/>
    <n v="260"/>
    <s v="Male"/>
    <x v="1"/>
  </r>
  <r>
    <x v="25"/>
    <n v="4"/>
    <n v="162.5"/>
    <s v="Female"/>
    <x v="1"/>
  </r>
  <r>
    <x v="47"/>
    <n v="3"/>
    <n v="1266.6666666666667"/>
    <s v="Male"/>
    <x v="2"/>
  </r>
  <r>
    <x v="48"/>
    <n v="4"/>
    <n v="180"/>
    <s v="Female"/>
    <x v="1"/>
  </r>
  <r>
    <x v="12"/>
    <n v="3"/>
    <n v="766.66666666666663"/>
    <s v="Female"/>
    <x v="2"/>
  </r>
  <r>
    <x v="4"/>
    <n v="5"/>
    <n v="240"/>
    <s v="Male"/>
    <x v="1"/>
  </r>
  <r>
    <x v="49"/>
    <n v="4"/>
    <n v="150"/>
    <s v="Female"/>
    <x v="0"/>
  </r>
  <r>
    <x v="19"/>
    <n v="6"/>
    <n v="1366.6666666666667"/>
    <s v="Male"/>
    <x v="2"/>
  </r>
  <r>
    <x v="9"/>
    <n v="6"/>
    <n v="1500"/>
    <s v="Male"/>
    <x v="4"/>
  </r>
  <r>
    <x v="20"/>
    <n v="3"/>
    <n v="800"/>
    <s v="Female"/>
    <x v="2"/>
  </r>
  <r>
    <x v="23"/>
    <n v="6"/>
    <n v="1166.6666666666667"/>
    <s v="Male"/>
    <x v="1"/>
  </r>
  <r>
    <x v="32"/>
    <n v="4"/>
    <n v="175"/>
    <s v="Female"/>
    <x v="0"/>
  </r>
  <r>
    <x v="50"/>
    <n v="3"/>
    <n v="1433.3333333333333"/>
    <s v="Male"/>
    <x v="2"/>
  </r>
  <r>
    <x v="51"/>
    <n v="5"/>
    <n v="680"/>
    <s v="Male"/>
    <x v="2"/>
  </r>
  <r>
    <x v="49"/>
    <n v="4"/>
    <n v="150"/>
    <s v="Female"/>
    <x v="1"/>
  </r>
  <r>
    <x v="40"/>
    <n v="5"/>
    <n v="960"/>
    <s v="Male"/>
    <x v="2"/>
  </r>
  <r>
    <x v="28"/>
    <n v="5"/>
    <n v="1160"/>
    <s v="Male"/>
    <x v="1"/>
  </r>
  <r>
    <x v="37"/>
    <n v="4"/>
    <n v="187.5"/>
    <s v="Female"/>
    <x v="2"/>
  </r>
  <r>
    <x v="44"/>
    <n v="3"/>
    <n v="366.66666666666669"/>
    <s v="Female"/>
    <x v="2"/>
  </r>
  <r>
    <x v="22"/>
    <n v="6"/>
    <n v="1416.6666666666667"/>
    <s v="Male"/>
    <x v="1"/>
  </r>
  <r>
    <x v="6"/>
    <n v="6"/>
    <n v="1583.3333333333333"/>
    <s v="Male"/>
    <x v="4"/>
  </r>
  <r>
    <x v="52"/>
    <n v="3"/>
    <n v="833.33333333333337"/>
    <s v="Female"/>
    <x v="2"/>
  </r>
  <r>
    <x v="32"/>
    <n v="4"/>
    <n v="175"/>
    <s v="Female"/>
    <x v="0"/>
  </r>
  <r>
    <x v="24"/>
    <n v="4"/>
    <n v="1375"/>
    <s v="Male"/>
    <x v="4"/>
  </r>
  <r>
    <x v="25"/>
    <n v="3"/>
    <n v="216.66666666666666"/>
    <s v="Female"/>
    <x v="1"/>
  </r>
  <r>
    <x v="17"/>
    <n v="5"/>
    <n v="1040"/>
    <s v="Male"/>
    <x v="5"/>
  </r>
  <r>
    <x v="25"/>
    <n v="6"/>
    <n v="108.33333333333333"/>
    <s v="Female"/>
    <x v="1"/>
  </r>
  <r>
    <x v="19"/>
    <n v="4"/>
    <n v="2050"/>
    <s v="Male"/>
    <x v="3"/>
  </r>
  <r>
    <x v="30"/>
    <n v="3"/>
    <n v="466.66666666666669"/>
    <s v="Male"/>
    <x v="2"/>
  </r>
  <r>
    <x v="49"/>
    <n v="4"/>
    <n v="150"/>
    <s v="Female"/>
    <x v="1"/>
  </r>
  <r>
    <x v="37"/>
    <n v="5"/>
    <n v="150"/>
    <s v="Female"/>
    <x v="1"/>
  </r>
  <r>
    <x v="53"/>
    <n v="5"/>
    <n v="4000"/>
    <s v="Male"/>
    <x v="1"/>
  </r>
  <r>
    <x v="0"/>
    <n v="4"/>
    <n v="750"/>
    <s v="Male"/>
    <x v="0"/>
  </r>
  <r>
    <x v="54"/>
    <n v="4"/>
    <n v="237.5"/>
    <s v="Male"/>
    <x v="1"/>
  </r>
  <r>
    <x v="55"/>
    <n v="6"/>
    <n v="933.33333333333337"/>
    <s v="Male"/>
    <x v="2"/>
  </r>
  <r>
    <x v="56"/>
    <n v="3"/>
    <n v="193.33333333333334"/>
    <s v="Female"/>
    <x v="0"/>
  </r>
  <r>
    <x v="57"/>
    <n v="4"/>
    <n v="1775"/>
    <s v="Male"/>
    <x v="4"/>
  </r>
  <r>
    <x v="25"/>
    <n v="5"/>
    <n v="130"/>
    <s v="Female"/>
    <x v="1"/>
  </r>
  <r>
    <x v="17"/>
    <n v="7"/>
    <n v="742.85714285714289"/>
    <s v="Male"/>
    <x v="1"/>
  </r>
  <r>
    <x v="27"/>
    <n v="4"/>
    <n v="125"/>
    <s v="Female"/>
    <x v="0"/>
  </r>
  <r>
    <x v="58"/>
    <n v="3"/>
    <n v="3400"/>
    <s v="Male"/>
    <x v="3"/>
  </r>
  <r>
    <x v="48"/>
    <n v="5"/>
    <n v="144"/>
    <s v="Female"/>
    <x v="0"/>
  </r>
  <r>
    <x v="10"/>
    <n v="6"/>
    <n v="150"/>
    <s v="Male"/>
    <x v="1"/>
  </r>
  <r>
    <x v="59"/>
    <n v="4"/>
    <n v="195"/>
    <s v="Female"/>
    <x v="2"/>
  </r>
  <r>
    <x v="40"/>
    <n v="5"/>
    <n v="960"/>
    <s v="Male"/>
    <x v="2"/>
  </r>
  <r>
    <x v="29"/>
    <n v="4"/>
    <n v="212.5"/>
    <s v="Female"/>
    <x v="0"/>
  </r>
  <r>
    <x v="60"/>
    <n v="6"/>
    <n v="1066.6666666666667"/>
    <s v="Male"/>
    <x v="2"/>
  </r>
  <r>
    <x v="61"/>
    <n v="3"/>
    <n v="266.66666666666669"/>
    <s v="Female"/>
    <x v="1"/>
  </r>
  <r>
    <x v="62"/>
    <n v="5"/>
    <n v="980"/>
    <s v="Male"/>
    <x v="4"/>
  </r>
  <r>
    <x v="48"/>
    <n v="6"/>
    <n v="120"/>
    <s v="Female"/>
    <x v="0"/>
  </r>
  <r>
    <x v="63"/>
    <n v="4"/>
    <n v="2475"/>
    <s v="Male"/>
    <x v="3"/>
  </r>
  <r>
    <x v="25"/>
    <n v="3"/>
    <n v="216.66666666666666"/>
    <s v="Female"/>
    <x v="0"/>
  </r>
  <r>
    <x v="64"/>
    <n v="5"/>
    <n v="198"/>
    <s v="Male"/>
    <x v="2"/>
  </r>
  <r>
    <x v="49"/>
    <n v="4"/>
    <n v="150"/>
    <s v="Female"/>
    <x v="1"/>
  </r>
  <r>
    <x v="36"/>
    <n v="4"/>
    <n v="1250"/>
    <s v="Female"/>
    <x v="2"/>
  </r>
  <r>
    <x v="2"/>
    <n v="4"/>
    <n v="250"/>
    <s v="Female"/>
    <x v="1"/>
  </r>
  <r>
    <x v="2"/>
    <n v="6"/>
    <n v="166.66666666666666"/>
    <s v="Female"/>
    <x v="1"/>
  </r>
  <r>
    <x v="65"/>
    <n v="4"/>
    <n v="3750"/>
    <s v="Female"/>
    <x v="1"/>
  </r>
  <r>
    <x v="42"/>
    <n v="4"/>
    <n v="1050"/>
    <s v="Male"/>
    <x v="1"/>
  </r>
  <r>
    <x v="32"/>
    <n v="3"/>
    <n v="233.33333333333334"/>
    <s v="Female"/>
    <x v="0"/>
  </r>
  <r>
    <x v="42"/>
    <n v="5"/>
    <n v="840"/>
    <s v="Male"/>
    <x v="2"/>
  </r>
  <r>
    <x v="17"/>
    <n v="4"/>
    <n v="1300"/>
    <s v="Male"/>
    <x v="4"/>
  </r>
  <r>
    <x v="49"/>
    <n v="5"/>
    <n v="120"/>
    <s v="Female"/>
    <x v="0"/>
  </r>
  <r>
    <x v="6"/>
    <n v="7"/>
    <n v="1357.1428571428571"/>
    <s v="Male"/>
    <x v="2"/>
  </r>
  <r>
    <x v="49"/>
    <n v="4"/>
    <n v="150"/>
    <s v="Female"/>
    <x v="0"/>
  </r>
  <r>
    <x v="62"/>
    <n v="4"/>
    <n v="1225"/>
    <s v="Male"/>
    <x v="5"/>
  </r>
  <r>
    <x v="25"/>
    <n v="5"/>
    <n v="130"/>
    <s v="Male"/>
    <x v="1"/>
  </r>
  <r>
    <x v="66"/>
    <n v="3"/>
    <n v="566.66666666666663"/>
    <s v="Male"/>
    <x v="2"/>
  </r>
  <r>
    <x v="47"/>
    <n v="4"/>
    <n v="950"/>
    <s v="Female"/>
    <x v="2"/>
  </r>
  <r>
    <x v="67"/>
    <n v="6"/>
    <n v="1450"/>
    <s v="Male"/>
    <x v="2"/>
  </r>
  <r>
    <x v="27"/>
    <n v="4"/>
    <n v="125"/>
    <s v="Female"/>
    <x v="0"/>
  </r>
  <r>
    <x v="42"/>
    <n v="4"/>
    <n v="1050"/>
    <s v="Male"/>
    <x v="1"/>
  </r>
  <r>
    <x v="2"/>
    <n v="3"/>
    <n v="333.33333333333331"/>
    <s v="Female"/>
    <x v="0"/>
  </r>
  <r>
    <x v="40"/>
    <n v="5"/>
    <n v="960"/>
    <s v="Male"/>
    <x v="2"/>
  </r>
  <r>
    <x v="10"/>
    <n v="4"/>
    <n v="225"/>
    <s v="Female"/>
    <x v="0"/>
  </r>
  <r>
    <x v="1"/>
    <n v="6"/>
    <n v="1533.3333333333333"/>
    <s v="Male"/>
    <x v="4"/>
  </r>
  <r>
    <x v="68"/>
    <n v="4"/>
    <n v="875"/>
    <s v="Female"/>
    <x v="2"/>
  </r>
  <r>
    <x v="38"/>
    <n v="5"/>
    <n v="800"/>
    <s v="Male"/>
    <x v="2"/>
  </r>
  <r>
    <x v="69"/>
    <n v="4"/>
    <n v="400"/>
    <s v="Female"/>
    <x v="2"/>
  </r>
  <r>
    <x v="26"/>
    <n v="6"/>
    <n v="2000"/>
    <s v="Male"/>
    <x v="5"/>
  </r>
  <r>
    <x v="29"/>
    <n v="4"/>
    <n v="212.5"/>
    <s v="Female"/>
    <x v="0"/>
  </r>
  <r>
    <x v="14"/>
    <n v="4"/>
    <n v="1500"/>
    <s v="Male"/>
    <x v="4"/>
  </r>
  <r>
    <x v="70"/>
    <n v="6"/>
    <n v="91.666666666666671"/>
    <s v="Female"/>
    <x v="2"/>
  </r>
  <r>
    <x v="9"/>
    <n v="4"/>
    <n v="2250"/>
    <s v="Male"/>
    <x v="3"/>
  </r>
  <r>
    <x v="36"/>
    <n v="3"/>
    <n v="1666.6666666666667"/>
    <s v="Female"/>
    <x v="5"/>
  </r>
  <r>
    <x v="5"/>
    <n v="4"/>
    <n v="375"/>
    <s v="Male"/>
    <x v="1"/>
  </r>
  <r>
    <x v="70"/>
    <n v="3"/>
    <n v="183.33333333333334"/>
    <s v="Female"/>
    <x v="0"/>
  </r>
  <r>
    <x v="23"/>
    <n v="5"/>
    <n v="1400"/>
    <s v="Male"/>
    <x v="4"/>
  </r>
  <r>
    <x v="69"/>
    <n v="4"/>
    <n v="400"/>
    <s v="Male"/>
    <x v="2"/>
  </r>
  <r>
    <x v="49"/>
    <n v="5"/>
    <n v="120"/>
    <s v="Female"/>
    <x v="0"/>
  </r>
  <r>
    <x v="9"/>
    <n v="6"/>
    <n v="1500"/>
    <s v="Male"/>
    <x v="2"/>
  </r>
  <r>
    <x v="17"/>
    <n v="3"/>
    <n v="1733.3333333333333"/>
    <s v="Female"/>
    <x v="5"/>
  </r>
  <r>
    <x v="71"/>
    <n v="4"/>
    <n v="450"/>
    <s v="Male"/>
    <x v="4"/>
  </r>
  <r>
    <x v="41"/>
    <n v="6"/>
    <n v="2333.3333333333335"/>
    <s v="Male"/>
    <x v="1"/>
  </r>
  <r>
    <x v="27"/>
    <n v="3"/>
    <n v="166.66666666666666"/>
    <s v="Female"/>
    <x v="0"/>
  </r>
  <r>
    <x v="29"/>
    <n v="5"/>
    <n v="170"/>
    <s v="Male"/>
    <x v="0"/>
  </r>
  <r>
    <x v="72"/>
    <n v="4"/>
    <n v="112.5"/>
    <s v="Female"/>
    <x v="0"/>
  </r>
  <r>
    <x v="37"/>
    <n v="4"/>
    <n v="187.5"/>
    <s v="Female"/>
    <x v="1"/>
  </r>
  <r>
    <x v="19"/>
    <n v="6"/>
    <n v="1366.6666666666667"/>
    <s v="Male"/>
    <x v="2"/>
  </r>
  <r>
    <x v="5"/>
    <n v="6"/>
    <n v="250"/>
    <s v="Female"/>
    <x v="0"/>
  </r>
  <r>
    <x v="0"/>
    <n v="4"/>
    <n v="750"/>
    <s v="Male"/>
    <x v="0"/>
  </r>
  <r>
    <x v="27"/>
    <n v="5"/>
    <n v="100"/>
    <s v="Female"/>
    <x v="1"/>
  </r>
  <r>
    <x v="53"/>
    <n v="4"/>
    <n v="5000"/>
    <s v="Female"/>
    <x v="0"/>
  </r>
  <r>
    <x v="29"/>
    <n v="4"/>
    <n v="212.5"/>
    <s v="Female"/>
    <x v="0"/>
  </r>
  <r>
    <x v="2"/>
    <n v="5"/>
    <n v="200"/>
    <s v="Female"/>
    <x v="1"/>
  </r>
  <r>
    <x v="3"/>
    <n v="4"/>
    <n v="2500"/>
    <s v="Female"/>
    <x v="3"/>
  </r>
  <r>
    <x v="2"/>
    <n v="4"/>
    <n v="250"/>
    <s v="Female"/>
    <x v="0"/>
  </r>
  <r>
    <x v="24"/>
    <n v="5"/>
    <n v="1100"/>
    <s v="Male"/>
    <x v="0"/>
  </r>
  <r>
    <x v="73"/>
    <n v="3"/>
    <n v="133.33333333333334"/>
    <s v="Female"/>
    <x v="0"/>
  </r>
  <r>
    <x v="23"/>
    <n v="3"/>
    <n v="2333.3333333333335"/>
    <s v="Female"/>
    <x v="0"/>
  </r>
  <r>
    <x v="29"/>
    <n v="6"/>
    <n v="141.66666666666666"/>
    <s v="Female"/>
    <x v="0"/>
  </r>
  <r>
    <x v="39"/>
    <n v="4"/>
    <n v="1875"/>
    <s v="Male"/>
    <x v="0"/>
  </r>
  <r>
    <x v="37"/>
    <n v="5"/>
    <n v="150"/>
    <s v="Male"/>
    <x v="4"/>
  </r>
  <r>
    <x v="11"/>
    <n v="5"/>
    <n v="400"/>
    <s v="Female"/>
    <x v="1"/>
  </r>
  <r>
    <x v="38"/>
    <n v="4"/>
    <n v="1000"/>
    <s v="Female"/>
    <x v="1"/>
  </r>
  <r>
    <x v="2"/>
    <n v="5"/>
    <n v="200"/>
    <s v="Male"/>
    <x v="5"/>
  </r>
  <r>
    <x v="2"/>
    <n v="4"/>
    <n v="250"/>
    <s v="Female"/>
    <x v="2"/>
  </r>
  <r>
    <x v="2"/>
    <n v="5"/>
    <n v="200"/>
    <s v="Female"/>
    <x v="2"/>
  </r>
  <r>
    <x v="5"/>
    <n v="10"/>
    <n v="150"/>
    <s v="Female"/>
    <x v="1"/>
  </r>
  <r>
    <x v="36"/>
    <n v="5"/>
    <n v="1000"/>
    <s v="Female"/>
    <x v="0"/>
  </r>
  <r>
    <x v="2"/>
    <n v="4"/>
    <n v="250"/>
    <s v="Female"/>
    <x v="0"/>
  </r>
  <r>
    <x v="2"/>
    <n v="4"/>
    <n v="250"/>
    <s v="Female"/>
    <x v="0"/>
  </r>
  <r>
    <x v="5"/>
    <n v="6"/>
    <n v="250"/>
    <s v="Female"/>
    <x v="0"/>
  </r>
  <r>
    <x v="70"/>
    <n v="4"/>
    <n v="137.5"/>
    <s v="Female"/>
    <x v="0"/>
  </r>
  <r>
    <x v="2"/>
    <n v="6"/>
    <n v="166.66666666666666"/>
    <s v="Male"/>
    <x v="0"/>
  </r>
  <r>
    <x v="54"/>
    <n v="4"/>
    <n v="237.5"/>
    <s v="Female"/>
    <x v="2"/>
  </r>
  <r>
    <x v="70"/>
    <n v="4"/>
    <n v="137.5"/>
    <s v="Female"/>
    <x v="1"/>
  </r>
  <r>
    <x v="14"/>
    <n v="4"/>
    <n v="1500"/>
    <s v="Male"/>
    <x v="2"/>
  </r>
  <r>
    <x v="71"/>
    <n v="5"/>
    <n v="360"/>
    <s v="Female"/>
    <x v="4"/>
  </r>
  <r>
    <x v="73"/>
    <n v="6"/>
    <n v="66.666666666666671"/>
    <s v="Male"/>
    <x v="0"/>
  </r>
  <r>
    <x v="34"/>
    <n v="5"/>
    <n v="900"/>
    <s v="Female"/>
    <x v="2"/>
  </r>
  <r>
    <x v="34"/>
    <n v="4"/>
    <n v="1125"/>
    <s v="Male"/>
    <x v="2"/>
  </r>
  <r>
    <x v="10"/>
    <n v="3"/>
    <n v="300"/>
    <s v="Female"/>
    <x v="4"/>
  </r>
  <r>
    <x v="41"/>
    <n v="4"/>
    <n v="3500"/>
    <s v="Male"/>
    <x v="3"/>
  </r>
  <r>
    <x v="37"/>
    <n v="5"/>
    <n v="150"/>
    <s v="Female"/>
    <x v="0"/>
  </r>
  <r>
    <x v="23"/>
    <n v="6"/>
    <n v="1166.6666666666667"/>
    <s v="Male"/>
    <x v="4"/>
  </r>
  <r>
    <x v="4"/>
    <n v="3"/>
    <n v="400"/>
    <s v="Female"/>
    <x v="2"/>
  </r>
  <r>
    <x v="74"/>
    <n v="4"/>
    <n v="3125"/>
    <s v="Male"/>
    <x v="3"/>
  </r>
  <r>
    <x v="0"/>
    <n v="5"/>
    <n v="600"/>
    <s v="Female"/>
    <x v="1"/>
  </r>
  <r>
    <x v="7"/>
    <n v="5"/>
    <n v="1600"/>
    <s v="Male"/>
    <x v="2"/>
  </r>
  <r>
    <x v="10"/>
    <n v="3"/>
    <n v="300"/>
    <s v="Female"/>
    <x v="0"/>
  </r>
  <r>
    <x v="30"/>
    <n v="4"/>
    <n v="350"/>
    <s v="Male"/>
    <x v="2"/>
  </r>
  <r>
    <x v="49"/>
    <n v="4"/>
    <n v="150"/>
    <s v="Female"/>
    <x v="0"/>
  </r>
  <r>
    <x v="75"/>
    <n v="6"/>
    <n v="1300"/>
    <s v="Male"/>
    <x v="2"/>
  </r>
  <r>
    <x v="31"/>
    <n v="2"/>
    <n v="1600"/>
    <s v="Female"/>
    <x v="4"/>
  </r>
  <r>
    <x v="76"/>
    <n v="5"/>
    <n v="2640"/>
    <s v="Male"/>
    <x v="3"/>
  </r>
  <r>
    <x v="27"/>
    <n v="4"/>
    <n v="125"/>
    <s v="Female"/>
    <x v="1"/>
  </r>
  <r>
    <x v="47"/>
    <n v="4"/>
    <n v="950"/>
    <s v="Male"/>
    <x v="2"/>
  </r>
  <r>
    <x v="29"/>
    <n v="5"/>
    <n v="170"/>
    <s v="Female"/>
    <x v="0"/>
  </r>
  <r>
    <x v="77"/>
    <n v="6"/>
    <n v="1116.6666666666667"/>
    <s v="Male"/>
    <x v="2"/>
  </r>
  <r>
    <x v="78"/>
    <n v="3"/>
    <n v="1533.3333333333333"/>
    <s v="Male"/>
    <x v="2"/>
  </r>
  <r>
    <x v="46"/>
    <n v="5"/>
    <n v="260"/>
    <s v="Male"/>
    <x v="2"/>
  </r>
  <r>
    <x v="37"/>
    <n v="3"/>
    <n v="250"/>
    <s v="Female"/>
    <x v="2"/>
  </r>
  <r>
    <x v="79"/>
    <n v="5"/>
    <n v="780"/>
    <s v="Male"/>
    <x v="5"/>
  </r>
  <r>
    <x v="2"/>
    <n v="4"/>
    <n v="250"/>
    <s v="Female"/>
    <x v="0"/>
  </r>
  <r>
    <x v="22"/>
    <n v="6"/>
    <n v="1416.6666666666667"/>
    <s v="Male"/>
    <x v="4"/>
  </r>
  <r>
    <x v="45"/>
    <n v="6"/>
    <n v="600"/>
    <s v="Male"/>
    <x v="4"/>
  </r>
  <r>
    <x v="73"/>
    <n v="4"/>
    <n v="100"/>
    <s v="Female"/>
    <x v="1"/>
  </r>
  <r>
    <x v="69"/>
    <n v="3"/>
    <n v="533.33333333333337"/>
    <s v="Male"/>
    <x v="2"/>
  </r>
  <r>
    <x v="4"/>
    <n v="5"/>
    <n v="240"/>
    <s v="Male"/>
    <x v="4"/>
  </r>
  <r>
    <x v="79"/>
    <n v="4"/>
    <n v="975"/>
    <s v="Female"/>
    <x v="2"/>
  </r>
  <r>
    <x v="80"/>
    <n v="4"/>
    <n v="362.5"/>
    <s v="Male"/>
    <x v="2"/>
  </r>
  <r>
    <x v="27"/>
    <n v="5"/>
    <n v="100"/>
    <s v="Female"/>
    <x v="1"/>
  </r>
  <r>
    <x v="9"/>
    <n v="6"/>
    <n v="1500"/>
    <s v="Male"/>
    <x v="4"/>
  </r>
  <r>
    <x v="34"/>
    <n v="4"/>
    <n v="1125"/>
    <s v="Male"/>
    <x v="2"/>
  </r>
  <r>
    <x v="27"/>
    <n v="5"/>
    <n v="100"/>
    <s v="Female"/>
    <x v="2"/>
  </r>
  <r>
    <x v="42"/>
    <n v="4"/>
    <n v="1050"/>
    <s v="Male"/>
    <x v="2"/>
  </r>
  <r>
    <x v="25"/>
    <n v="3"/>
    <n v="216.66666666666666"/>
    <s v="Female"/>
    <x v="2"/>
  </r>
  <r>
    <x v="81"/>
    <n v="6"/>
    <n v="2300"/>
    <s v="Male"/>
    <x v="3"/>
  </r>
  <r>
    <x v="44"/>
    <n v="3"/>
    <n v="366.66666666666669"/>
    <s v="Female"/>
    <x v="0"/>
  </r>
  <r>
    <x v="58"/>
    <n v="5"/>
    <n v="2040"/>
    <s v="Male"/>
    <x v="4"/>
  </r>
  <r>
    <x v="82"/>
    <n v="4"/>
    <n v="287.5"/>
    <s v="Male"/>
    <x v="2"/>
  </r>
  <r>
    <x v="25"/>
    <n v="3"/>
    <n v="216.66666666666666"/>
    <s v="Female"/>
    <x v="2"/>
  </r>
  <r>
    <x v="83"/>
    <n v="4"/>
    <n v="3625"/>
    <s v="Male"/>
    <x v="5"/>
  </r>
  <r>
    <x v="47"/>
    <n v="3"/>
    <n v="1266.6666666666667"/>
    <s v="Female"/>
    <x v="2"/>
  </r>
  <r>
    <x v="2"/>
    <n v="5"/>
    <n v="200"/>
    <s v="Male"/>
    <x v="2"/>
  </r>
  <r>
    <x v="84"/>
    <n v="6"/>
    <n v="208.33333333333334"/>
    <s v="Female"/>
    <x v="0"/>
  </r>
  <r>
    <x v="85"/>
    <n v="5"/>
    <n v="2160"/>
    <s v="Male"/>
    <x v="4"/>
  </r>
  <r>
    <x v="25"/>
    <n v="4"/>
    <n v="162.5"/>
    <s v="Female"/>
    <x v="2"/>
  </r>
  <r>
    <x v="86"/>
    <n v="4"/>
    <n v="3900"/>
    <s v="Male"/>
    <x v="3"/>
  </r>
  <r>
    <x v="87"/>
    <n v="5"/>
    <n v="880"/>
    <s v="Female"/>
    <x v="1"/>
  </r>
  <r>
    <x v="71"/>
    <n v="4"/>
    <n v="450"/>
    <s v="Male"/>
    <x v="2"/>
  </r>
  <r>
    <x v="88"/>
    <n v="3"/>
    <n v="173.33333333333334"/>
    <s v="Female"/>
    <x v="0"/>
  </r>
  <r>
    <x v="89"/>
    <n v="5"/>
    <n v="721.8"/>
    <s v="Male"/>
    <x v="4"/>
  </r>
  <r>
    <x v="1"/>
    <n v="5"/>
    <n v="1840"/>
    <s v="Male"/>
    <x v="2"/>
  </r>
  <r>
    <x v="90"/>
    <n v="6"/>
    <n v="616.66666666666663"/>
    <s v="Female"/>
    <x v="2"/>
  </r>
  <r>
    <x v="10"/>
    <n v="4"/>
    <n v="225"/>
    <s v="Male"/>
    <x v="2"/>
  </r>
  <r>
    <x v="25"/>
    <n v="2"/>
    <n v="325"/>
    <s v="Female"/>
    <x v="2"/>
  </r>
  <r>
    <x v="91"/>
    <n v="5"/>
    <n v="2960"/>
    <s v="Male"/>
    <x v="3"/>
  </r>
  <r>
    <x v="2"/>
    <n v="3"/>
    <n v="333.33333333333331"/>
    <s v="Female"/>
    <x v="0"/>
  </r>
  <r>
    <x v="92"/>
    <n v="5"/>
    <n v="380"/>
    <s v="Male"/>
    <x v="4"/>
  </r>
  <r>
    <x v="46"/>
    <n v="4"/>
    <n v="325"/>
    <s v="Male"/>
    <x v="0"/>
  </r>
  <r>
    <x v="73"/>
    <n v="5"/>
    <n v="80"/>
    <s v="Female"/>
    <x v="1"/>
  </r>
  <r>
    <x v="18"/>
    <n v="4"/>
    <n v="2425"/>
    <s v="Male"/>
    <x v="4"/>
  </r>
  <r>
    <x v="44"/>
    <n v="5"/>
    <n v="220"/>
    <s v="Female"/>
    <x v="0"/>
  </r>
  <r>
    <x v="79"/>
    <n v="3"/>
    <n v="1300"/>
    <s v="Male"/>
    <x v="2"/>
  </r>
  <r>
    <x v="90"/>
    <n v="5"/>
    <n v="740"/>
    <s v="Male"/>
    <x v="4"/>
  </r>
  <r>
    <x v="70"/>
    <n v="2"/>
    <n v="275"/>
    <s v="Female"/>
    <x v="2"/>
  </r>
  <r>
    <x v="33"/>
    <n v="6"/>
    <n v="1833.3333333333333"/>
    <s v="Male"/>
    <x v="2"/>
  </r>
  <r>
    <x v="2"/>
    <n v="3"/>
    <n v="333.33333333333331"/>
    <s v="Female"/>
    <x v="0"/>
  </r>
  <r>
    <x v="38"/>
    <n v="5"/>
    <n v="800"/>
    <s v="Male"/>
    <x v="2"/>
  </r>
  <r>
    <x v="93"/>
    <n v="5"/>
    <n v="310"/>
    <s v="Male"/>
    <x v="2"/>
  </r>
  <r>
    <x v="59"/>
    <n v="5"/>
    <n v="156"/>
    <s v="Female"/>
    <x v="0"/>
  </r>
  <r>
    <x v="94"/>
    <n v="6"/>
    <n v="1916.6666666666667"/>
    <s v="Male"/>
    <x v="2"/>
  </r>
  <r>
    <x v="38"/>
    <n v="4"/>
    <n v="1000"/>
    <s v="Female"/>
    <x v="2"/>
  </r>
  <r>
    <x v="42"/>
    <n v="5"/>
    <n v="840"/>
    <s v="Male"/>
    <x v="4"/>
  </r>
  <r>
    <x v="44"/>
    <n v="4"/>
    <n v="275"/>
    <s v="Female"/>
    <x v="0"/>
  </r>
  <r>
    <x v="26"/>
    <n v="5"/>
    <n v="2400"/>
    <s v="Male"/>
    <x v="4"/>
  </r>
  <r>
    <x v="95"/>
    <n v="3"/>
    <n v="1566.6666666666667"/>
    <s v="Male"/>
    <x v="2"/>
  </r>
  <r>
    <x v="88"/>
    <n v="5"/>
    <n v="104"/>
    <s v="Female"/>
    <x v="1"/>
  </r>
  <r>
    <x v="42"/>
    <n v="4"/>
    <n v="1050"/>
    <s v="Male"/>
    <x v="4"/>
  </r>
  <r>
    <x v="80"/>
    <n v="4"/>
    <n v="362.5"/>
    <s v="Male"/>
    <x v="2"/>
  </r>
  <r>
    <x v="25"/>
    <n v="3"/>
    <n v="216.66666666666666"/>
    <s v="Female"/>
    <x v="0"/>
  </r>
  <r>
    <x v="96"/>
    <n v="4"/>
    <n v="3200"/>
    <s v="Male"/>
    <x v="4"/>
  </r>
  <r>
    <x v="38"/>
    <n v="3"/>
    <n v="1333.3333333333333"/>
    <s v="Female"/>
    <x v="2"/>
  </r>
  <r>
    <x v="38"/>
    <n v="6"/>
    <n v="666.66666666666663"/>
    <s v="Male"/>
    <x v="4"/>
  </r>
  <r>
    <x v="25"/>
    <n v="4"/>
    <n v="162.5"/>
    <s v="Female"/>
    <x v="2"/>
  </r>
  <r>
    <x v="97"/>
    <n v="6"/>
    <n v="1966.6666666666667"/>
    <s v="Male"/>
    <x v="2"/>
  </r>
  <r>
    <x v="87"/>
    <n v="4"/>
    <n v="1100"/>
    <s v="Male"/>
    <x v="2"/>
  </r>
  <r>
    <x v="88"/>
    <n v="4"/>
    <n v="130"/>
    <s v="Female"/>
    <x v="1"/>
  </r>
  <r>
    <x v="34"/>
    <n v="4"/>
    <n v="1125"/>
    <s v="Male"/>
    <x v="4"/>
  </r>
  <r>
    <x v="46"/>
    <n v="3"/>
    <n v="433.33333333333331"/>
    <s v="Male"/>
    <x v="2"/>
  </r>
  <r>
    <x v="45"/>
    <n v="5"/>
    <n v="720"/>
    <s v="Male"/>
    <x v="2"/>
  </r>
  <r>
    <x v="33"/>
    <n v="5"/>
    <n v="2200"/>
    <s v="Male"/>
    <x v="2"/>
  </r>
  <r>
    <x v="25"/>
    <n v="4"/>
    <n v="162.5"/>
    <s v="Female"/>
    <x v="0"/>
  </r>
  <r>
    <x v="2"/>
    <n v="4"/>
    <n v="250"/>
    <s v="Male"/>
    <x v="2"/>
  </r>
  <r>
    <x v="98"/>
    <n v="4"/>
    <n v="105"/>
    <s v="Female"/>
    <x v="1"/>
  </r>
  <r>
    <x v="85"/>
    <n v="5"/>
    <n v="2160"/>
    <s v="Male"/>
    <x v="4"/>
  </r>
  <r>
    <x v="38"/>
    <n v="4"/>
    <n v="1000"/>
    <s v="Male"/>
    <x v="4"/>
  </r>
  <r>
    <x v="2"/>
    <n v="6"/>
    <n v="166.66666666666666"/>
    <s v="Female"/>
    <x v="1"/>
  </r>
  <r>
    <x v="38"/>
    <n v="5"/>
    <n v="800"/>
    <s v="Male"/>
    <x v="2"/>
  </r>
  <r>
    <x v="46"/>
    <n v="5"/>
    <n v="260"/>
    <s v="Male"/>
    <x v="2"/>
  </r>
  <r>
    <x v="99"/>
    <n v="4"/>
    <n v="97.5"/>
    <s v="Female"/>
    <x v="0"/>
  </r>
  <r>
    <x v="0"/>
    <n v="5"/>
    <n v="600"/>
    <s v="Female"/>
    <x v="1"/>
  </r>
  <r>
    <x v="100"/>
    <n v="4"/>
    <n v="2900"/>
    <s v="Male"/>
    <x v="2"/>
  </r>
  <r>
    <x v="25"/>
    <n v="4"/>
    <n v="162.5"/>
    <s v="Female"/>
    <x v="2"/>
  </r>
  <r>
    <x v="50"/>
    <n v="4"/>
    <n v="1075"/>
    <s v="Male"/>
    <x v="4"/>
  </r>
  <r>
    <x v="29"/>
    <n v="4"/>
    <n v="212.5"/>
    <s v="Female"/>
    <x v="0"/>
  </r>
  <r>
    <x v="0"/>
    <n v="4"/>
    <n v="750"/>
    <s v="Male"/>
    <x v="2"/>
  </r>
  <r>
    <x v="101"/>
    <n v="6"/>
    <n v="50"/>
    <s v="Female"/>
    <x v="1"/>
  </r>
  <r>
    <x v="102"/>
    <n v="3"/>
    <n v="933.33333333333337"/>
    <s v="Male"/>
    <x v="2"/>
  </r>
  <r>
    <x v="10"/>
    <n v="4"/>
    <n v="225"/>
    <s v="Female"/>
    <x v="2"/>
  </r>
  <r>
    <x v="38"/>
    <n v="5"/>
    <n v="800"/>
    <s v="Male"/>
    <x v="2"/>
  </r>
  <r>
    <x v="25"/>
    <n v="5"/>
    <n v="130"/>
    <s v="Female"/>
    <x v="0"/>
  </r>
  <r>
    <x v="26"/>
    <n v="4"/>
    <n v="3000"/>
    <s v="Female"/>
    <x v="2"/>
  </r>
  <r>
    <x v="2"/>
    <n v="4"/>
    <n v="250"/>
    <s v="Female"/>
    <x v="1"/>
  </r>
  <r>
    <x v="0"/>
    <n v="4"/>
    <n v="750"/>
    <s v="Male"/>
    <x v="4"/>
  </r>
  <r>
    <x v="29"/>
    <n v="5"/>
    <n v="170"/>
    <s v="Female"/>
    <x v="0"/>
  </r>
  <r>
    <x v="97"/>
    <n v="5"/>
    <n v="2360"/>
    <s v="Male"/>
    <x v="4"/>
  </r>
  <r>
    <x v="0"/>
    <n v="5"/>
    <n v="600"/>
    <s v="Male"/>
    <x v="2"/>
  </r>
  <r>
    <x v="99"/>
    <n v="5"/>
    <n v="78"/>
    <s v="Female"/>
    <x v="0"/>
  </r>
  <r>
    <x v="38"/>
    <n v="4"/>
    <n v="1000"/>
    <s v="Male"/>
    <x v="2"/>
  </r>
  <r>
    <x v="25"/>
    <n v="5"/>
    <n v="130"/>
    <s v="Male"/>
    <x v="2"/>
  </r>
  <r>
    <x v="59"/>
    <n v="4"/>
    <n v="195"/>
    <s v="Female"/>
    <x v="2"/>
  </r>
  <r>
    <x v="103"/>
    <n v="4"/>
    <n v="2075"/>
    <s v="Male"/>
    <x v="4"/>
  </r>
  <r>
    <x v="38"/>
    <n v="4"/>
    <n v="1000"/>
    <s v="Male"/>
    <x v="2"/>
  </r>
  <r>
    <x v="88"/>
    <n v="5"/>
    <n v="104"/>
    <s v="Female"/>
    <x v="1"/>
  </r>
  <r>
    <x v="5"/>
    <n v="5"/>
    <n v="300"/>
    <s v="Male"/>
    <x v="2"/>
  </r>
  <r>
    <x v="104"/>
    <n v="4"/>
    <n v="82.5"/>
    <s v="Male"/>
    <x v="4"/>
  </r>
  <r>
    <x v="88"/>
    <n v="5"/>
    <n v="104"/>
    <s v="Female"/>
    <x v="0"/>
  </r>
  <r>
    <x v="9"/>
    <n v="5"/>
    <n v="1800"/>
    <s v="Male"/>
    <x v="2"/>
  </r>
  <r>
    <x v="105"/>
    <n v="3"/>
    <n v="733.33333333333337"/>
    <s v="Male"/>
    <x v="2"/>
  </r>
  <r>
    <x v="46"/>
    <n v="5"/>
    <n v="260"/>
    <s v="Male"/>
    <x v="1"/>
  </r>
  <r>
    <x v="88"/>
    <n v="5"/>
    <n v="104"/>
    <s v="Female"/>
    <x v="0"/>
  </r>
  <r>
    <x v="31"/>
    <n v="4"/>
    <n v="800"/>
    <s v="Male"/>
    <x v="4"/>
  </r>
  <r>
    <x v="106"/>
    <n v="4"/>
    <n v="227.5"/>
    <s v="Female"/>
    <x v="0"/>
  </r>
  <r>
    <x v="107"/>
    <n v="5"/>
    <n v="2120"/>
    <s v="Male"/>
    <x v="4"/>
  </r>
  <r>
    <x v="79"/>
    <n v="4"/>
    <n v="975"/>
    <s v="Male"/>
    <x v="2"/>
  </r>
  <r>
    <x v="108"/>
    <n v="5"/>
    <n v="70"/>
    <s v="Female"/>
    <x v="1"/>
  </r>
  <r>
    <x v="90"/>
    <n v="4"/>
    <n v="925"/>
    <s v="Male"/>
    <x v="2"/>
  </r>
  <r>
    <x v="46"/>
    <n v="4"/>
    <n v="325"/>
    <s v="Female"/>
    <x v="2"/>
  </r>
  <r>
    <x v="2"/>
    <n v="5"/>
    <n v="200"/>
    <s v="Male"/>
    <x v="2"/>
  </r>
  <r>
    <x v="59"/>
    <n v="4"/>
    <n v="195"/>
    <s v="Female"/>
    <x v="2"/>
  </r>
  <r>
    <x v="47"/>
    <n v="4"/>
    <n v="950"/>
    <s v="Male"/>
    <x v="2"/>
  </r>
  <r>
    <x v="88"/>
    <n v="4"/>
    <n v="130"/>
    <s v="Male"/>
    <x v="2"/>
  </r>
  <r>
    <x v="10"/>
    <n v="4"/>
    <n v="225"/>
    <s v="Female"/>
    <x v="0"/>
  </r>
  <r>
    <x v="63"/>
    <n v="6"/>
    <n v="1650"/>
    <s v="Male"/>
    <x v="2"/>
  </r>
  <r>
    <x v="109"/>
    <n v="3"/>
    <n v="3810"/>
    <s v="Male"/>
    <x v="2"/>
  </r>
  <r>
    <x v="99"/>
    <n v="5"/>
    <n v="78"/>
    <s v="Female"/>
    <x v="2"/>
  </r>
  <r>
    <x v="38"/>
    <n v="5"/>
    <n v="800"/>
    <s v="Male"/>
    <x v="2"/>
  </r>
  <r>
    <x v="21"/>
    <n v="4"/>
    <n v="725"/>
    <s v="Male"/>
    <x v="4"/>
  </r>
  <r>
    <x v="110"/>
    <n v="4"/>
    <n v="267.5"/>
    <s v="Female"/>
    <x v="2"/>
  </r>
  <r>
    <x v="46"/>
    <n v="4"/>
    <n v="325"/>
    <s v="Female"/>
    <x v="0"/>
  </r>
  <r>
    <x v="20"/>
    <n v="4"/>
    <n v="600"/>
    <s v="Male"/>
    <x v="2"/>
  </r>
  <r>
    <x v="66"/>
    <n v="5"/>
    <n v="340"/>
    <s v="Male"/>
    <x v="2"/>
  </r>
  <r>
    <x v="111"/>
    <n v="4"/>
    <n v="1625"/>
    <s v="Male"/>
    <x v="2"/>
  </r>
  <r>
    <x v="10"/>
    <n v="5"/>
    <n v="180"/>
    <s v="Female"/>
    <x v="0"/>
  </r>
  <r>
    <x v="11"/>
    <n v="5"/>
    <n v="400"/>
    <s v="Male"/>
    <x v="4"/>
  </r>
  <r>
    <x v="43"/>
    <n v="4"/>
    <n v="650"/>
    <s v="Male"/>
    <x v="2"/>
  </r>
  <r>
    <x v="105"/>
    <n v="6"/>
    <n v="366.66666666666669"/>
    <s v="Male"/>
    <x v="4"/>
  </r>
  <r>
    <x v="47"/>
    <n v="5"/>
    <n v="760"/>
    <s v="Male"/>
    <x v="2"/>
  </r>
  <r>
    <x v="88"/>
    <n v="4"/>
    <n v="130"/>
    <s v="Female"/>
    <x v="0"/>
  </r>
  <r>
    <x v="33"/>
    <n v="5"/>
    <n v="2200"/>
    <s v="Male"/>
    <x v="4"/>
  </r>
  <r>
    <x v="2"/>
    <n v="3"/>
    <n v="333.33333333333331"/>
    <s v="Female"/>
    <x v="2"/>
  </r>
  <r>
    <x v="112"/>
    <n v="5"/>
    <n v="1880"/>
    <s v="Male"/>
    <x v="2"/>
  </r>
  <r>
    <x v="8"/>
    <n v="5"/>
    <n v="1360"/>
    <s v="Male"/>
    <x v="2"/>
  </r>
  <r>
    <x v="38"/>
    <n v="4"/>
    <n v="1000"/>
    <s v="Male"/>
    <x v="2"/>
  </r>
  <r>
    <x v="99"/>
    <n v="5"/>
    <n v="78"/>
    <s v="Male"/>
    <x v="1"/>
  </r>
  <r>
    <x v="79"/>
    <n v="4"/>
    <n v="975"/>
    <s v="Male"/>
    <x v="4"/>
  </r>
  <r>
    <x v="110"/>
    <n v="5"/>
    <n v="214"/>
    <s v="Female"/>
    <x v="2"/>
  </r>
  <r>
    <x v="46"/>
    <n v="4"/>
    <n v="325"/>
    <s v="Male"/>
    <x v="2"/>
  </r>
  <r>
    <x v="46"/>
    <n v="4"/>
    <n v="325"/>
    <s v="Male"/>
    <x v="4"/>
  </r>
  <r>
    <x v="25"/>
    <n v="5"/>
    <n v="130"/>
    <s v="Female"/>
    <x v="2"/>
  </r>
  <r>
    <x v="88"/>
    <n v="4"/>
    <n v="130"/>
    <s v="Male"/>
    <x v="2"/>
  </r>
  <r>
    <x v="99"/>
    <n v="5"/>
    <n v="78"/>
    <s v="Female"/>
    <x v="1"/>
  </r>
  <r>
    <x v="34"/>
    <n v="4"/>
    <n v="1125"/>
    <s v="Male"/>
    <x v="4"/>
  </r>
  <r>
    <x v="113"/>
    <n v="5"/>
    <n v="286"/>
    <s v="Female"/>
    <x v="2"/>
  </r>
  <r>
    <x v="114"/>
    <n v="5"/>
    <n v="52"/>
    <s v="Female"/>
    <x v="1"/>
  </r>
  <r>
    <x v="115"/>
    <n v="4"/>
    <n v="390"/>
    <s v="Male"/>
    <x v="0"/>
  </r>
  <r>
    <x v="116"/>
    <n v="5"/>
    <n v="338"/>
    <s v="Male"/>
    <x v="2"/>
  </r>
  <r>
    <x v="99"/>
    <n v="5"/>
    <n v="78"/>
    <s v="Female"/>
    <x v="1"/>
  </r>
  <r>
    <x v="45"/>
    <n v="4"/>
    <n v="900"/>
    <s v="Male"/>
    <x v="2"/>
  </r>
  <r>
    <x v="25"/>
    <n v="5"/>
    <n v="130"/>
    <s v="Female"/>
    <x v="2"/>
  </r>
  <r>
    <x v="117"/>
    <n v="6"/>
    <n v="1600"/>
    <s v="Male"/>
    <x v="5"/>
  </r>
  <r>
    <x v="113"/>
    <n v="4"/>
    <n v="357.5"/>
    <s v="Female"/>
    <x v="0"/>
  </r>
  <r>
    <x v="1"/>
    <n v="5"/>
    <n v="1840"/>
    <s v="Male"/>
    <x v="4"/>
  </r>
  <r>
    <x v="88"/>
    <n v="5"/>
    <n v="104"/>
    <s v="Female"/>
    <x v="0"/>
  </r>
  <r>
    <x v="115"/>
    <n v="5"/>
    <n v="312"/>
    <s v="Male"/>
    <x v="2"/>
  </r>
  <r>
    <x v="99"/>
    <n v="5"/>
    <n v="78"/>
    <s v="Female"/>
    <x v="1"/>
  </r>
  <r>
    <x v="118"/>
    <n v="5"/>
    <n v="364"/>
    <s v="Male"/>
    <x v="1"/>
  </r>
  <r>
    <x v="114"/>
    <n v="5"/>
    <n v="52"/>
    <s v="Female"/>
    <x v="1"/>
  </r>
  <r>
    <x v="79"/>
    <n v="4"/>
    <n v="975"/>
    <s v="Male"/>
    <x v="4"/>
  </r>
  <r>
    <x v="99"/>
    <n v="5"/>
    <n v="78"/>
    <s v="Female"/>
    <x v="1"/>
  </r>
  <r>
    <x v="116"/>
    <n v="4"/>
    <n v="422.5"/>
    <s v="Male"/>
    <x v="0"/>
  </r>
  <r>
    <x v="33"/>
    <n v="6"/>
    <n v="1833.3333333333333"/>
    <s v="Male"/>
    <x v="2"/>
  </r>
  <r>
    <x v="25"/>
    <n v="3"/>
    <n v="216.66666666666666"/>
    <s v="Female"/>
    <x v="2"/>
  </r>
  <r>
    <x v="87"/>
    <n v="4"/>
    <n v="1100"/>
    <s v="Male"/>
    <x v="5"/>
  </r>
  <r>
    <x v="99"/>
    <n v="6"/>
    <n v="65"/>
    <s v="Female"/>
    <x v="1"/>
  </r>
  <r>
    <x v="38"/>
    <n v="4"/>
    <n v="1000"/>
    <s v="Male"/>
    <x v="4"/>
  </r>
  <r>
    <x v="113"/>
    <n v="3"/>
    <n v="476.66666666666669"/>
    <s v="Female"/>
    <x v="2"/>
  </r>
  <r>
    <x v="112"/>
    <n v="5"/>
    <n v="1880"/>
    <s v="Male"/>
    <x v="2"/>
  </r>
  <r>
    <x v="15"/>
    <n v="5"/>
    <n v="1760"/>
    <s v="Male"/>
    <x v="2"/>
  </r>
  <r>
    <x v="88"/>
    <n v="4"/>
    <n v="130"/>
    <s v="Female"/>
    <x v="0"/>
  </r>
  <r>
    <x v="90"/>
    <n v="4"/>
    <n v="925"/>
    <s v="Male"/>
    <x v="4"/>
  </r>
  <r>
    <x v="1"/>
    <n v="6"/>
    <n v="1533.3333333333333"/>
    <s v="Male"/>
    <x v="2"/>
  </r>
  <r>
    <x v="59"/>
    <n v="6"/>
    <n v="130"/>
    <s v="Male"/>
    <x v="4"/>
  </r>
  <r>
    <x v="59"/>
    <n v="5"/>
    <n v="156"/>
    <s v="Female"/>
    <x v="2"/>
  </r>
  <r>
    <x v="119"/>
    <n v="5"/>
    <n v="236"/>
    <s v="Male"/>
    <x v="0"/>
  </r>
  <r>
    <x v="45"/>
    <n v="5"/>
    <n v="720"/>
    <s v="Male"/>
    <x v="4"/>
  </r>
  <r>
    <x v="88"/>
    <n v="5"/>
    <n v="104"/>
    <s v="Female"/>
    <x v="1"/>
  </r>
  <r>
    <x v="120"/>
    <n v="5"/>
    <n v="416"/>
    <s v="Male"/>
    <x v="4"/>
  </r>
  <r>
    <x v="99"/>
    <n v="5"/>
    <n v="78"/>
    <s v="Female"/>
    <x v="2"/>
  </r>
  <r>
    <x v="121"/>
    <n v="6"/>
    <n v="725"/>
    <s v="Male"/>
    <x v="2"/>
  </r>
  <r>
    <x v="88"/>
    <n v="5"/>
    <n v="104"/>
    <s v="Male"/>
    <x v="0"/>
  </r>
  <r>
    <x v="109"/>
    <n v="5"/>
    <n v="2286"/>
    <s v="Male"/>
    <x v="2"/>
  </r>
  <r>
    <x v="10"/>
    <n v="5"/>
    <n v="180"/>
    <s v="Male"/>
    <x v="2"/>
  </r>
  <r>
    <x v="106"/>
    <n v="4"/>
    <n v="227.5"/>
    <s v="Male"/>
    <x v="2"/>
  </r>
  <r>
    <x v="115"/>
    <n v="5"/>
    <n v="312"/>
    <s v="Male"/>
    <x v="0"/>
  </r>
  <r>
    <x v="122"/>
    <n v="5"/>
    <n v="832"/>
    <s v="Male"/>
    <x v="4"/>
  </r>
  <r>
    <x v="88"/>
    <n v="5"/>
    <n v="104"/>
    <s v="Female"/>
    <x v="0"/>
  </r>
  <r>
    <x v="115"/>
    <n v="5"/>
    <n v="312"/>
    <s v="Male"/>
    <x v="2"/>
  </r>
  <r>
    <x v="99"/>
    <n v="5"/>
    <n v="78"/>
    <s v="Female"/>
    <x v="0"/>
  </r>
  <r>
    <x v="123"/>
    <n v="4"/>
    <n v="1137.5"/>
    <s v="Male"/>
    <x v="2"/>
  </r>
  <r>
    <x v="25"/>
    <n v="4"/>
    <n v="162.5"/>
    <s v="Female"/>
    <x v="2"/>
  </r>
  <r>
    <x v="113"/>
    <n v="4"/>
    <n v="357.5"/>
    <s v="Male"/>
    <x v="4"/>
  </r>
  <r>
    <x v="124"/>
    <n v="5"/>
    <n v="208"/>
    <s v="Male"/>
    <x v="2"/>
  </r>
  <r>
    <x v="59"/>
    <n v="3"/>
    <n v="260"/>
    <s v="Female"/>
    <x v="2"/>
  </r>
  <r>
    <x v="125"/>
    <n v="4"/>
    <n v="1800"/>
    <s v="Male"/>
    <x v="4"/>
  </r>
  <r>
    <x v="126"/>
    <n v="4"/>
    <n v="292.5"/>
    <s v="Female"/>
    <x v="0"/>
  </r>
  <r>
    <x v="127"/>
    <n v="5"/>
    <n v="650"/>
    <s v="Male"/>
    <x v="5"/>
  </r>
  <r>
    <x v="123"/>
    <n v="3"/>
    <n v="1516.6666666666667"/>
    <s v="Male"/>
    <x v="2"/>
  </r>
  <r>
    <x v="88"/>
    <n v="4"/>
    <n v="130"/>
    <s v="Female"/>
    <x v="1"/>
  </r>
  <r>
    <x v="113"/>
    <n v="5"/>
    <n v="286"/>
    <s v="Male"/>
    <x v="0"/>
  </r>
  <r>
    <x v="59"/>
    <n v="6"/>
    <n v="130"/>
    <s v="Male"/>
    <x v="4"/>
  </r>
  <r>
    <x v="128"/>
    <n v="3"/>
    <n v="1366.6666666666667"/>
    <s v="Male"/>
    <x v="3"/>
  </r>
  <r>
    <x v="106"/>
    <n v="5"/>
    <n v="182"/>
    <s v="Male"/>
    <x v="1"/>
  </r>
  <r>
    <x v="106"/>
    <n v="3"/>
    <n v="303.33333333333331"/>
    <s v="Female"/>
    <x v="2"/>
  </r>
  <r>
    <x v="46"/>
    <n v="4"/>
    <n v="325"/>
    <s v="Male"/>
    <x v="1"/>
  </r>
  <r>
    <x v="129"/>
    <n v="6"/>
    <n v="606.66666666666663"/>
    <s v="Male"/>
    <x v="4"/>
  </r>
  <r>
    <x v="99"/>
    <n v="4"/>
    <n v="97.5"/>
    <s v="Female"/>
    <x v="1"/>
  </r>
  <r>
    <x v="118"/>
    <n v="3"/>
    <n v="606.66666666666663"/>
    <s v="Male"/>
    <x v="4"/>
  </r>
  <r>
    <x v="88"/>
    <n v="5"/>
    <n v="104"/>
    <s v="Female"/>
    <x v="1"/>
  </r>
  <r>
    <x v="79"/>
    <n v="4"/>
    <n v="975"/>
    <s v="Male"/>
    <x v="5"/>
  </r>
  <r>
    <x v="126"/>
    <n v="4"/>
    <n v="292.5"/>
    <s v="Male"/>
    <x v="0"/>
  </r>
  <r>
    <x v="59"/>
    <n v="3"/>
    <n v="260"/>
    <s v="Female"/>
    <x v="2"/>
  </r>
  <r>
    <x v="106"/>
    <n v="4"/>
    <n v="227.5"/>
    <s v="Male"/>
    <x v="2"/>
  </r>
  <r>
    <x v="25"/>
    <n v="3"/>
    <n v="216.66666666666666"/>
    <s v="Female"/>
    <x v="2"/>
  </r>
  <r>
    <x v="115"/>
    <n v="5"/>
    <n v="312"/>
    <s v="Male"/>
    <x v="0"/>
  </r>
  <r>
    <x v="130"/>
    <n v="6"/>
    <n v="585"/>
    <s v="Male"/>
    <x v="4"/>
  </r>
  <r>
    <x v="99"/>
    <n v="4"/>
    <n v="97.5"/>
    <s v="Female"/>
    <x v="1"/>
  </r>
  <r>
    <x v="120"/>
    <n v="3"/>
    <n v="693.33333333333337"/>
    <s v="Male"/>
    <x v="4"/>
  </r>
  <r>
    <x v="99"/>
    <n v="5"/>
    <n v="78"/>
    <s v="Female"/>
    <x v="1"/>
  </r>
  <r>
    <x v="122"/>
    <n v="4"/>
    <n v="1040"/>
    <s v="Male"/>
    <x v="5"/>
  </r>
  <r>
    <x v="88"/>
    <n v="6"/>
    <n v="86.666666666666671"/>
    <s v="Male"/>
    <x v="0"/>
  </r>
  <r>
    <x v="113"/>
    <n v="3"/>
    <n v="476.66666666666669"/>
    <s v="Male"/>
    <x v="2"/>
  </r>
  <r>
    <x v="106"/>
    <n v="4"/>
    <n v="227.5"/>
    <s v="Male"/>
    <x v="2"/>
  </r>
  <r>
    <x v="25"/>
    <n v="3"/>
    <n v="216.66666666666666"/>
    <s v="Female"/>
    <x v="2"/>
  </r>
  <r>
    <x v="126"/>
    <n v="5"/>
    <n v="234"/>
    <s v="Male"/>
    <x v="0"/>
  </r>
  <r>
    <x v="10"/>
    <n v="4"/>
    <n v="225"/>
    <s v="Male"/>
    <x v="0"/>
  </r>
  <r>
    <x v="131"/>
    <n v="6"/>
    <n v="563.33333333333337"/>
    <s v="Male"/>
    <x v="4"/>
  </r>
  <r>
    <x v="99"/>
    <n v="4"/>
    <n v="97.5"/>
    <s v="Female"/>
    <x v="1"/>
  </r>
  <r>
    <x v="132"/>
    <n v="3"/>
    <n v="650"/>
    <s v="Male"/>
    <x v="4"/>
  </r>
  <r>
    <x v="99"/>
    <n v="5"/>
    <n v="78"/>
    <s v="Female"/>
    <x v="1"/>
  </r>
  <r>
    <x v="121"/>
    <n v="4"/>
    <n v="1087.5"/>
    <s v="Male"/>
    <x v="5"/>
  </r>
  <r>
    <x v="88"/>
    <n v="6"/>
    <n v="86.666666666666671"/>
    <s v="Male"/>
    <x v="0"/>
  </r>
  <r>
    <x v="115"/>
    <n v="3"/>
    <n v="520"/>
    <s v="Male"/>
    <x v="2"/>
  </r>
  <r>
    <x v="98"/>
    <n v="5"/>
    <n v="84"/>
    <s v="Female"/>
    <x v="0"/>
  </r>
  <r>
    <x v="133"/>
    <n v="5"/>
    <n v="768"/>
    <s v="Male"/>
    <x v="2"/>
  </r>
  <r>
    <x v="134"/>
    <n v="5"/>
    <n v="1080"/>
    <s v="Male"/>
    <x v="4"/>
  </r>
  <r>
    <x v="135"/>
    <n v="4"/>
    <n v="220"/>
    <s v="Female"/>
    <x v="2"/>
  </r>
  <r>
    <x v="11"/>
    <n v="5"/>
    <n v="400"/>
    <s v="Male"/>
    <x v="4"/>
  </r>
  <r>
    <x v="12"/>
    <n v="3"/>
    <n v="766.66666666666663"/>
    <s v="Male"/>
    <x v="2"/>
  </r>
  <r>
    <x v="2"/>
    <n v="5"/>
    <n v="200"/>
    <s v="Male"/>
    <x v="0"/>
  </r>
  <r>
    <x v="102"/>
    <n v="4"/>
    <n v="700"/>
    <s v="Female"/>
    <x v="4"/>
  </r>
  <r>
    <x v="56"/>
    <n v="6"/>
    <n v="96.666666666666671"/>
    <s v="Male"/>
    <x v="2"/>
  </r>
  <r>
    <x v="113"/>
    <n v="4"/>
    <n v="357.5"/>
    <s v="Male"/>
    <x v="2"/>
  </r>
  <r>
    <x v="25"/>
    <n v="3"/>
    <n v="216.66666666666666"/>
    <s v="Female"/>
    <x v="1"/>
  </r>
  <r>
    <x v="75"/>
    <n v="6"/>
    <n v="1300"/>
    <s v="Male"/>
    <x v="4"/>
  </r>
  <r>
    <x v="40"/>
    <n v="3"/>
    <n v="1600"/>
    <s v="Male"/>
    <x v="5"/>
  </r>
  <r>
    <x v="99"/>
    <n v="5"/>
    <n v="78"/>
    <s v="Female"/>
    <x v="1"/>
  </r>
  <r>
    <x v="68"/>
    <n v="4"/>
    <n v="875"/>
    <s v="Male"/>
    <x v="4"/>
  </r>
  <r>
    <x v="2"/>
    <n v="5"/>
    <n v="200"/>
    <s v="Male"/>
    <x v="0"/>
  </r>
  <r>
    <x v="136"/>
    <n v="5"/>
    <n v="420"/>
    <s v="Male"/>
    <x v="4"/>
  </r>
  <r>
    <x v="126"/>
    <n v="4"/>
    <n v="292.5"/>
    <s v="Male"/>
    <x v="0"/>
  </r>
  <r>
    <x v="31"/>
    <n v="4"/>
    <n v="800"/>
    <s v="Female"/>
    <x v="4"/>
  </r>
  <r>
    <x v="113"/>
    <n v="4"/>
    <n v="357.5"/>
    <s v="Female"/>
    <x v="2"/>
  </r>
  <r>
    <x v="137"/>
    <n v="6"/>
    <n v="1550"/>
    <s v="Male"/>
    <x v="4"/>
  </r>
  <r>
    <x v="59"/>
    <n v="6"/>
    <n v="130"/>
    <s v="Female"/>
    <x v="0"/>
  </r>
  <r>
    <x v="59"/>
    <n v="6"/>
    <n v="130"/>
    <s v="Male"/>
    <x v="1"/>
  </r>
  <r>
    <x v="45"/>
    <n v="4"/>
    <n v="900"/>
    <s v="Male"/>
    <x v="2"/>
  </r>
  <r>
    <x v="45"/>
    <n v="5"/>
    <n v="720"/>
    <s v="Female"/>
    <x v="2"/>
  </r>
  <r>
    <x v="39"/>
    <n v="6"/>
    <n v="1250"/>
    <s v="Male"/>
    <x v="4"/>
  </r>
  <r>
    <x v="4"/>
    <n v="3"/>
    <n v="400"/>
    <s v="Male"/>
    <x v="4"/>
  </r>
  <r>
    <x v="138"/>
    <n v="5"/>
    <n v="86"/>
    <s v="Female"/>
    <x v="1"/>
  </r>
  <r>
    <x v="2"/>
    <n v="3"/>
    <n v="333.33333333333331"/>
    <s v="Male"/>
    <x v="2"/>
  </r>
  <r>
    <x v="44"/>
    <n v="3"/>
    <n v="366.66666666666669"/>
    <s v="Male"/>
    <x v="2"/>
  </r>
  <r>
    <x v="0"/>
    <n v="5"/>
    <n v="600"/>
    <s v="Male"/>
    <x v="4"/>
  </r>
  <r>
    <x v="10"/>
    <n v="5"/>
    <n v="180"/>
    <s v="Female"/>
    <x v="0"/>
  </r>
  <r>
    <x v="92"/>
    <n v="5"/>
    <n v="380"/>
    <s v="Female"/>
    <x v="4"/>
  </r>
  <r>
    <x v="25"/>
    <n v="3"/>
    <n v="216.66666666666666"/>
    <s v="Female"/>
    <x v="2"/>
  </r>
  <r>
    <x v="67"/>
    <n v="6"/>
    <n v="1450"/>
    <s v="Male"/>
    <x v="2"/>
  </r>
  <r>
    <x v="0"/>
    <n v="3"/>
    <n v="1000"/>
    <s v="Female"/>
    <x v="4"/>
  </r>
  <r>
    <x v="45"/>
    <n v="4"/>
    <n v="900"/>
    <s v="Male"/>
    <x v="4"/>
  </r>
  <r>
    <x v="49"/>
    <n v="5"/>
    <n v="120"/>
    <s v="Female"/>
    <x v="2"/>
  </r>
  <r>
    <x v="46"/>
    <n v="5"/>
    <n v="260"/>
    <s v="Male"/>
    <x v="2"/>
  </r>
  <r>
    <x v="0"/>
    <n v="5"/>
    <n v="600"/>
    <s v="Male"/>
    <x v="5"/>
  </r>
  <r>
    <x v="139"/>
    <n v="5"/>
    <n v="196"/>
    <s v="Male"/>
    <x v="0"/>
  </r>
  <r>
    <x v="106"/>
    <n v="6"/>
    <n v="151.66666666666666"/>
    <s v="Male"/>
    <x v="2"/>
  </r>
  <r>
    <x v="12"/>
    <n v="4"/>
    <n v="575"/>
    <s v="Female"/>
    <x v="4"/>
  </r>
  <r>
    <x v="12"/>
    <n v="4"/>
    <n v="575"/>
    <s v="Male"/>
    <x v="2"/>
  </r>
  <r>
    <x v="140"/>
    <n v="4"/>
    <n v="157.5"/>
    <s v="Female"/>
    <x v="1"/>
  </r>
  <r>
    <x v="118"/>
    <n v="4"/>
    <n v="455"/>
    <s v="Male"/>
    <x v="2"/>
  </r>
  <r>
    <x v="79"/>
    <n v="5"/>
    <n v="780"/>
    <s v="Male"/>
    <x v="4"/>
  </r>
  <r>
    <x v="59"/>
    <n v="5"/>
    <n v="156"/>
    <s v="Female"/>
    <x v="2"/>
  </r>
  <r>
    <x v="31"/>
    <n v="5"/>
    <n v="640"/>
    <s v="Male"/>
    <x v="2"/>
  </r>
  <r>
    <x v="77"/>
    <n v="5"/>
    <n v="1340"/>
    <s v="Male"/>
    <x v="2"/>
  </r>
  <r>
    <x v="59"/>
    <n v="4"/>
    <n v="195"/>
    <s v="Female"/>
    <x v="0"/>
  </r>
  <r>
    <x v="79"/>
    <n v="4"/>
    <n v="975"/>
    <s v="Male"/>
    <x v="3"/>
  </r>
  <r>
    <x v="141"/>
    <n v="3"/>
    <n v="1173.3333333333333"/>
    <s v="Female"/>
    <x v="5"/>
  </r>
  <r>
    <x v="142"/>
    <n v="6"/>
    <n v="174.83333333333334"/>
    <s v="Male"/>
    <x v="1"/>
  </r>
  <r>
    <x v="143"/>
    <n v="4"/>
    <n v="132.5"/>
    <s v="Female"/>
    <x v="1"/>
  </r>
  <r>
    <x v="144"/>
    <n v="3"/>
    <n v="1630"/>
    <s v="Male"/>
    <x v="5"/>
  </r>
  <r>
    <x v="119"/>
    <n v="3"/>
    <n v="393.33333333333331"/>
    <s v="Female"/>
    <x v="4"/>
  </r>
  <r>
    <x v="145"/>
    <n v="5"/>
    <n v="1620"/>
    <s v="Male"/>
    <x v="4"/>
  </r>
  <r>
    <x v="43"/>
    <n v="5"/>
    <n v="520"/>
    <s v="Male"/>
    <x v="3"/>
  </r>
  <r>
    <x v="0"/>
    <n v="4"/>
    <n v="750"/>
    <s v="Female"/>
    <x v="0"/>
  </r>
  <r>
    <x v="146"/>
    <n v="6"/>
    <n v="92.5"/>
    <s v="Female"/>
    <x v="1"/>
  </r>
  <r>
    <x v="25"/>
    <n v="5"/>
    <n v="130"/>
    <s v="Female"/>
    <x v="0"/>
  </r>
  <r>
    <x v="37"/>
    <n v="6"/>
    <n v="125"/>
    <s v="Female"/>
    <x v="0"/>
  </r>
  <r>
    <x v="54"/>
    <n v="6"/>
    <n v="158.33333333333334"/>
    <s v="Female"/>
    <x v="0"/>
  </r>
  <r>
    <x v="2"/>
    <n v="6"/>
    <n v="166.66666666666666"/>
    <s v="Female"/>
    <x v="1"/>
  </r>
  <r>
    <x v="0"/>
    <n v="4"/>
    <n v="750"/>
    <s v="Female"/>
    <x v="0"/>
  </r>
  <r>
    <x v="2"/>
    <n v="6"/>
    <n v="166.66666666666666"/>
    <s v="Female"/>
    <x v="0"/>
  </r>
  <r>
    <x v="37"/>
    <n v="3"/>
    <n v="250"/>
    <s v="Male"/>
    <x v="0"/>
  </r>
  <r>
    <x v="54"/>
    <n v="3"/>
    <n v="316.66666666666669"/>
    <s v="Male"/>
    <x v="0"/>
  </r>
  <r>
    <x v="43"/>
    <n v="5"/>
    <n v="520"/>
    <s v="Male"/>
    <x v="2"/>
  </r>
  <r>
    <x v="145"/>
    <n v="6"/>
    <n v="1350"/>
    <s v="Male"/>
    <x v="2"/>
  </r>
  <r>
    <x v="126"/>
    <n v="4"/>
    <n v="292.5"/>
    <s v="Female"/>
    <x v="2"/>
  </r>
  <r>
    <x v="147"/>
    <n v="4"/>
    <n v="1120"/>
    <s v="Male"/>
    <x v="2"/>
  </r>
  <r>
    <x v="130"/>
    <n v="4"/>
    <n v="877.5"/>
    <s v="Male"/>
    <x v="4"/>
  </r>
  <r>
    <x v="88"/>
    <n v="5"/>
    <n v="104"/>
    <s v="Female"/>
    <x v="1"/>
  </r>
  <r>
    <x v="125"/>
    <n v="5"/>
    <n v="1440"/>
    <s v="Male"/>
    <x v="4"/>
  </r>
  <r>
    <x v="115"/>
    <n v="3"/>
    <n v="520"/>
    <s v="Male"/>
    <x v="2"/>
  </r>
  <r>
    <x v="88"/>
    <n v="5"/>
    <n v="104"/>
    <s v="Female"/>
    <x v="1"/>
  </r>
  <r>
    <x v="119"/>
    <n v="5"/>
    <n v="236"/>
    <s v="Male"/>
    <x v="2"/>
  </r>
  <r>
    <x v="148"/>
    <n v="5"/>
    <n v="1320"/>
    <s v="Male"/>
    <x v="2"/>
  </r>
  <r>
    <x v="149"/>
    <n v="5"/>
    <n v="136"/>
    <s v="Female"/>
    <x v="2"/>
  </r>
  <r>
    <x v="11"/>
    <n v="5"/>
    <n v="400"/>
    <s v="Female"/>
    <x v="4"/>
  </r>
  <r>
    <x v="150"/>
    <m/>
    <m/>
    <m/>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G2:H10" firstHeaderRow="1" firstDataRow="1" firstDataCol="1"/>
  <pivotFields count="5">
    <pivotField dataField="1" showAll="0">
      <items count="152">
        <item x="35"/>
        <item x="114"/>
        <item x="101"/>
        <item x="104"/>
        <item x="108"/>
        <item x="99"/>
        <item x="73"/>
        <item x="98"/>
        <item x="138"/>
        <item x="72"/>
        <item x="27"/>
        <item x="88"/>
        <item x="143"/>
        <item x="70"/>
        <item x="146"/>
        <item x="56"/>
        <item x="49"/>
        <item x="140"/>
        <item x="25"/>
        <item x="149"/>
        <item x="32"/>
        <item x="48"/>
        <item x="37"/>
        <item x="59"/>
        <item x="61"/>
        <item x="29"/>
        <item x="135"/>
        <item x="10"/>
        <item x="106"/>
        <item x="54"/>
        <item x="139"/>
        <item x="64"/>
        <item x="2"/>
        <item x="124"/>
        <item x="142"/>
        <item x="110"/>
        <item x="44"/>
        <item x="82"/>
        <item x="126"/>
        <item x="119"/>
        <item x="4"/>
        <item x="84"/>
        <item x="46"/>
        <item x="30"/>
        <item x="113"/>
        <item x="80"/>
        <item x="5"/>
        <item x="93"/>
        <item x="115"/>
        <item x="69"/>
        <item x="116"/>
        <item x="66"/>
        <item x="71"/>
        <item x="118"/>
        <item x="92"/>
        <item x="132"/>
        <item x="11"/>
        <item x="120"/>
        <item x="136"/>
        <item x="105"/>
        <item x="12"/>
        <item x="20"/>
        <item x="52"/>
        <item x="43"/>
        <item x="16"/>
        <item x="102"/>
        <item x="21"/>
        <item x="0"/>
        <item x="31"/>
        <item x="127"/>
        <item x="131"/>
        <item x="51"/>
        <item x="68"/>
        <item x="130"/>
        <item x="141"/>
        <item x="45"/>
        <item x="89"/>
        <item x="129"/>
        <item x="90"/>
        <item x="47"/>
        <item x="133"/>
        <item x="79"/>
        <item x="38"/>
        <item x="128"/>
        <item x="122"/>
        <item x="42"/>
        <item x="50"/>
        <item x="121"/>
        <item x="87"/>
        <item x="147"/>
        <item x="34"/>
        <item x="123"/>
        <item x="78"/>
        <item x="95"/>
        <item x="40"/>
        <item x="144"/>
        <item x="62"/>
        <item x="36"/>
        <item x="17"/>
        <item x="134"/>
        <item x="24"/>
        <item x="55"/>
        <item x="28"/>
        <item x="14"/>
        <item x="60"/>
        <item x="111"/>
        <item x="148"/>
        <item x="77"/>
        <item x="8"/>
        <item x="23"/>
        <item x="57"/>
        <item x="125"/>
        <item x="39"/>
        <item x="75"/>
        <item x="7"/>
        <item x="145"/>
        <item x="19"/>
        <item x="103"/>
        <item x="22"/>
        <item x="67"/>
        <item x="15"/>
        <item x="9"/>
        <item x="1"/>
        <item x="137"/>
        <item x="112"/>
        <item x="6"/>
        <item x="117"/>
        <item x="18"/>
        <item x="63"/>
        <item x="3"/>
        <item x="58"/>
        <item x="107"/>
        <item x="85"/>
        <item x="33"/>
        <item x="13"/>
        <item x="109"/>
        <item x="94"/>
        <item x="100"/>
        <item x="97"/>
        <item x="26"/>
        <item x="74"/>
        <item x="96"/>
        <item x="76"/>
        <item x="81"/>
        <item x="41"/>
        <item x="83"/>
        <item x="91"/>
        <item x="65"/>
        <item x="86"/>
        <item x="53"/>
        <item x="150"/>
        <item t="default"/>
      </items>
    </pivotField>
    <pivotField showAll="0"/>
    <pivotField showAll="0"/>
    <pivotField showAll="0"/>
    <pivotField axis="axisRow" showAll="0">
      <items count="8">
        <item x="1"/>
        <item x="2"/>
        <item x="4"/>
        <item x="5"/>
        <item x="3"/>
        <item x="0"/>
        <item x="6"/>
        <item t="default"/>
      </items>
    </pivotField>
  </pivotFields>
  <rowFields count="1">
    <field x="4"/>
  </rowFields>
  <rowItems count="8">
    <i>
      <x/>
    </i>
    <i>
      <x v="1"/>
    </i>
    <i>
      <x v="2"/>
    </i>
    <i>
      <x v="3"/>
    </i>
    <i>
      <x v="4"/>
    </i>
    <i>
      <x v="5"/>
    </i>
    <i>
      <x v="6"/>
    </i>
    <i t="grand">
      <x/>
    </i>
  </rowItems>
  <colItems count="1">
    <i/>
  </colItems>
  <dataFields count="1">
    <dataField name="Count of Total_monthly_fuel_expense _x000a_" fld="0"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2:E5" firstHeaderRow="0" firstDataRow="1" firstDataCol="1"/>
  <pivotFields count="6">
    <pivotField dataField="1" showAll="0"/>
    <pivotField dataField="1" showAll="0"/>
    <pivotField dataField="1" showAll="0"/>
    <pivotField dataField="1" showAll="0"/>
    <pivotField showAll="0"/>
    <pivotField axis="axisRow" showAll="0">
      <items count="3">
        <item x="0"/>
        <item x="1"/>
        <item t="default"/>
      </items>
    </pivotField>
  </pivotFields>
  <rowFields count="1">
    <field x="5"/>
  </rowFields>
  <rowItems count="3">
    <i>
      <x/>
    </i>
    <i>
      <x v="1"/>
    </i>
    <i t="grand">
      <x/>
    </i>
  </rowItems>
  <colFields count="1">
    <field x="-2"/>
  </colFields>
  <colItems count="4">
    <i>
      <x/>
    </i>
    <i i="1">
      <x v="1"/>
    </i>
    <i i="2">
      <x v="2"/>
    </i>
    <i i="3">
      <x v="3"/>
    </i>
  </colItems>
  <dataFields count="4">
    <dataField name="Sum of Has_Bike" fld="0" baseField="5" baseItem="0"/>
    <dataField name="Sum of Has_Car" fld="2" baseField="5" baseItem="0"/>
    <dataField name="Sum of Has_Scooty" fld="1" baseField="5" baseItem="0"/>
    <dataField name="Sum of Has_Commercial" fld="3" baseField="5" baseItem="0"/>
  </dataFields>
  <formats count="4">
    <format dxfId="68">
      <pivotArea field="5" type="button" dataOnly="0" labelOnly="1" outline="0" axis="axisRow" fieldPosition="0"/>
    </format>
    <format dxfId="67">
      <pivotArea dataOnly="0" labelOnly="1" outline="0" fieldPosition="0">
        <references count="1">
          <reference field="4294967294" count="4">
            <x v="0"/>
            <x v="1"/>
            <x v="2"/>
            <x v="3"/>
          </reference>
        </references>
      </pivotArea>
    </format>
    <format dxfId="66">
      <pivotArea outline="0" collapsedLevelsAreSubtotals="1" fieldPosition="0"/>
    </format>
    <format dxfId="65">
      <pivotArea dataOnly="0" labelOnly="1" outline="0" fieldPosition="0">
        <references count="1">
          <reference field="4294967294" count="4">
            <x v="0"/>
            <x v="1"/>
            <x v="2"/>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F22" firstHeaderRow="0" firstDataRow="1" firstDataCol="1"/>
  <pivotFields count="6">
    <pivotField axis="axisRow" showAll="0">
      <items count="19">
        <item x="15"/>
        <item x="13"/>
        <item x="0"/>
        <item x="4"/>
        <item x="3"/>
        <item x="9"/>
        <item x="1"/>
        <item x="7"/>
        <item x="14"/>
        <item x="10"/>
        <item x="6"/>
        <item x="8"/>
        <item x="12"/>
        <item x="5"/>
        <item x="16"/>
        <item x="17"/>
        <item x="2"/>
        <item x="11"/>
        <item t="default"/>
      </items>
    </pivotField>
    <pivotField dataField="1" showAll="0"/>
    <pivotField dataField="1" showAll="0"/>
    <pivotField dataField="1" showAll="0"/>
    <pivotField dataField="1" showAll="0"/>
    <pivotField dataField="1" numFmtId="1" showAl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5">
    <i>
      <x/>
    </i>
    <i i="1">
      <x v="1"/>
    </i>
    <i i="2">
      <x v="2"/>
    </i>
    <i i="3">
      <x v="3"/>
    </i>
    <i i="4">
      <x v="4"/>
    </i>
  </colItems>
  <dataFields count="5">
    <dataField name="Avg_Bike_Fuel(L/month)" fld="1" subtotal="average" baseField="0" baseItem="0"/>
    <dataField name="Avg_Scooty_Fuel_(L/month)" fld="2" subtotal="average" baseField="0" baseItem="0"/>
    <dataField name="Avg_Car_Fuel(L/month)" fld="3" subtotal="average" baseField="0" baseItem="0"/>
    <dataField name="Ave_Commercial_Fuel(L/month)" fld="4" subtotal="average" baseField="0" baseItem="0"/>
    <dataField name="Sum of Total_monthly_fuel_expense _x000a_" fld="5" baseField="0" baseItem="0"/>
  </dataFields>
  <formats count="5">
    <format dxfId="61">
      <pivotArea dataOnly="0" labelOnly="1" outline="0" fieldPosition="0">
        <references count="1">
          <reference field="4294967294" count="1">
            <x v="0"/>
          </reference>
        </references>
      </pivotArea>
    </format>
    <format dxfId="60">
      <pivotArea dataOnly="0" labelOnly="1" outline="0" fieldPosition="0">
        <references count="1">
          <reference field="4294967294" count="1">
            <x v="1"/>
          </reference>
        </references>
      </pivotArea>
    </format>
    <format dxfId="59">
      <pivotArea dataOnly="0" labelOnly="1" outline="0" fieldPosition="0">
        <references count="1">
          <reference field="4294967294" count="1">
            <x v="2"/>
          </reference>
        </references>
      </pivotArea>
    </format>
    <format dxfId="58">
      <pivotArea dataOnly="0" labelOnly="1" outline="0" fieldPosition="0">
        <references count="1">
          <reference field="4294967294" count="1">
            <x v="3"/>
          </reference>
        </references>
      </pivotArea>
    </format>
    <format dxfId="57">
      <pivotArea dataOnly="0" labelOnly="1" outline="0" fieldPosition="0">
        <references count="1">
          <reference field="4294967294" count="1">
            <x v="4"/>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1:B5" firstHeaderRow="1" firstDataRow="1" firstDataCol="1"/>
  <pivotFields count="2">
    <pivotField axis="axisRow" showAll="0">
      <items count="5">
        <item x="0"/>
        <item x="2"/>
        <item x="3"/>
        <item x="1"/>
        <item t="default"/>
      </items>
    </pivotField>
    <pivotField dataField="1" showAll="0" defaultSubtotal="0"/>
  </pivotFields>
  <rowFields count="1">
    <field x="0"/>
  </rowFields>
  <rowItems count="4">
    <i>
      <x/>
    </i>
    <i>
      <x v="1"/>
    </i>
    <i>
      <x v="2"/>
    </i>
    <i>
      <x v="3"/>
    </i>
  </rowItems>
  <colItems count="1">
    <i/>
  </colItems>
  <dataFields count="1">
    <dataField name="Average of Avg Monthly Fuel Expense" fld="1" subtotal="average" baseField="0" baseItem="1"/>
  </dataFields>
  <chartFormats count="5">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L1:M4" firstHeaderRow="1" firstDataRow="1" firstDataCol="1"/>
  <pivotFields count="29">
    <pivotField numFmtId="1" showAll="0"/>
    <pivotField axis="axisRow" showAll="0">
      <items count="3">
        <item x="0"/>
        <item x="1"/>
        <item t="default"/>
      </items>
    </pivotField>
    <pivotField showAll="0">
      <items count="7">
        <item x="1"/>
        <item x="2"/>
        <item x="4"/>
        <item x="5"/>
        <item x="3"/>
        <item x="0"/>
        <item t="default"/>
      </items>
    </pivotField>
    <pivotField numFmtId="1"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showAll="0"/>
    <pivotField numFmtId="1" showAll="0"/>
    <pivotField showAll="0"/>
    <pivotField showAll="0"/>
    <pivotField showAll="0"/>
    <pivotField numFmtId="1" showAll="0"/>
  </pivotFields>
  <rowFields count="1">
    <field x="1"/>
  </rowFields>
  <rowItems count="3">
    <i>
      <x/>
    </i>
    <i>
      <x v="1"/>
    </i>
    <i t="grand">
      <x/>
    </i>
  </rowItems>
  <colItems count="1">
    <i/>
  </colItems>
  <dataFields count="1">
    <dataField name="Count of Total_monthly_fuel_expense " fld="22" subtotal="count" baseField="1" baseItem="0"/>
  </dataFields>
  <chartFormats count="1">
    <chartFormat chart="1"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1:I6" firstHeaderRow="1" firstDataRow="1" firstDataCol="1"/>
  <pivotFields count="29">
    <pivotField numFmtId="1" showAll="0"/>
    <pivotField showAll="0">
      <items count="3">
        <item x="0"/>
        <item x="1"/>
        <item t="default"/>
      </items>
    </pivotField>
    <pivotField showAll="0">
      <items count="7">
        <item x="1"/>
        <item x="2"/>
        <item x="4"/>
        <item x="5"/>
        <item x="3"/>
        <item x="0"/>
        <item t="default"/>
      </items>
    </pivotField>
    <pivotField numFmtId="1" showAll="0"/>
    <pivotField axis="axisRow" numFmtId="1"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showAll="0"/>
    <pivotField numFmtId="1" showAll="0"/>
    <pivotField showAll="0"/>
    <pivotField showAll="0"/>
    <pivotField showAll="0"/>
    <pivotField numFmtId="1" showAll="0"/>
  </pivotFields>
  <rowFields count="1">
    <field x="4"/>
  </rowFields>
  <rowItems count="5">
    <i>
      <x/>
    </i>
    <i>
      <x v="1"/>
    </i>
    <i>
      <x v="2"/>
    </i>
    <i>
      <x v="3"/>
    </i>
    <i t="grand">
      <x/>
    </i>
  </rowItems>
  <colItems count="1">
    <i/>
  </colItems>
  <dataFields count="1">
    <dataField name="Average of Total_monthly_fuel_expense " fld="22" subtotal="average" baseField="4" baseItem="0"/>
  </dataFields>
  <chartFormats count="1">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D1:E8" firstHeaderRow="1" firstDataRow="1" firstDataCol="1"/>
  <pivotFields count="29">
    <pivotField numFmtId="1" showAll="0"/>
    <pivotField showAll="0">
      <items count="3">
        <item x="0"/>
        <item x="1"/>
        <item t="default"/>
      </items>
    </pivotField>
    <pivotField axis="axisRow" showAll="0">
      <items count="7">
        <item x="1"/>
        <item x="2"/>
        <item x="4"/>
        <item x="5"/>
        <item x="3"/>
        <item x="0"/>
        <item t="default"/>
      </items>
    </pivotField>
    <pivotField numFmtId="1"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showAll="0"/>
    <pivotField numFmtId="1" showAll="0"/>
    <pivotField showAll="0"/>
    <pivotField showAll="0"/>
    <pivotField showAll="0"/>
    <pivotField numFmtId="1" showAll="0"/>
  </pivotFields>
  <rowFields count="1">
    <field x="2"/>
  </rowFields>
  <rowItems count="7">
    <i>
      <x/>
    </i>
    <i>
      <x v="1"/>
    </i>
    <i>
      <x v="2"/>
    </i>
    <i>
      <x v="3"/>
    </i>
    <i>
      <x v="4"/>
    </i>
    <i>
      <x v="5"/>
    </i>
    <i t="grand">
      <x/>
    </i>
  </rowItems>
  <colItems count="1">
    <i/>
  </colItems>
  <dataFields count="1">
    <dataField name="Average of Total_monthly_fuel_expense " fld="22" subtotal="average" baseField="2" baseItem="0"/>
  </dataFields>
  <chartFormats count="1">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
  <pivotTables>
    <pivotTable tabId="20" name="PivotTable2"/>
    <pivotTable tabId="20" name="PivotTable3"/>
    <pivotTable tabId="20" name="PivotTable4"/>
  </pivotTables>
  <data>
    <tabular pivotCacheId="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ly_income" sourceName="Monthly_income ">
  <pivotTables>
    <pivotTable tabId="20" name="PivotTable2"/>
    <pivotTable tabId="20" name="PivotTable3"/>
    <pivotTable tabId="20" name="PivotTable4"/>
  </pivotTables>
  <data>
    <tabular pivotCacheId="2">
      <items count="6">
        <i x="1" s="1"/>
        <i x="2" s="1"/>
        <i x="4" s="1"/>
        <i x="5"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Filter by Gender " cache="Slicer_Gender" caption="Filter by Gender" style="SlicerStyleOther1" rowHeight="225425"/>
  <slicer name="Monthly_income " cache="Slicer_Monthly_income" caption="Filter by Monthly Income " style="SlicerStyleOther1" rowHeight="225425"/>
</slicers>
</file>

<file path=xl/tables/table1.xml><?xml version="1.0" encoding="utf-8"?>
<table xmlns="http://schemas.openxmlformats.org/spreadsheetml/2006/main" id="1" name="Form_Responses" displayName="Form_Responses" ref="A1:AO598" headerRowDxfId="123">
  <tableColumns count="41">
    <tableColumn id="1" name="Timestamp"/>
    <tableColumn id="2" name="1) Name "/>
    <tableColumn id="3" name="2) Age (eg. 21,22,18,etc)"/>
    <tableColumn id="4" name="3) Gender "/>
    <tableColumn id="5" name="4) Area of residence "/>
    <tableColumn id="6" name="5) occupation "/>
    <tableColumn id="7" name="6) Monthly income "/>
    <tableColumn id="8" name="7) Total family members "/>
    <tableColumn id="9" name="8) No. of vehicles in family "/>
    <tableColumn id="10" name="9) Type of vehicle "/>
    <tableColumn id="11" name="10) Type of fuel required for it.  [Bike ]"/>
    <tableColumn id="12" name="10) Type of fuel required for it.  [Scooty ]"/>
    <tableColumn id="13" name="10) Type of fuel required for it.  [Car ]"/>
    <tableColumn id="14" name="10) Type of fuel required for it.  [Commercial ]"/>
    <tableColumn id="15" name="10) Type of fuel required for it.  [electric vehicle ]"/>
    <tableColumn id="16" name="A] Bike details _x000a__x000a_11)  Age of bike "/>
    <tableColumn id="17" name="12) Daily distance travelled by bike "/>
    <tableColumn id="18" name="13)Fuel required monthly "/>
    <tableColumn id="19" name="B] Scooty details _x000a__x000a_14)Age of  Scooty"/>
    <tableColumn id="20" name="15)Daily distance travelled by Scooty "/>
    <tableColumn id="21" name="16)Fuel required monthly "/>
    <tableColumn id="22" name="C] Car details _x000a__x000a_17)Age of Car"/>
    <tableColumn id="23" name="18)Daily distance travelled by Car "/>
    <tableColumn id="24" name="19)Fuel required monthly "/>
    <tableColumn id="25" name="D. Commercial Vehicle Details_x000a__x000a_20)Age"/>
    <tableColumn id="26" name="21)Daily distance travelled"/>
    <tableColumn id="27" name="22) Fuel required monthly "/>
    <tableColumn id="28" name="E. Electric Vehicle Details_x000a__x000a_23)Electricity consumption (kWh/month)_x000a_"/>
    <tableColumn id="29" name="24)Daily distance travelled"/>
    <tableColumn id="30" name="25)Age of EV"/>
    <tableColumn id="31" name="26)Total monthly fuel expense of your household (₹)_x000a_"/>
    <tableColumn id="32" name="27)Preferred fuel station brand"/>
    <tableColumn id="33" name="28) Reason for choosing this brand"/>
    <tableColumn id="34" name="29)Distance from home to workplace/college (km)"/>
    <tableColumn id="35" name="30)Main purpose of using your vehicle"/>
    <tableColumn id="36" name="31)How often do you use public transport?_x000a_"/>
    <tableColumn id="37" name="32) Which type of public transport do you use?_x000a_"/>
    <tableColumn id="38" name="33)Would you consider buying an Electric Vehicle (EV)?_x000a_"/>
    <tableColumn id="39" name="34)If YES or MAYBE, what is your reason?_x000a_"/>
    <tableColumn id="40" name="35)If NO, what is your reason?"/>
    <tableColumn id="41" name="35. Any suggestions about fuel rates or transportation ?"/>
  </tableColumns>
  <tableStyleInfo name="Form Responses 1-style" showFirstColumn="1" showLastColumn="1" showRowStripes="1" showColumnStripes="0"/>
</table>
</file>

<file path=xl/tables/table2.xml><?xml version="1.0" encoding="utf-8"?>
<table xmlns="http://schemas.openxmlformats.org/spreadsheetml/2006/main" id="3" name="Form_Responses34" displayName="Form_Responses34" ref="A1:AD568" headerRowDxfId="121" dataDxfId="119" totalsRowDxfId="118" headerRowBorderDxfId="120">
  <autoFilter ref="A1:AD568"/>
  <tableColumns count="30">
    <tableColumn id="3" name=" Age " dataDxfId="117"/>
    <tableColumn id="4" name="Gender " dataDxfId="116"/>
    <tableColumn id="7" name="Monthly_income " dataDxfId="115"/>
    <tableColumn id="8" name="Total_family _members " dataDxfId="114"/>
    <tableColumn id="9" name="Num_vehicles_in_family " dataDxfId="113"/>
    <tableColumn id="10" name=" Type_vehicle " dataDxfId="112"/>
    <tableColumn id="11" name="fuel_required_Bike " dataDxfId="111"/>
    <tableColumn id="12" name="fuel_required_Scooty " dataDxfId="110"/>
    <tableColumn id="13" name="fuel_required_Car " dataDxfId="109"/>
    <tableColumn id="14" name="fuel_required_Commercial " dataDxfId="108"/>
    <tableColumn id="16" name="Age_bike " dataDxfId="107"/>
    <tableColumn id="17" name="Daily_distance_travelled_bike " dataDxfId="106"/>
    <tableColumn id="18" name="fuel_monthly_bikes" dataDxfId="105"/>
    <tableColumn id="19" name="Age_Scooty" dataDxfId="104"/>
    <tableColumn id="20" name="Daily_distance_travelled_Scooty " dataDxfId="103"/>
    <tableColumn id="21" name="Fuel_required_monthly_scooty" dataDxfId="102"/>
    <tableColumn id="22" name=" Age_Car" dataDxfId="101"/>
    <tableColumn id="23" name="Daily_distance_travelled_Car " dataDxfId="100"/>
    <tableColumn id="24" name="Fuel_required_monthly_car" dataDxfId="99"/>
    <tableColumn id="25" name="_x000a_Age_commercial" dataDxfId="98"/>
    <tableColumn id="26" name="Daily_distance_travelled_commercial" dataDxfId="97"/>
    <tableColumn id="27" name="Fuel_required_monthly_commercial" dataDxfId="96"/>
    <tableColumn id="31" name="Total_monthly_fuel_expense _x000a_" dataDxfId="95"/>
    <tableColumn id="32" name="Preferred_fuel_brand" dataDxfId="94"/>
    <tableColumn id="34" name="Distance_home_ workplace" dataDxfId="93"/>
    <tableColumn id="35" name="Main_purpose_vehicle" dataDxfId="92"/>
    <tableColumn id="36" name="How_often_use_PT_x000a_" dataDxfId="91"/>
    <tableColumn id="37" name="type_PT_x000a_" dataDxfId="90"/>
    <tableColumn id="38" name="consider_ev_x000a_" dataDxfId="89"/>
    <tableColumn id="1" name="Is_Outliers" dataDxfId="88" totalsRowDxfId="87">
      <calculatedColumnFormula>IF(OR(Form_Responses34[[#This Row],[Total_monthly_fuel_expense 
]]&gt;10040,Form_Responses34[[#This Row],[Total_monthly_fuel_expense 
]]&lt;-4760),"Outlier","Normal")</calculatedColumnFormula>
    </tableColumn>
  </tableColumns>
  <tableStyleInfo name="Form Responses 1-style" showFirstColumn="1" showLastColumn="1" showRowStripes="1" showColumnStripes="0"/>
</table>
</file>

<file path=xl/tables/table3.xml><?xml version="1.0" encoding="utf-8"?>
<table xmlns="http://schemas.openxmlformats.org/spreadsheetml/2006/main" id="6" name="Table6" displayName="Table6" ref="A3:E8" totalsRowShown="0" headerRowDxfId="81" dataDxfId="80">
  <autoFilter ref="A3:E8"/>
  <tableColumns count="5">
    <tableColumn id="1" name="Statistic" dataDxfId="79"/>
    <tableColumn id="2" name="1 Vehicle" dataDxfId="78"/>
    <tableColumn id="3" name="2 Vehicle" dataDxfId="77"/>
    <tableColumn id="4" name="3 Vehicle" dataDxfId="76"/>
    <tableColumn id="5" name="4 Vehicle" dataDxfId="75"/>
  </tableColumns>
  <tableStyleInfo name="TableStyleMedium1" showFirstColumn="0" showLastColumn="0" showRowStripes="1" showColumnStripes="0"/>
</table>
</file>

<file path=xl/tables/table4.xml><?xml version="1.0" encoding="utf-8"?>
<table xmlns="http://schemas.openxmlformats.org/spreadsheetml/2006/main" id="7" name="Table68" displayName="Table68" ref="G3:J8" totalsRowShown="0" headerRowDxfId="74" dataDxfId="73">
  <autoFilter ref="G3:J8"/>
  <tableColumns count="4">
    <tableColumn id="1" name="Statistic" dataDxfId="72"/>
    <tableColumn id="2" name="1 Vehicle" dataDxfId="71"/>
    <tableColumn id="3" name="2 Vehicle" dataDxfId="70"/>
    <tableColumn id="4" name="3 Vehicle" dataDxfId="69"/>
  </tableColumns>
  <tableStyleInfo name="TableStyleMedium1" showFirstColumn="0" showLastColumn="0" showRowStripes="1" showColumnStripes="0"/>
</table>
</file>

<file path=xl/tables/table5.xml><?xml version="1.0" encoding="utf-8"?>
<table xmlns="http://schemas.openxmlformats.org/spreadsheetml/2006/main" id="4" name="Table4" displayName="Table4" ref="A26:B30" totalsRowShown="0" headerRowDxfId="56" headerRowBorderDxfId="55" tableBorderDxfId="54" totalsRowBorderDxfId="53" dataCellStyle="Explanatory Text">
  <autoFilter ref="A26:B30"/>
  <tableColumns count="2">
    <tableColumn id="1" name="Vehicle_Type" dataDxfId="52" dataCellStyle="Explanatory Text"/>
    <tableColumn id="2" name="Avg_Fuel(L/month)" dataDxfId="51" dataCellStyle="Explanatory Text"/>
  </tableColumns>
  <tableStyleInfo name="TableStyleLight9" showFirstColumn="0" showLastColumn="0" showRowStripes="1" showColumnStripes="0"/>
</table>
</file>

<file path=xl/tables/table6.xml><?xml version="1.0" encoding="utf-8"?>
<table xmlns="http://schemas.openxmlformats.org/spreadsheetml/2006/main" id="5" name="Table5" displayName="Table5" ref="H17:J24" totalsRowShown="0" headerRowDxfId="45" headerRowBorderDxfId="44" tableBorderDxfId="43" totalsRowBorderDxfId="42" headerRowCellStyle="Comma [0]" dataCellStyle="Comma [0]">
  <autoFilter ref="H17:J24"/>
  <tableColumns count="3">
    <tableColumn id="1" name="Income Group" dataDxfId="41"/>
    <tableColumn id="2" name="Result" dataDxfId="40"/>
    <tableColumn id="3" name="count" dataDxfId="39" dataCellStyle="Comma [0]">
      <calculatedColumnFormula>COUNTIF($E$2:$E$568,"10,000-30,000")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rinterSettings" Target="../printerSettings/printerSettings13.bin"/><Relationship Id="rId4" Type="http://schemas.openxmlformats.org/officeDocument/2006/relationships/pivotTable" Target="../pivotTables/pivotTable7.xml"/></Relationships>
</file>

<file path=xl/worksheets/_rels/sheet2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K53"/>
  <sheetViews>
    <sheetView zoomScale="112" zoomScaleNormal="112" workbookViewId="0">
      <selection activeCell="H12" sqref="H12"/>
    </sheetView>
  </sheetViews>
  <sheetFormatPr defaultRowHeight="12.75" x14ac:dyDescent="0.2"/>
  <cols>
    <col min="1" max="1" width="17.5703125" style="126" customWidth="1"/>
    <col min="2" max="2" width="11" style="126" customWidth="1"/>
    <col min="3" max="3" width="12.28515625" style="126" customWidth="1"/>
    <col min="4" max="5" width="9.140625" style="126"/>
    <col min="6" max="6" width="9.85546875" style="126" customWidth="1"/>
    <col min="7" max="7" width="9.140625" style="126"/>
    <col min="8" max="8" width="9.7109375" style="126" customWidth="1"/>
    <col min="9" max="16384" width="9.140625" style="126"/>
  </cols>
  <sheetData>
    <row r="1" spans="1:11" ht="22.5" x14ac:dyDescent="0.3">
      <c r="A1" s="209" t="s">
        <v>1618</v>
      </c>
      <c r="B1" s="209"/>
      <c r="C1" s="209"/>
      <c r="D1" s="209"/>
      <c r="E1" s="209"/>
      <c r="F1" s="209"/>
      <c r="G1" s="209"/>
      <c r="H1" s="209"/>
      <c r="I1" s="209"/>
      <c r="J1" s="209"/>
      <c r="K1" s="209"/>
    </row>
    <row r="2" spans="1:11" ht="15" x14ac:dyDescent="0.25">
      <c r="A2" s="210" t="s">
        <v>1886</v>
      </c>
      <c r="B2" s="210"/>
      <c r="C2" s="210"/>
      <c r="D2" s="210"/>
      <c r="E2" s="210"/>
      <c r="F2" s="210"/>
      <c r="G2" s="210"/>
      <c r="H2" s="210"/>
      <c r="I2" s="210"/>
      <c r="J2" s="210"/>
      <c r="K2" s="210"/>
    </row>
    <row r="4" spans="1:11" ht="12.75" customHeight="1" x14ac:dyDescent="0.2">
      <c r="B4" s="214">
        <v>567</v>
      </c>
      <c r="C4" s="214"/>
      <c r="E4" s="215">
        <f>Clean_Data_Summary!B27</f>
        <v>3336.4426807760142</v>
      </c>
      <c r="F4" s="215"/>
      <c r="H4" s="216">
        <f>Per_Capita_Expenses!I3</f>
        <v>750.05726043503853</v>
      </c>
      <c r="I4" s="216"/>
    </row>
    <row r="5" spans="1:11" ht="12.75" customHeight="1" x14ac:dyDescent="0.2">
      <c r="B5" s="214"/>
      <c r="C5" s="214"/>
      <c r="E5" s="215"/>
      <c r="F5" s="215"/>
      <c r="H5" s="216"/>
      <c r="I5" s="216"/>
    </row>
    <row r="6" spans="1:11" ht="12.75" customHeight="1" x14ac:dyDescent="0.2">
      <c r="B6" s="214"/>
      <c r="C6" s="214"/>
      <c r="E6" s="215"/>
      <c r="F6" s="215"/>
      <c r="H6" s="216"/>
      <c r="I6" s="216"/>
    </row>
    <row r="7" spans="1:11" ht="12.75" customHeight="1" x14ac:dyDescent="0.2">
      <c r="B7" s="211" t="s">
        <v>1671</v>
      </c>
      <c r="C7" s="212"/>
      <c r="E7" s="211" t="s">
        <v>1672</v>
      </c>
      <c r="F7" s="212"/>
      <c r="H7" s="213" t="s">
        <v>1673</v>
      </c>
      <c r="I7" s="213"/>
    </row>
    <row r="8" spans="1:11" ht="12.75" customHeight="1" x14ac:dyDescent="0.2">
      <c r="B8" s="212"/>
      <c r="C8" s="212"/>
      <c r="E8" s="212"/>
      <c r="F8" s="212"/>
      <c r="H8" s="213"/>
      <c r="I8" s="213"/>
    </row>
    <row r="11" spans="1:11" ht="15.75" x14ac:dyDescent="0.25">
      <c r="A11" s="125" t="s">
        <v>1698</v>
      </c>
    </row>
    <row r="13" spans="1:11" ht="15.75" x14ac:dyDescent="0.25">
      <c r="A13" s="167" t="s">
        <v>1674</v>
      </c>
      <c r="B13" s="167" t="s">
        <v>1675</v>
      </c>
      <c r="C13" s="219" t="s">
        <v>1676</v>
      </c>
      <c r="D13" s="219"/>
    </row>
    <row r="14" spans="1:11" ht="38.25" customHeight="1" x14ac:dyDescent="0.2">
      <c r="A14" s="165" t="s">
        <v>1677</v>
      </c>
      <c r="B14" s="166">
        <f>Correlation!K2</f>
        <v>0.51836595776042127</v>
      </c>
      <c r="C14" s="220" t="s">
        <v>1678</v>
      </c>
      <c r="D14" s="220"/>
    </row>
    <row r="15" spans="1:11" ht="25.5" x14ac:dyDescent="0.2">
      <c r="A15" s="160" t="s">
        <v>1679</v>
      </c>
      <c r="B15" s="161">
        <f>ANOVA1!M33</f>
        <v>150.8105127868231</v>
      </c>
      <c r="C15" s="217" t="s">
        <v>1680</v>
      </c>
      <c r="D15" s="217"/>
    </row>
    <row r="16" spans="1:11" ht="38.25" customHeight="1" x14ac:dyDescent="0.2">
      <c r="A16" s="160" t="s">
        <v>1681</v>
      </c>
      <c r="B16" s="163">
        <f>ANOVA1!N33</f>
        <v>9.9800411990857098E-72</v>
      </c>
      <c r="C16" s="217" t="s">
        <v>1682</v>
      </c>
      <c r="D16" s="217"/>
    </row>
    <row r="17" spans="1:4" ht="38.25" customHeight="1" x14ac:dyDescent="0.2">
      <c r="A17" s="160" t="s">
        <v>1683</v>
      </c>
      <c r="B17" s="161">
        <f>ANOVA2!M18</f>
        <v>41.785378202104127</v>
      </c>
      <c r="C17" s="217" t="s">
        <v>1684</v>
      </c>
      <c r="D17" s="217"/>
    </row>
    <row r="18" spans="1:4" ht="38.25" customHeight="1" x14ac:dyDescent="0.2">
      <c r="A18" s="160" t="s">
        <v>1685</v>
      </c>
      <c r="B18" s="163">
        <f>ANOVA2!N18</f>
        <v>1.3889176534322496E-36</v>
      </c>
      <c r="C18" s="217" t="s">
        <v>1686</v>
      </c>
      <c r="D18" s="217"/>
    </row>
    <row r="19" spans="1:4" ht="38.25" customHeight="1" x14ac:dyDescent="0.2">
      <c r="A19" s="160" t="s">
        <v>1687</v>
      </c>
      <c r="B19" s="163">
        <f>'T-test'!E2</f>
        <v>5.2783151166921518E-30</v>
      </c>
      <c r="C19" s="217" t="s">
        <v>1688</v>
      </c>
      <c r="D19" s="217"/>
    </row>
    <row r="20" spans="1:4" ht="38.25" customHeight="1" x14ac:dyDescent="0.2">
      <c r="A20" s="160" t="s">
        <v>1689</v>
      </c>
      <c r="B20" s="161">
        <f>Regression1!H6</f>
        <v>0.51758498609742898</v>
      </c>
      <c r="C20" s="217" t="s">
        <v>1690</v>
      </c>
      <c r="D20" s="217"/>
    </row>
    <row r="21" spans="1:4" ht="28.5" x14ac:dyDescent="0.2">
      <c r="A21" s="160" t="s">
        <v>1691</v>
      </c>
      <c r="B21" s="161">
        <f>ANOVA1!J40</f>
        <v>0.44555592501191355</v>
      </c>
      <c r="C21" s="217" t="s">
        <v>1692</v>
      </c>
      <c r="D21" s="217"/>
    </row>
    <row r="22" spans="1:4" ht="28.5" x14ac:dyDescent="0.2">
      <c r="A22" s="160" t="s">
        <v>1693</v>
      </c>
      <c r="B22" s="161">
        <f>ANOVA2!M25</f>
        <v>0.2713593893782647</v>
      </c>
      <c r="C22" s="217" t="s">
        <v>1694</v>
      </c>
      <c r="D22" s="217"/>
    </row>
    <row r="23" spans="1:4" ht="25.5" x14ac:dyDescent="0.2">
      <c r="A23" s="160" t="s">
        <v>1695</v>
      </c>
      <c r="B23" s="164">
        <f>'T-test'!F5</f>
        <v>4730.6187499999996</v>
      </c>
      <c r="C23" s="218">
        <v>4731</v>
      </c>
      <c r="D23" s="218"/>
    </row>
    <row r="24" spans="1:4" ht="25.5" x14ac:dyDescent="0.2">
      <c r="A24" s="160" t="s">
        <v>1696</v>
      </c>
      <c r="B24" s="164">
        <f>'T-test'!F6</f>
        <v>1530.2226720647773</v>
      </c>
      <c r="C24" s="218">
        <v>1530</v>
      </c>
      <c r="D24" s="218"/>
    </row>
    <row r="26" spans="1:4" ht="18.75" x14ac:dyDescent="0.3">
      <c r="A26" s="142" t="s">
        <v>1697</v>
      </c>
    </row>
    <row r="28" spans="1:4" ht="15.75" x14ac:dyDescent="0.25">
      <c r="A28" s="168" t="s">
        <v>1699</v>
      </c>
      <c r="B28" s="221" t="s">
        <v>1700</v>
      </c>
      <c r="C28" s="221"/>
    </row>
    <row r="29" spans="1:4" ht="51" customHeight="1" x14ac:dyDescent="0.2">
      <c r="A29" s="160" t="s">
        <v>1701</v>
      </c>
      <c r="B29" s="217" t="s">
        <v>1702</v>
      </c>
      <c r="C29" s="217"/>
    </row>
    <row r="30" spans="1:4" ht="51" customHeight="1" x14ac:dyDescent="0.2">
      <c r="A30" s="160" t="s">
        <v>1703</v>
      </c>
      <c r="B30" s="217" t="s">
        <v>1704</v>
      </c>
      <c r="C30" s="217"/>
    </row>
    <row r="31" spans="1:4" ht="49.5" customHeight="1" x14ac:dyDescent="0.2">
      <c r="A31" s="160" t="s">
        <v>1705</v>
      </c>
      <c r="B31" s="217" t="s">
        <v>1732</v>
      </c>
      <c r="C31" s="217"/>
    </row>
    <row r="32" spans="1:4" ht="42" customHeight="1" x14ac:dyDescent="0.2">
      <c r="A32" s="160" t="s">
        <v>1864</v>
      </c>
      <c r="B32" s="217" t="s">
        <v>1706</v>
      </c>
      <c r="C32" s="217"/>
    </row>
    <row r="33" spans="1:3" ht="54" customHeight="1" x14ac:dyDescent="0.2">
      <c r="A33" s="160" t="s">
        <v>1707</v>
      </c>
      <c r="B33" s="217" t="s">
        <v>1708</v>
      </c>
      <c r="C33" s="217"/>
    </row>
    <row r="34" spans="1:3" ht="42" customHeight="1" x14ac:dyDescent="0.2">
      <c r="A34" s="160" t="s">
        <v>1709</v>
      </c>
      <c r="B34" s="217" t="s">
        <v>1733</v>
      </c>
      <c r="C34" s="217"/>
    </row>
    <row r="35" spans="1:3" ht="39.75" customHeight="1" x14ac:dyDescent="0.2">
      <c r="A35" s="160" t="s">
        <v>1710</v>
      </c>
      <c r="B35" s="217" t="s">
        <v>1734</v>
      </c>
      <c r="C35" s="217"/>
    </row>
    <row r="36" spans="1:3" ht="44.25" customHeight="1" x14ac:dyDescent="0.2">
      <c r="A36" s="160" t="s">
        <v>1711</v>
      </c>
      <c r="B36" s="217" t="s">
        <v>1737</v>
      </c>
      <c r="C36" s="217"/>
    </row>
    <row r="37" spans="1:3" ht="25.5" x14ac:dyDescent="0.2">
      <c r="A37" s="160" t="s">
        <v>1712</v>
      </c>
      <c r="B37" s="217" t="s">
        <v>1738</v>
      </c>
      <c r="C37" s="217"/>
    </row>
    <row r="38" spans="1:3" ht="39" customHeight="1" x14ac:dyDescent="0.2">
      <c r="A38" s="160" t="s">
        <v>1713</v>
      </c>
      <c r="B38" s="217" t="s">
        <v>1739</v>
      </c>
      <c r="C38" s="217"/>
    </row>
    <row r="39" spans="1:3" ht="27.75" customHeight="1" x14ac:dyDescent="0.2">
      <c r="A39" s="160" t="s">
        <v>1714</v>
      </c>
      <c r="B39" s="217" t="s">
        <v>1740</v>
      </c>
      <c r="C39" s="217"/>
    </row>
    <row r="40" spans="1:3" ht="20.25" customHeight="1" x14ac:dyDescent="0.2">
      <c r="A40" s="160" t="s">
        <v>1715</v>
      </c>
      <c r="B40" s="217" t="s">
        <v>1741</v>
      </c>
      <c r="C40" s="217"/>
    </row>
    <row r="41" spans="1:3" ht="30.75" customHeight="1" x14ac:dyDescent="0.2">
      <c r="A41" s="160" t="s">
        <v>1541</v>
      </c>
      <c r="B41" s="217" t="s">
        <v>1742</v>
      </c>
      <c r="C41" s="217"/>
    </row>
    <row r="42" spans="1:3" ht="36.75" customHeight="1" x14ac:dyDescent="0.2">
      <c r="A42" s="160" t="s">
        <v>1548</v>
      </c>
      <c r="B42" s="217" t="s">
        <v>1731</v>
      </c>
      <c r="C42" s="217"/>
    </row>
    <row r="43" spans="1:3" ht="38.25" customHeight="1" x14ac:dyDescent="0.2">
      <c r="A43" s="160" t="s">
        <v>1716</v>
      </c>
      <c r="B43" s="217" t="s">
        <v>1730</v>
      </c>
      <c r="C43" s="217"/>
    </row>
    <row r="44" spans="1:3" ht="26.25" customHeight="1" x14ac:dyDescent="0.2">
      <c r="A44" s="160" t="s">
        <v>1719</v>
      </c>
      <c r="B44" s="217" t="s">
        <v>1743</v>
      </c>
      <c r="C44" s="217"/>
    </row>
    <row r="45" spans="1:3" ht="56.25" customHeight="1" x14ac:dyDescent="0.2">
      <c r="A45" s="160" t="s">
        <v>1717</v>
      </c>
      <c r="B45" s="217" t="s">
        <v>1729</v>
      </c>
      <c r="C45" s="217"/>
    </row>
    <row r="46" spans="1:3" ht="63.75" customHeight="1" x14ac:dyDescent="0.2">
      <c r="A46" s="160" t="s">
        <v>1727</v>
      </c>
      <c r="B46" s="217" t="s">
        <v>1728</v>
      </c>
      <c r="C46" s="217"/>
    </row>
    <row r="47" spans="1:3" ht="63.75" customHeight="1" x14ac:dyDescent="0.2">
      <c r="A47" s="160" t="s">
        <v>1787</v>
      </c>
      <c r="B47" s="222" t="s">
        <v>1788</v>
      </c>
      <c r="C47" s="223"/>
    </row>
    <row r="48" spans="1:3" ht="63.75" customHeight="1" x14ac:dyDescent="0.2">
      <c r="A48" s="160" t="s">
        <v>1718</v>
      </c>
      <c r="B48" s="217" t="s">
        <v>1726</v>
      </c>
      <c r="C48" s="217"/>
    </row>
    <row r="49" spans="1:3" ht="70.5" customHeight="1" x14ac:dyDescent="0.2">
      <c r="A49" s="160" t="s">
        <v>1720</v>
      </c>
      <c r="B49" s="217" t="s">
        <v>1725</v>
      </c>
      <c r="C49" s="217"/>
    </row>
    <row r="50" spans="1:3" ht="53.25" customHeight="1" x14ac:dyDescent="0.2">
      <c r="A50" s="160" t="s">
        <v>1721</v>
      </c>
      <c r="B50" s="217" t="s">
        <v>1724</v>
      </c>
      <c r="C50" s="217"/>
    </row>
    <row r="51" spans="1:3" ht="57.75" customHeight="1" x14ac:dyDescent="0.2">
      <c r="A51" s="203" t="s">
        <v>1883</v>
      </c>
      <c r="B51" s="222" t="s">
        <v>1884</v>
      </c>
      <c r="C51" s="223"/>
    </row>
    <row r="52" spans="1:3" ht="26.25" customHeight="1" x14ac:dyDescent="0.2">
      <c r="A52" s="160" t="s">
        <v>1789</v>
      </c>
      <c r="B52" s="222" t="s">
        <v>1790</v>
      </c>
      <c r="C52" s="223"/>
    </row>
    <row r="53" spans="1:3" ht="43.5" customHeight="1" x14ac:dyDescent="0.2">
      <c r="A53" s="160" t="s">
        <v>1722</v>
      </c>
      <c r="B53" s="217" t="s">
        <v>1723</v>
      </c>
      <c r="C53" s="217"/>
    </row>
  </sheetData>
  <mergeCells count="46">
    <mergeCell ref="B53:C53"/>
    <mergeCell ref="B39:C39"/>
    <mergeCell ref="B51:C51"/>
    <mergeCell ref="B48:C48"/>
    <mergeCell ref="B49:C49"/>
    <mergeCell ref="B50:C50"/>
    <mergeCell ref="B44:C44"/>
    <mergeCell ref="B47:C47"/>
    <mergeCell ref="B52:C52"/>
    <mergeCell ref="B40:C40"/>
    <mergeCell ref="B41:C41"/>
    <mergeCell ref="B42:C42"/>
    <mergeCell ref="B43:C43"/>
    <mergeCell ref="B45:C45"/>
    <mergeCell ref="B46:C46"/>
    <mergeCell ref="B34:C34"/>
    <mergeCell ref="B35:C35"/>
    <mergeCell ref="B36:C36"/>
    <mergeCell ref="B37:C37"/>
    <mergeCell ref="B38:C38"/>
    <mergeCell ref="C13:D13"/>
    <mergeCell ref="B29:C29"/>
    <mergeCell ref="B30:C30"/>
    <mergeCell ref="B31:C31"/>
    <mergeCell ref="B32:C32"/>
    <mergeCell ref="C15:D15"/>
    <mergeCell ref="C16:D16"/>
    <mergeCell ref="C17:D17"/>
    <mergeCell ref="C18:D18"/>
    <mergeCell ref="C14:D14"/>
    <mergeCell ref="B28:C28"/>
    <mergeCell ref="B33:C33"/>
    <mergeCell ref="C19:D19"/>
    <mergeCell ref="C20:D20"/>
    <mergeCell ref="C21:D21"/>
    <mergeCell ref="C22:D22"/>
    <mergeCell ref="C23:D23"/>
    <mergeCell ref="C24:D24"/>
    <mergeCell ref="A1:K1"/>
    <mergeCell ref="A2:K2"/>
    <mergeCell ref="B7:C8"/>
    <mergeCell ref="E7:F8"/>
    <mergeCell ref="H7:I8"/>
    <mergeCell ref="B4:C6"/>
    <mergeCell ref="E4:F6"/>
    <mergeCell ref="H4:I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AO598"/>
  <sheetViews>
    <sheetView workbookViewId="0">
      <pane ySplit="1" topLeftCell="A2" activePane="bottomLeft" state="frozen"/>
      <selection pane="bottomLeft" activeCell="D5" sqref="D5"/>
    </sheetView>
  </sheetViews>
  <sheetFormatPr defaultColWidth="12.5703125" defaultRowHeight="15.75" customHeight="1" x14ac:dyDescent="0.2"/>
  <cols>
    <col min="1" max="2" width="18.85546875" customWidth="1"/>
    <col min="3" max="3" width="23" customWidth="1"/>
    <col min="4" max="4" width="18.85546875" customWidth="1"/>
    <col min="5" max="5" width="20.42578125" customWidth="1"/>
    <col min="6" max="6" width="18.85546875" customWidth="1"/>
    <col min="7" max="7" width="19.28515625" customWidth="1"/>
    <col min="8" max="8" width="23.42578125" customWidth="1"/>
    <col min="9" max="9" width="24.85546875" customWidth="1"/>
    <col min="10" max="10" width="18.85546875" customWidth="1"/>
    <col min="11" max="11" width="32.42578125" customWidth="1"/>
    <col min="12" max="12" width="34.28515625" customWidth="1"/>
    <col min="13" max="13" width="31.7109375" customWidth="1"/>
    <col min="14" max="15" width="37.5703125" customWidth="1"/>
    <col min="16" max="16" width="18.85546875" customWidth="1"/>
    <col min="17" max="17" width="30.7109375" customWidth="1"/>
    <col min="18" max="18" width="23.85546875" customWidth="1"/>
    <col min="19" max="19" width="18.85546875" customWidth="1"/>
    <col min="20" max="20" width="32.28515625" customWidth="1"/>
    <col min="21" max="21" width="23.85546875" customWidth="1"/>
    <col min="22" max="22" width="18.85546875" customWidth="1"/>
    <col min="23" max="23" width="29.7109375" customWidth="1"/>
    <col min="24" max="24" width="23.85546875" customWidth="1"/>
    <col min="25" max="25" width="27" customWidth="1"/>
    <col min="26" max="26" width="24.42578125" customWidth="1"/>
    <col min="27" max="27" width="24.28515625" customWidth="1"/>
    <col min="28" max="28" width="34.7109375" customWidth="1"/>
    <col min="29" max="29" width="24.42578125" customWidth="1"/>
    <col min="30" max="30" width="18.85546875" customWidth="1"/>
    <col min="31" max="31" width="37.5703125" customWidth="1"/>
    <col min="32" max="32" width="27.5703125" customWidth="1"/>
    <col min="33" max="33" width="30.7109375" customWidth="1"/>
    <col min="34" max="34" width="37.5703125" customWidth="1"/>
    <col min="35" max="35" width="32.85546875" customWidth="1"/>
    <col min="36" max="36" width="36.140625" customWidth="1"/>
    <col min="37" max="38" width="37.5703125" customWidth="1"/>
    <col min="39" max="39" width="35.28515625" customWidth="1"/>
    <col min="40" max="40" width="27" customWidth="1"/>
    <col min="41" max="41" width="37.5703125" customWidth="1"/>
    <col min="42" max="47" width="18.85546875" customWidth="1"/>
  </cols>
  <sheetData>
    <row r="1" spans="1:41" s="124" customFormat="1" ht="22.5" customHeight="1" x14ac:dyDescent="0.2">
      <c r="A1" s="123" t="s">
        <v>0</v>
      </c>
      <c r="B1" s="123" t="s">
        <v>1</v>
      </c>
      <c r="C1" s="123" t="s">
        <v>2</v>
      </c>
      <c r="D1" s="123" t="s">
        <v>3</v>
      </c>
      <c r="E1" s="123" t="s">
        <v>4</v>
      </c>
      <c r="F1" s="123" t="s">
        <v>5</v>
      </c>
      <c r="G1" s="123" t="s">
        <v>6</v>
      </c>
      <c r="H1" s="123" t="s">
        <v>7</v>
      </c>
      <c r="I1" s="123" t="s">
        <v>8</v>
      </c>
      <c r="J1" s="123" t="s">
        <v>9</v>
      </c>
      <c r="K1" s="123" t="s">
        <v>10</v>
      </c>
      <c r="L1" s="123" t="s">
        <v>11</v>
      </c>
      <c r="M1" s="123" t="s">
        <v>12</v>
      </c>
      <c r="N1" s="123" t="s">
        <v>13</v>
      </c>
      <c r="O1" s="123" t="s">
        <v>14</v>
      </c>
      <c r="P1" s="123" t="s">
        <v>15</v>
      </c>
      <c r="Q1" s="123" t="s">
        <v>16</v>
      </c>
      <c r="R1" s="123" t="s">
        <v>17</v>
      </c>
      <c r="S1" s="123" t="s">
        <v>18</v>
      </c>
      <c r="T1" s="123" t="s">
        <v>19</v>
      </c>
      <c r="U1" s="123" t="s">
        <v>20</v>
      </c>
      <c r="V1" s="123" t="s">
        <v>21</v>
      </c>
      <c r="W1" s="123" t="s">
        <v>22</v>
      </c>
      <c r="X1" s="123" t="s">
        <v>23</v>
      </c>
      <c r="Y1" s="123" t="s">
        <v>24</v>
      </c>
      <c r="Z1" s="123" t="s">
        <v>25</v>
      </c>
      <c r="AA1" s="123" t="s">
        <v>26</v>
      </c>
      <c r="AB1" s="123" t="s">
        <v>27</v>
      </c>
      <c r="AC1" s="123" t="s">
        <v>28</v>
      </c>
      <c r="AD1" s="123" t="s">
        <v>29</v>
      </c>
      <c r="AE1" s="123" t="s">
        <v>30</v>
      </c>
      <c r="AF1" s="123" t="s">
        <v>31</v>
      </c>
      <c r="AG1" s="123" t="s">
        <v>32</v>
      </c>
      <c r="AH1" s="123" t="s">
        <v>33</v>
      </c>
      <c r="AI1" s="123" t="s">
        <v>34</v>
      </c>
      <c r="AJ1" s="123" t="s">
        <v>35</v>
      </c>
      <c r="AK1" s="123" t="s">
        <v>36</v>
      </c>
      <c r="AL1" s="123" t="s">
        <v>37</v>
      </c>
      <c r="AM1" s="123" t="s">
        <v>38</v>
      </c>
      <c r="AN1" s="123" t="s">
        <v>39</v>
      </c>
      <c r="AO1" s="123" t="s">
        <v>40</v>
      </c>
    </row>
    <row r="2" spans="1:41" ht="22.5" customHeight="1" x14ac:dyDescent="0.2">
      <c r="A2" s="1">
        <v>45945.517444594909</v>
      </c>
      <c r="B2" s="2" t="s">
        <v>41</v>
      </c>
      <c r="C2" s="2">
        <v>19</v>
      </c>
      <c r="D2" s="2" t="s">
        <v>42</v>
      </c>
      <c r="E2" s="2" t="s">
        <v>43</v>
      </c>
      <c r="F2" s="2" t="s">
        <v>44</v>
      </c>
      <c r="G2" s="2" t="s">
        <v>45</v>
      </c>
      <c r="H2" s="2">
        <v>5</v>
      </c>
      <c r="I2" s="2">
        <v>1</v>
      </c>
      <c r="J2" s="2" t="s">
        <v>46</v>
      </c>
      <c r="K2" s="2" t="s">
        <v>47</v>
      </c>
      <c r="L2" s="3"/>
      <c r="M2" s="3"/>
      <c r="N2" s="3"/>
      <c r="O2" s="3"/>
      <c r="P2" s="2" t="s">
        <v>48</v>
      </c>
      <c r="Q2" s="3"/>
      <c r="R2" s="3"/>
      <c r="S2" s="2" t="s">
        <v>49</v>
      </c>
      <c r="T2" s="3"/>
      <c r="U2" s="2" t="s">
        <v>50</v>
      </c>
      <c r="V2" s="3"/>
      <c r="W2" s="3"/>
      <c r="X2" s="2">
        <v>18</v>
      </c>
      <c r="Y2" s="3"/>
      <c r="Z2" s="3"/>
      <c r="AA2" s="2" t="s">
        <v>51</v>
      </c>
      <c r="AB2" s="3"/>
      <c r="AC2" s="3"/>
      <c r="AD2" s="2" t="s">
        <v>50</v>
      </c>
      <c r="AE2" s="2" t="s">
        <v>52</v>
      </c>
      <c r="AF2" s="2" t="s">
        <v>47</v>
      </c>
      <c r="AG2" s="2" t="s">
        <v>53</v>
      </c>
      <c r="AH2" s="2">
        <v>3</v>
      </c>
      <c r="AI2" s="2" t="s">
        <v>54</v>
      </c>
      <c r="AJ2" s="2" t="s">
        <v>55</v>
      </c>
      <c r="AK2" s="2" t="s">
        <v>56</v>
      </c>
      <c r="AL2" s="3"/>
      <c r="AM2" s="3"/>
      <c r="AN2" s="3"/>
      <c r="AO2" s="3"/>
    </row>
    <row r="3" spans="1:41" ht="22.5" customHeight="1" x14ac:dyDescent="0.2">
      <c r="A3" s="1">
        <v>45945.517686689811</v>
      </c>
      <c r="B3" s="2" t="s">
        <v>57</v>
      </c>
      <c r="C3" s="2">
        <v>20</v>
      </c>
      <c r="D3" s="2" t="s">
        <v>42</v>
      </c>
      <c r="E3" s="2" t="s">
        <v>58</v>
      </c>
      <c r="F3" s="2" t="s">
        <v>59</v>
      </c>
      <c r="G3" s="2" t="s">
        <v>60</v>
      </c>
      <c r="H3" s="2">
        <v>4</v>
      </c>
      <c r="I3" s="2">
        <v>2</v>
      </c>
      <c r="J3" s="2" t="s">
        <v>61</v>
      </c>
      <c r="K3" s="2" t="s">
        <v>47</v>
      </c>
      <c r="L3" s="3"/>
      <c r="M3" s="3"/>
      <c r="N3" s="3"/>
      <c r="O3" s="3"/>
      <c r="P3" s="2" t="s">
        <v>62</v>
      </c>
      <c r="Q3" s="3"/>
      <c r="R3" s="3"/>
      <c r="S3" s="2" t="s">
        <v>63</v>
      </c>
      <c r="T3" s="2" t="s">
        <v>63</v>
      </c>
      <c r="U3" s="2" t="s">
        <v>64</v>
      </c>
      <c r="V3" s="2" t="s">
        <v>65</v>
      </c>
      <c r="W3" s="3"/>
      <c r="X3" s="2">
        <v>34</v>
      </c>
      <c r="Y3" s="2">
        <v>25</v>
      </c>
      <c r="Z3" s="3"/>
      <c r="AA3" s="2" t="s">
        <v>51</v>
      </c>
      <c r="AB3" s="2" t="s">
        <v>66</v>
      </c>
      <c r="AC3" s="3"/>
      <c r="AD3" s="2" t="s">
        <v>65</v>
      </c>
      <c r="AE3" s="3"/>
      <c r="AF3" s="2" t="s">
        <v>67</v>
      </c>
      <c r="AG3" s="2" t="s">
        <v>68</v>
      </c>
      <c r="AH3" s="2">
        <v>4</v>
      </c>
      <c r="AI3" s="2" t="s">
        <v>69</v>
      </c>
      <c r="AJ3" s="2" t="s">
        <v>70</v>
      </c>
      <c r="AK3" s="2" t="s">
        <v>71</v>
      </c>
      <c r="AL3" s="3"/>
      <c r="AM3" s="3"/>
      <c r="AN3" s="3"/>
      <c r="AO3" s="3"/>
    </row>
    <row r="4" spans="1:41" ht="22.5" customHeight="1" x14ac:dyDescent="0.2">
      <c r="A4" s="1">
        <v>45959.475987604164</v>
      </c>
      <c r="B4" s="2" t="s">
        <v>72</v>
      </c>
      <c r="C4" s="2">
        <v>27</v>
      </c>
      <c r="D4" s="2" t="s">
        <v>73</v>
      </c>
      <c r="E4" s="2" t="s">
        <v>58</v>
      </c>
      <c r="F4" s="2" t="s">
        <v>74</v>
      </c>
      <c r="G4" s="2" t="s">
        <v>60</v>
      </c>
      <c r="H4" s="2">
        <v>4</v>
      </c>
      <c r="I4" s="2">
        <v>2</v>
      </c>
      <c r="J4" s="2" t="s">
        <v>75</v>
      </c>
      <c r="K4" s="2" t="s">
        <v>47</v>
      </c>
      <c r="L4" s="3"/>
      <c r="M4" s="3"/>
      <c r="N4" s="3"/>
      <c r="O4" s="3"/>
      <c r="P4" s="2" t="s">
        <v>76</v>
      </c>
      <c r="Q4" s="3"/>
      <c r="R4" s="2" t="s">
        <v>77</v>
      </c>
      <c r="S4" s="2" t="s">
        <v>49</v>
      </c>
      <c r="T4" s="3"/>
      <c r="U4" s="2" t="s">
        <v>78</v>
      </c>
      <c r="V4" s="3"/>
      <c r="W4" s="2" t="s">
        <v>79</v>
      </c>
      <c r="X4" s="2" t="s">
        <v>80</v>
      </c>
      <c r="Y4" s="3"/>
      <c r="Z4" s="2" t="s">
        <v>81</v>
      </c>
      <c r="AA4" s="2" t="s">
        <v>51</v>
      </c>
      <c r="AB4" s="3"/>
      <c r="AC4" s="2" t="s">
        <v>82</v>
      </c>
      <c r="AD4" s="2" t="s">
        <v>83</v>
      </c>
      <c r="AE4" s="2" t="s">
        <v>52</v>
      </c>
      <c r="AF4" s="2" t="s">
        <v>67</v>
      </c>
      <c r="AG4" s="2" t="s">
        <v>84</v>
      </c>
      <c r="AH4" s="2">
        <v>2</v>
      </c>
      <c r="AI4" s="2" t="s">
        <v>85</v>
      </c>
      <c r="AJ4" s="2" t="s">
        <v>86</v>
      </c>
      <c r="AK4" s="2" t="s">
        <v>87</v>
      </c>
      <c r="AL4" s="3"/>
      <c r="AM4" s="3"/>
      <c r="AN4" s="3"/>
      <c r="AO4" s="3"/>
    </row>
    <row r="5" spans="1:41" ht="22.5" customHeight="1" x14ac:dyDescent="0.2">
      <c r="A5" s="1">
        <v>45959.485256597225</v>
      </c>
      <c r="B5" s="2" t="s">
        <v>88</v>
      </c>
      <c r="C5" s="2">
        <v>39</v>
      </c>
      <c r="D5" s="2" t="s">
        <v>42</v>
      </c>
      <c r="E5" s="2" t="s">
        <v>43</v>
      </c>
      <c r="F5" s="2" t="s">
        <v>44</v>
      </c>
      <c r="G5" s="2" t="s">
        <v>89</v>
      </c>
      <c r="H5" s="2">
        <v>5</v>
      </c>
      <c r="I5" s="2">
        <v>1</v>
      </c>
      <c r="J5" s="2" t="s">
        <v>46</v>
      </c>
      <c r="K5" s="2" t="s">
        <v>47</v>
      </c>
      <c r="L5" s="3"/>
      <c r="M5" s="3"/>
      <c r="N5" s="3"/>
      <c r="O5" s="3"/>
      <c r="P5" s="2">
        <v>55</v>
      </c>
      <c r="Q5" s="3"/>
      <c r="R5" s="3"/>
      <c r="S5" s="2" t="s">
        <v>63</v>
      </c>
      <c r="T5" s="3"/>
      <c r="U5" s="2" t="s">
        <v>90</v>
      </c>
      <c r="V5" s="3"/>
      <c r="W5" s="3"/>
      <c r="X5" s="2" t="s">
        <v>91</v>
      </c>
      <c r="Y5" s="3"/>
      <c r="Z5" s="3"/>
      <c r="AA5" s="2" t="s">
        <v>92</v>
      </c>
      <c r="AB5" s="3"/>
      <c r="AC5" s="3"/>
      <c r="AD5" s="2" t="s">
        <v>93</v>
      </c>
      <c r="AE5" s="2" t="s">
        <v>52</v>
      </c>
      <c r="AF5" s="2" t="s">
        <v>94</v>
      </c>
      <c r="AG5" s="2" t="s">
        <v>95</v>
      </c>
      <c r="AH5" s="2">
        <v>1</v>
      </c>
      <c r="AI5" s="2" t="s">
        <v>96</v>
      </c>
      <c r="AJ5" s="2" t="s">
        <v>97</v>
      </c>
      <c r="AK5" s="2" t="s">
        <v>98</v>
      </c>
      <c r="AL5" s="3"/>
      <c r="AM5" s="3"/>
      <c r="AN5" s="3"/>
      <c r="AO5" s="3"/>
    </row>
    <row r="6" spans="1:41" ht="22.5" customHeight="1" x14ac:dyDescent="0.2">
      <c r="A6" s="1">
        <v>45959.511559016202</v>
      </c>
      <c r="B6" s="2" t="s">
        <v>99</v>
      </c>
      <c r="C6" s="2">
        <v>21</v>
      </c>
      <c r="D6" s="2" t="s">
        <v>42</v>
      </c>
      <c r="E6" s="2" t="s">
        <v>43</v>
      </c>
      <c r="F6" s="2" t="s">
        <v>59</v>
      </c>
      <c r="G6" s="2" t="s">
        <v>60</v>
      </c>
      <c r="H6" s="2">
        <v>6</v>
      </c>
      <c r="I6" s="2">
        <v>4</v>
      </c>
      <c r="J6" s="2" t="s">
        <v>100</v>
      </c>
      <c r="K6" s="3"/>
      <c r="L6" s="3"/>
      <c r="M6" s="3"/>
      <c r="N6" s="3"/>
      <c r="O6" s="3"/>
      <c r="P6" s="3"/>
      <c r="Q6" s="3"/>
      <c r="R6" s="3"/>
      <c r="S6" s="3"/>
      <c r="T6" s="2" t="s">
        <v>49</v>
      </c>
      <c r="U6" s="3"/>
      <c r="V6" s="2" t="s">
        <v>101</v>
      </c>
      <c r="W6" s="3"/>
      <c r="X6" s="2" t="s">
        <v>102</v>
      </c>
      <c r="Y6" s="3"/>
      <c r="Z6" s="3"/>
      <c r="AA6" s="3"/>
      <c r="AB6" s="2" t="s">
        <v>66</v>
      </c>
      <c r="AC6" s="3"/>
      <c r="AD6" s="2" t="s">
        <v>103</v>
      </c>
      <c r="AE6" s="2" t="s">
        <v>52</v>
      </c>
      <c r="AF6" s="2" t="s">
        <v>70</v>
      </c>
      <c r="AG6" s="2" t="s">
        <v>104</v>
      </c>
      <c r="AH6" s="2">
        <v>5</v>
      </c>
      <c r="AI6" s="2" t="s">
        <v>105</v>
      </c>
      <c r="AJ6" s="2" t="s">
        <v>70</v>
      </c>
      <c r="AK6" s="2" t="s">
        <v>106</v>
      </c>
      <c r="AL6" s="3"/>
      <c r="AM6" s="3"/>
      <c r="AN6" s="3"/>
      <c r="AO6" s="3"/>
    </row>
    <row r="7" spans="1:41" ht="22.5" customHeight="1" x14ac:dyDescent="0.2">
      <c r="A7" s="1">
        <v>45959.518492962961</v>
      </c>
      <c r="B7" s="2" t="s">
        <v>107</v>
      </c>
      <c r="C7" s="2">
        <v>20</v>
      </c>
      <c r="D7" s="2" t="s">
        <v>73</v>
      </c>
      <c r="E7" s="2" t="s">
        <v>43</v>
      </c>
      <c r="F7" s="2" t="s">
        <v>108</v>
      </c>
      <c r="G7" s="2" t="s">
        <v>109</v>
      </c>
      <c r="H7" s="2">
        <v>4</v>
      </c>
      <c r="I7" s="2">
        <v>2</v>
      </c>
      <c r="J7" s="2" t="s">
        <v>75</v>
      </c>
      <c r="K7" s="2" t="s">
        <v>47</v>
      </c>
      <c r="L7" s="3"/>
      <c r="M7" s="3"/>
      <c r="N7" s="3"/>
      <c r="O7" s="3"/>
      <c r="P7" s="2" t="s">
        <v>110</v>
      </c>
      <c r="Q7" s="3"/>
      <c r="R7" s="2" t="s">
        <v>111</v>
      </c>
      <c r="S7" s="2" t="s">
        <v>49</v>
      </c>
      <c r="T7" s="3"/>
      <c r="U7" s="2" t="s">
        <v>112</v>
      </c>
      <c r="V7" s="3"/>
      <c r="W7" s="2" t="s">
        <v>113</v>
      </c>
      <c r="X7" s="2" t="s">
        <v>114</v>
      </c>
      <c r="Y7" s="3"/>
      <c r="Z7" s="2" t="s">
        <v>115</v>
      </c>
      <c r="AA7" s="2" t="s">
        <v>66</v>
      </c>
      <c r="AB7" s="3"/>
      <c r="AC7" s="2" t="s">
        <v>82</v>
      </c>
      <c r="AD7" s="2" t="s">
        <v>103</v>
      </c>
      <c r="AE7" s="2" t="s">
        <v>52</v>
      </c>
      <c r="AF7" s="2" t="s">
        <v>67</v>
      </c>
      <c r="AG7" s="2" t="s">
        <v>104</v>
      </c>
      <c r="AH7" s="2">
        <v>2</v>
      </c>
      <c r="AI7" s="2" t="s">
        <v>105</v>
      </c>
      <c r="AJ7" s="2" t="s">
        <v>86</v>
      </c>
      <c r="AK7" s="2" t="s">
        <v>116</v>
      </c>
      <c r="AL7" s="3"/>
      <c r="AM7" s="3"/>
      <c r="AN7" s="3"/>
      <c r="AO7" s="3"/>
    </row>
    <row r="8" spans="1:41" ht="22.5" customHeight="1" x14ac:dyDescent="0.2">
      <c r="A8" s="1">
        <v>45959.523126168977</v>
      </c>
      <c r="B8" s="2" t="s">
        <v>117</v>
      </c>
      <c r="C8" s="2">
        <v>21</v>
      </c>
      <c r="D8" s="2" t="s">
        <v>42</v>
      </c>
      <c r="E8" s="2" t="s">
        <v>58</v>
      </c>
      <c r="F8" s="2" t="s">
        <v>59</v>
      </c>
      <c r="G8" s="2" t="s">
        <v>109</v>
      </c>
      <c r="H8" s="2">
        <v>5</v>
      </c>
      <c r="I8" s="2">
        <v>1</v>
      </c>
      <c r="J8" s="2" t="s">
        <v>100</v>
      </c>
      <c r="K8" s="3"/>
      <c r="L8" s="3"/>
      <c r="M8" s="3"/>
      <c r="N8" s="3"/>
      <c r="O8" s="3"/>
      <c r="P8" s="3"/>
      <c r="Q8" s="3"/>
      <c r="R8" s="3"/>
      <c r="S8" s="3"/>
      <c r="T8" s="2" t="s">
        <v>49</v>
      </c>
      <c r="U8" s="3"/>
      <c r="V8" s="2" t="s">
        <v>103</v>
      </c>
      <c r="W8" s="3"/>
      <c r="X8" s="3"/>
      <c r="Y8" s="2" t="s">
        <v>118</v>
      </c>
      <c r="Z8" s="3"/>
      <c r="AA8" s="3"/>
      <c r="AB8" s="2" t="s">
        <v>66</v>
      </c>
      <c r="AC8" s="3"/>
      <c r="AD8" s="2" t="s">
        <v>119</v>
      </c>
      <c r="AE8" s="2" t="s">
        <v>52</v>
      </c>
      <c r="AF8" s="2" t="s">
        <v>70</v>
      </c>
      <c r="AG8" s="2" t="s">
        <v>104</v>
      </c>
      <c r="AH8" s="2">
        <v>3</v>
      </c>
      <c r="AI8" s="2" t="s">
        <v>105</v>
      </c>
      <c r="AJ8" s="2" t="s">
        <v>70</v>
      </c>
      <c r="AK8" s="2" t="s">
        <v>120</v>
      </c>
      <c r="AL8" s="3"/>
      <c r="AM8" s="3"/>
      <c r="AN8" s="3"/>
      <c r="AO8" s="3"/>
    </row>
    <row r="9" spans="1:41" ht="22.5" customHeight="1" x14ac:dyDescent="0.2">
      <c r="A9" s="1">
        <v>45959.526835289347</v>
      </c>
      <c r="B9" s="2" t="s">
        <v>121</v>
      </c>
      <c r="C9" s="2">
        <v>21</v>
      </c>
      <c r="D9" s="2" t="s">
        <v>42</v>
      </c>
      <c r="E9" s="2" t="s">
        <v>43</v>
      </c>
      <c r="F9" s="2" t="s">
        <v>59</v>
      </c>
      <c r="G9" s="2" t="s">
        <v>60</v>
      </c>
      <c r="H9" s="2">
        <v>6</v>
      </c>
      <c r="I9" s="2">
        <v>1</v>
      </c>
      <c r="J9" s="2" t="s">
        <v>46</v>
      </c>
      <c r="K9" s="2" t="s">
        <v>47</v>
      </c>
      <c r="L9" s="3"/>
      <c r="M9" s="3"/>
      <c r="N9" s="3"/>
      <c r="O9" s="3"/>
      <c r="P9" s="2" t="s">
        <v>122</v>
      </c>
      <c r="Q9" s="3"/>
      <c r="R9" s="3"/>
      <c r="S9" s="2" t="s">
        <v>49</v>
      </c>
      <c r="T9" s="3"/>
      <c r="U9" s="2" t="s">
        <v>123</v>
      </c>
      <c r="V9" s="3"/>
      <c r="W9" s="3"/>
      <c r="X9" s="2" t="s">
        <v>124</v>
      </c>
      <c r="Y9" s="3"/>
      <c r="Z9" s="3"/>
      <c r="AA9" s="2" t="s">
        <v>51</v>
      </c>
      <c r="AB9" s="3"/>
      <c r="AC9" s="3"/>
      <c r="AD9" s="2" t="s">
        <v>125</v>
      </c>
      <c r="AE9" s="2" t="s">
        <v>52</v>
      </c>
      <c r="AF9" s="2" t="s">
        <v>86</v>
      </c>
      <c r="AG9" s="2" t="s">
        <v>104</v>
      </c>
      <c r="AH9" s="2">
        <v>3</v>
      </c>
      <c r="AI9" s="2" t="s">
        <v>69</v>
      </c>
      <c r="AJ9" s="2" t="s">
        <v>86</v>
      </c>
      <c r="AK9" s="2" t="s">
        <v>126</v>
      </c>
      <c r="AL9" s="3"/>
      <c r="AM9" s="3"/>
      <c r="AN9" s="3"/>
      <c r="AO9" s="3"/>
    </row>
    <row r="10" spans="1:41" ht="22.5" customHeight="1" x14ac:dyDescent="0.2">
      <c r="A10" s="1">
        <v>45959.530127534723</v>
      </c>
      <c r="B10" s="2" t="s">
        <v>127</v>
      </c>
      <c r="C10" s="2">
        <v>21</v>
      </c>
      <c r="D10" s="2" t="s">
        <v>42</v>
      </c>
      <c r="E10" s="2" t="s">
        <v>43</v>
      </c>
      <c r="F10" s="2" t="s">
        <v>59</v>
      </c>
      <c r="G10" s="2" t="s">
        <v>109</v>
      </c>
      <c r="H10" s="2">
        <v>4</v>
      </c>
      <c r="I10" s="2">
        <v>3</v>
      </c>
      <c r="J10" s="2" t="s">
        <v>100</v>
      </c>
      <c r="K10" s="3"/>
      <c r="L10" s="3"/>
      <c r="M10" s="3"/>
      <c r="N10" s="3"/>
      <c r="O10" s="3"/>
      <c r="P10" s="3"/>
      <c r="Q10" s="3"/>
      <c r="R10" s="3"/>
      <c r="S10" s="3"/>
      <c r="T10" s="2" t="s">
        <v>49</v>
      </c>
      <c r="U10" s="3"/>
      <c r="V10" s="2" t="s">
        <v>128</v>
      </c>
      <c r="W10" s="3"/>
      <c r="X10" s="3"/>
      <c r="Y10" s="2" t="s">
        <v>129</v>
      </c>
      <c r="Z10" s="3"/>
      <c r="AA10" s="3"/>
      <c r="AB10" s="2" t="s">
        <v>66</v>
      </c>
      <c r="AC10" s="3"/>
      <c r="AD10" s="2" t="s">
        <v>125</v>
      </c>
      <c r="AE10" s="2" t="s">
        <v>52</v>
      </c>
      <c r="AF10" s="2" t="s">
        <v>70</v>
      </c>
      <c r="AG10" s="2" t="s">
        <v>104</v>
      </c>
      <c r="AH10" s="2">
        <v>3</v>
      </c>
      <c r="AI10" s="2" t="s">
        <v>130</v>
      </c>
      <c r="AJ10" s="2" t="s">
        <v>70</v>
      </c>
      <c r="AK10" s="2" t="s">
        <v>131</v>
      </c>
      <c r="AL10" s="3"/>
      <c r="AM10" s="3"/>
      <c r="AN10" s="3"/>
      <c r="AO10" s="3"/>
    </row>
    <row r="11" spans="1:41" ht="22.5" customHeight="1" x14ac:dyDescent="0.2">
      <c r="A11" s="1">
        <v>45959.533402743051</v>
      </c>
      <c r="B11" s="2" t="s">
        <v>132</v>
      </c>
      <c r="C11" s="2">
        <v>21</v>
      </c>
      <c r="D11" s="2" t="s">
        <v>42</v>
      </c>
      <c r="E11" s="2" t="s">
        <v>43</v>
      </c>
      <c r="F11" s="2" t="s">
        <v>59</v>
      </c>
      <c r="G11" s="2" t="s">
        <v>60</v>
      </c>
      <c r="H11" s="2">
        <v>5</v>
      </c>
      <c r="I11" s="2">
        <v>1</v>
      </c>
      <c r="J11" s="2" t="s">
        <v>46</v>
      </c>
      <c r="K11" s="2" t="s">
        <v>47</v>
      </c>
      <c r="L11" s="3"/>
      <c r="M11" s="3"/>
      <c r="N11" s="3"/>
      <c r="O11" s="3"/>
      <c r="P11" s="2" t="s">
        <v>110</v>
      </c>
      <c r="Q11" s="3"/>
      <c r="R11" s="3"/>
      <c r="S11" s="2" t="s">
        <v>49</v>
      </c>
      <c r="T11" s="3"/>
      <c r="U11" s="2" t="s">
        <v>133</v>
      </c>
      <c r="V11" s="3"/>
      <c r="W11" s="3"/>
      <c r="X11" s="2" t="s">
        <v>134</v>
      </c>
      <c r="Y11" s="3"/>
      <c r="Z11" s="3"/>
      <c r="AA11" s="2" t="s">
        <v>66</v>
      </c>
      <c r="AB11" s="3"/>
      <c r="AC11" s="3"/>
      <c r="AD11" s="2" t="s">
        <v>103</v>
      </c>
      <c r="AE11" s="2" t="s">
        <v>52</v>
      </c>
      <c r="AF11" s="2" t="s">
        <v>67</v>
      </c>
      <c r="AG11" s="2" t="s">
        <v>135</v>
      </c>
      <c r="AH11" s="2">
        <v>2</v>
      </c>
      <c r="AI11" s="2" t="s">
        <v>96</v>
      </c>
      <c r="AJ11" s="2" t="s">
        <v>86</v>
      </c>
      <c r="AK11" s="2" t="s">
        <v>136</v>
      </c>
      <c r="AL11" s="3"/>
      <c r="AM11" s="3"/>
      <c r="AN11" s="3"/>
      <c r="AO11" s="3"/>
    </row>
    <row r="12" spans="1:41" ht="22.5" customHeight="1" x14ac:dyDescent="0.2">
      <c r="A12" s="1">
        <v>45974.820796689819</v>
      </c>
      <c r="B12" s="2" t="s">
        <v>137</v>
      </c>
      <c r="C12" s="2">
        <v>55</v>
      </c>
      <c r="D12" s="2" t="s">
        <v>73</v>
      </c>
      <c r="E12" s="2" t="s">
        <v>43</v>
      </c>
      <c r="F12" s="2" t="s">
        <v>138</v>
      </c>
      <c r="G12" s="2" t="s">
        <v>45</v>
      </c>
      <c r="H12" s="2">
        <v>6</v>
      </c>
      <c r="I12" s="2">
        <v>1</v>
      </c>
      <c r="J12" s="2" t="s">
        <v>46</v>
      </c>
      <c r="K12" s="2" t="s">
        <v>47</v>
      </c>
      <c r="L12" s="3"/>
      <c r="M12" s="3"/>
      <c r="N12" s="3"/>
      <c r="O12" s="3"/>
      <c r="P12" s="2" t="s">
        <v>139</v>
      </c>
      <c r="Q12" s="3"/>
      <c r="R12" s="3"/>
      <c r="S12" s="2" t="s">
        <v>49</v>
      </c>
      <c r="T12" s="3"/>
      <c r="U12" s="2" t="s">
        <v>140</v>
      </c>
      <c r="V12" s="3"/>
      <c r="W12" s="3"/>
      <c r="X12" s="2" t="s">
        <v>141</v>
      </c>
      <c r="Y12" s="3"/>
      <c r="Z12" s="3"/>
      <c r="AA12" s="2" t="s">
        <v>51</v>
      </c>
      <c r="AB12" s="3"/>
      <c r="AC12" s="3"/>
      <c r="AD12" s="2" t="s">
        <v>142</v>
      </c>
      <c r="AE12" s="2" t="s">
        <v>52</v>
      </c>
      <c r="AF12" s="2" t="s">
        <v>47</v>
      </c>
      <c r="AG12" s="2" t="s">
        <v>68</v>
      </c>
      <c r="AH12" s="2">
        <v>1</v>
      </c>
      <c r="AI12" s="2" t="s">
        <v>69</v>
      </c>
      <c r="AJ12" s="2" t="s">
        <v>55</v>
      </c>
      <c r="AK12" s="3"/>
      <c r="AL12" s="3"/>
      <c r="AM12" s="3"/>
      <c r="AN12" s="3"/>
      <c r="AO12" s="3"/>
    </row>
    <row r="13" spans="1:41" ht="22.5" customHeight="1" x14ac:dyDescent="0.2">
      <c r="A13" s="1">
        <v>45976.845076435187</v>
      </c>
      <c r="B13" s="2" t="s">
        <v>143</v>
      </c>
      <c r="C13" s="2">
        <v>21</v>
      </c>
      <c r="D13" s="2" t="s">
        <v>42</v>
      </c>
      <c r="E13" s="3"/>
      <c r="F13" s="2" t="s">
        <v>144</v>
      </c>
      <c r="G13" s="3"/>
      <c r="H13" s="2">
        <v>3</v>
      </c>
      <c r="I13" s="2">
        <v>1</v>
      </c>
      <c r="J13" s="2" t="s">
        <v>46</v>
      </c>
      <c r="K13" s="2" t="s">
        <v>47</v>
      </c>
      <c r="L13" s="3"/>
      <c r="M13" s="3"/>
      <c r="N13" s="3"/>
      <c r="O13" s="3"/>
      <c r="P13" s="2">
        <v>5000</v>
      </c>
      <c r="Q13" s="3"/>
      <c r="R13" s="2">
        <v>5000</v>
      </c>
      <c r="S13" s="2" t="s">
        <v>49</v>
      </c>
      <c r="T13" s="2" t="s">
        <v>49</v>
      </c>
      <c r="U13" s="2" t="s">
        <v>145</v>
      </c>
      <c r="V13" s="2" t="s">
        <v>146</v>
      </c>
      <c r="W13" s="2" t="s">
        <v>146</v>
      </c>
      <c r="X13" s="2" t="s">
        <v>147</v>
      </c>
      <c r="Y13" s="2" t="s">
        <v>148</v>
      </c>
      <c r="Z13" s="2" t="s">
        <v>149</v>
      </c>
      <c r="AA13" s="2" t="s">
        <v>51</v>
      </c>
      <c r="AB13" s="2" t="s">
        <v>51</v>
      </c>
      <c r="AC13" s="2" t="s">
        <v>51</v>
      </c>
      <c r="AD13" s="2" t="s">
        <v>150</v>
      </c>
      <c r="AE13" s="2" t="s">
        <v>52</v>
      </c>
      <c r="AF13" s="2" t="s">
        <v>67</v>
      </c>
      <c r="AG13" s="2" t="s">
        <v>151</v>
      </c>
      <c r="AH13" s="2" t="s">
        <v>152</v>
      </c>
      <c r="AI13" s="3"/>
      <c r="AJ13" s="2" t="s">
        <v>86</v>
      </c>
      <c r="AK13" s="2" t="s">
        <v>153</v>
      </c>
      <c r="AL13" s="3"/>
      <c r="AM13" s="3"/>
      <c r="AN13" s="3"/>
      <c r="AO13" s="3"/>
    </row>
    <row r="14" spans="1:41" ht="22.5" customHeight="1" x14ac:dyDescent="0.2">
      <c r="A14" s="1">
        <v>45976.848327881948</v>
      </c>
      <c r="B14" s="2" t="s">
        <v>154</v>
      </c>
      <c r="C14" s="2">
        <v>21</v>
      </c>
      <c r="D14" s="2" t="s">
        <v>42</v>
      </c>
      <c r="E14" s="2" t="s">
        <v>58</v>
      </c>
      <c r="F14" s="2" t="s">
        <v>138</v>
      </c>
      <c r="G14" s="2" t="s">
        <v>155</v>
      </c>
      <c r="H14" s="2">
        <v>4</v>
      </c>
      <c r="I14" s="2">
        <v>2</v>
      </c>
      <c r="J14" s="2" t="s">
        <v>156</v>
      </c>
      <c r="K14" s="2" t="s">
        <v>157</v>
      </c>
      <c r="L14" s="3"/>
      <c r="M14" s="3"/>
      <c r="N14" s="3"/>
      <c r="O14" s="3"/>
      <c r="P14" s="2" t="s">
        <v>68</v>
      </c>
      <c r="Q14" s="3"/>
      <c r="R14" s="2" t="s">
        <v>158</v>
      </c>
      <c r="S14" s="2" t="s">
        <v>159</v>
      </c>
      <c r="T14" s="2" t="s">
        <v>63</v>
      </c>
      <c r="U14" s="2" t="s">
        <v>160</v>
      </c>
      <c r="V14" s="2" t="s">
        <v>161</v>
      </c>
      <c r="W14" s="2" t="s">
        <v>162</v>
      </c>
      <c r="X14" s="2" t="s">
        <v>163</v>
      </c>
      <c r="Y14" s="2" t="s">
        <v>164</v>
      </c>
      <c r="Z14" s="2" t="s">
        <v>165</v>
      </c>
      <c r="AA14" s="2" t="s">
        <v>66</v>
      </c>
      <c r="AB14" s="2" t="s">
        <v>166</v>
      </c>
      <c r="AC14" s="2" t="s">
        <v>51</v>
      </c>
      <c r="AD14" s="2" t="s">
        <v>167</v>
      </c>
      <c r="AE14" s="2" t="s">
        <v>168</v>
      </c>
      <c r="AF14" s="2" t="s">
        <v>169</v>
      </c>
      <c r="AG14" s="2" t="s">
        <v>152</v>
      </c>
      <c r="AH14" s="2">
        <v>2</v>
      </c>
      <c r="AI14" s="2" t="s">
        <v>54</v>
      </c>
      <c r="AJ14" s="2" t="s">
        <v>152</v>
      </c>
      <c r="AK14" s="2" t="s">
        <v>68</v>
      </c>
      <c r="AL14" s="3"/>
      <c r="AM14" s="3"/>
      <c r="AN14" s="3"/>
      <c r="AO14" s="3"/>
    </row>
    <row r="15" spans="1:41" ht="22.5" customHeight="1" x14ac:dyDescent="0.2">
      <c r="A15" s="1">
        <v>45976.8491134375</v>
      </c>
      <c r="B15" s="2" t="s">
        <v>170</v>
      </c>
      <c r="C15" s="2">
        <v>20</v>
      </c>
      <c r="D15" s="2" t="s">
        <v>73</v>
      </c>
      <c r="E15" s="2" t="s">
        <v>171</v>
      </c>
      <c r="F15" s="2" t="s">
        <v>172</v>
      </c>
      <c r="G15" s="2" t="s">
        <v>45</v>
      </c>
      <c r="H15" s="2">
        <v>6</v>
      </c>
      <c r="I15" s="2">
        <v>1</v>
      </c>
      <c r="J15" s="2" t="s">
        <v>75</v>
      </c>
      <c r="K15" s="2" t="s">
        <v>47</v>
      </c>
      <c r="L15" s="3"/>
      <c r="M15" s="3"/>
      <c r="N15" s="3"/>
      <c r="O15" s="3"/>
      <c r="P15" s="2">
        <v>45</v>
      </c>
      <c r="Q15" s="3"/>
      <c r="R15" s="2">
        <v>15</v>
      </c>
      <c r="S15" s="2" t="s">
        <v>159</v>
      </c>
      <c r="T15" s="2" t="s">
        <v>159</v>
      </c>
      <c r="U15" s="2" t="s">
        <v>173</v>
      </c>
      <c r="V15" s="2" t="s">
        <v>174</v>
      </c>
      <c r="W15" s="2" t="s">
        <v>175</v>
      </c>
      <c r="X15" s="2">
        <v>4</v>
      </c>
      <c r="Y15" s="2">
        <v>12</v>
      </c>
      <c r="Z15" s="2">
        <v>8</v>
      </c>
      <c r="AA15" s="2" t="s">
        <v>82</v>
      </c>
      <c r="AB15" s="3"/>
      <c r="AC15" s="2" t="s">
        <v>82</v>
      </c>
      <c r="AD15" s="2">
        <v>1</v>
      </c>
      <c r="AE15" s="2" t="s">
        <v>168</v>
      </c>
      <c r="AF15" s="2">
        <v>440</v>
      </c>
      <c r="AG15" s="2" t="s">
        <v>176</v>
      </c>
      <c r="AH15" s="3"/>
      <c r="AI15" s="2" t="s">
        <v>96</v>
      </c>
      <c r="AJ15" s="2">
        <v>19</v>
      </c>
      <c r="AK15" s="3"/>
      <c r="AL15" s="3"/>
      <c r="AM15" s="3"/>
      <c r="AN15" s="3"/>
      <c r="AO15" s="3"/>
    </row>
    <row r="16" spans="1:41" ht="22.5" customHeight="1" x14ac:dyDescent="0.2">
      <c r="A16" s="1">
        <v>45976.851457546298</v>
      </c>
      <c r="B16" s="2" t="s">
        <v>143</v>
      </c>
      <c r="C16" s="2">
        <v>21</v>
      </c>
      <c r="D16" s="2" t="s">
        <v>42</v>
      </c>
      <c r="E16" s="2" t="s">
        <v>58</v>
      </c>
      <c r="F16" s="2" t="s">
        <v>144</v>
      </c>
      <c r="G16" s="2" t="s">
        <v>89</v>
      </c>
      <c r="H16" s="2">
        <v>3</v>
      </c>
      <c r="I16" s="2">
        <v>1</v>
      </c>
      <c r="J16" s="2" t="s">
        <v>46</v>
      </c>
      <c r="K16" s="2" t="s">
        <v>47</v>
      </c>
      <c r="L16" s="3"/>
      <c r="M16" s="3"/>
      <c r="N16" s="3"/>
      <c r="O16" s="3"/>
      <c r="P16" s="2">
        <v>5000</v>
      </c>
      <c r="Q16" s="3"/>
      <c r="R16" s="2">
        <v>5000</v>
      </c>
      <c r="S16" s="2" t="s">
        <v>63</v>
      </c>
      <c r="T16" s="2" t="s">
        <v>49</v>
      </c>
      <c r="U16" s="2" t="s">
        <v>150</v>
      </c>
      <c r="V16" s="2" t="s">
        <v>142</v>
      </c>
      <c r="W16" s="2" t="s">
        <v>177</v>
      </c>
      <c r="X16" s="2" t="s">
        <v>149</v>
      </c>
      <c r="Y16" s="2" t="s">
        <v>178</v>
      </c>
      <c r="Z16" s="2" t="s">
        <v>149</v>
      </c>
      <c r="AA16" s="2" t="s">
        <v>51</v>
      </c>
      <c r="AB16" s="2" t="s">
        <v>51</v>
      </c>
      <c r="AC16" s="2" t="s">
        <v>51</v>
      </c>
      <c r="AD16" s="2" t="s">
        <v>179</v>
      </c>
      <c r="AE16" s="2" t="s">
        <v>52</v>
      </c>
      <c r="AF16" s="2" t="s">
        <v>67</v>
      </c>
      <c r="AG16" s="2" t="s">
        <v>180</v>
      </c>
      <c r="AH16" s="3"/>
      <c r="AI16" s="3"/>
      <c r="AJ16" s="2" t="s">
        <v>86</v>
      </c>
      <c r="AK16" s="2" t="s">
        <v>153</v>
      </c>
      <c r="AL16" s="3"/>
      <c r="AM16" s="3"/>
      <c r="AN16" s="3"/>
      <c r="AO16" s="3"/>
    </row>
    <row r="17" spans="1:41" ht="22.5" customHeight="1" x14ac:dyDescent="0.2">
      <c r="A17" s="1">
        <v>45976.862959016202</v>
      </c>
      <c r="B17" s="2" t="s">
        <v>181</v>
      </c>
      <c r="C17" s="2">
        <v>22</v>
      </c>
      <c r="D17" s="2" t="s">
        <v>42</v>
      </c>
      <c r="E17" s="2" t="s">
        <v>43</v>
      </c>
      <c r="F17" s="2" t="s">
        <v>144</v>
      </c>
      <c r="G17" s="2" t="s">
        <v>182</v>
      </c>
      <c r="H17" s="2">
        <v>4</v>
      </c>
      <c r="I17" s="2">
        <v>2</v>
      </c>
      <c r="J17" s="2" t="s">
        <v>61</v>
      </c>
      <c r="K17" s="2" t="s">
        <v>47</v>
      </c>
      <c r="L17" s="3"/>
      <c r="M17" s="3"/>
      <c r="N17" s="3"/>
      <c r="O17" s="3"/>
      <c r="P17" s="2">
        <v>4500</v>
      </c>
      <c r="Q17" s="3"/>
      <c r="R17" s="3"/>
      <c r="S17" s="2" t="s">
        <v>49</v>
      </c>
      <c r="T17" s="2" t="s">
        <v>49</v>
      </c>
      <c r="U17" s="2" t="s">
        <v>54</v>
      </c>
      <c r="V17" s="3"/>
      <c r="W17" s="3"/>
      <c r="X17" s="2">
        <v>5</v>
      </c>
      <c r="Y17" s="2">
        <v>6</v>
      </c>
      <c r="Z17" s="3"/>
      <c r="AA17" s="2" t="s">
        <v>51</v>
      </c>
      <c r="AB17" s="2" t="s">
        <v>66</v>
      </c>
      <c r="AC17" s="3"/>
      <c r="AD17" s="2">
        <v>30</v>
      </c>
      <c r="AE17" s="2" t="s">
        <v>52</v>
      </c>
      <c r="AF17" s="3"/>
      <c r="AG17" s="3"/>
      <c r="AH17" s="3"/>
      <c r="AI17" s="3"/>
      <c r="AJ17" s="3"/>
      <c r="AK17" s="3"/>
      <c r="AL17" s="3"/>
      <c r="AM17" s="3"/>
      <c r="AN17" s="3"/>
      <c r="AO17" s="3"/>
    </row>
    <row r="18" spans="1:41" ht="22.5" customHeight="1" x14ac:dyDescent="0.2">
      <c r="A18" s="1">
        <v>45976.869890497685</v>
      </c>
      <c r="B18" s="2" t="s">
        <v>183</v>
      </c>
      <c r="C18" s="2">
        <v>20</v>
      </c>
      <c r="D18" s="2" t="s">
        <v>42</v>
      </c>
      <c r="E18" s="2" t="s">
        <v>43</v>
      </c>
      <c r="F18" s="3"/>
      <c r="G18" s="2" t="s">
        <v>45</v>
      </c>
      <c r="H18" s="2">
        <v>4</v>
      </c>
      <c r="I18" s="2">
        <v>1</v>
      </c>
      <c r="J18" s="2" t="s">
        <v>46</v>
      </c>
      <c r="K18" s="2" t="s">
        <v>47</v>
      </c>
      <c r="L18" s="3"/>
      <c r="M18" s="3"/>
      <c r="N18" s="3"/>
      <c r="O18" s="3"/>
      <c r="P18" s="3"/>
      <c r="Q18" s="3"/>
      <c r="R18" s="3"/>
      <c r="S18" s="2" t="s">
        <v>49</v>
      </c>
      <c r="T18" s="3"/>
      <c r="U18" s="2">
        <v>20</v>
      </c>
      <c r="V18" s="3"/>
      <c r="W18" s="3"/>
      <c r="X18" s="2">
        <v>18</v>
      </c>
      <c r="Y18" s="3"/>
      <c r="Z18" s="3"/>
      <c r="AA18" s="2" t="s">
        <v>166</v>
      </c>
      <c r="AB18" s="3"/>
      <c r="AC18" s="3"/>
      <c r="AD18" s="3"/>
      <c r="AE18" s="2" t="s">
        <v>52</v>
      </c>
      <c r="AF18" s="3"/>
      <c r="AG18" s="2" t="s">
        <v>184</v>
      </c>
      <c r="AH18" s="2">
        <v>2</v>
      </c>
      <c r="AI18" s="2" t="s">
        <v>54</v>
      </c>
      <c r="AJ18" s="2" t="s">
        <v>68</v>
      </c>
      <c r="AK18" s="2">
        <v>60</v>
      </c>
      <c r="AL18" s="3"/>
      <c r="AM18" s="3"/>
      <c r="AN18" s="3"/>
      <c r="AO18" s="3"/>
    </row>
    <row r="19" spans="1:41" ht="22.5" customHeight="1" x14ac:dyDescent="0.2">
      <c r="A19" s="1">
        <v>45976.870428854163</v>
      </c>
      <c r="B19" s="2" t="s">
        <v>185</v>
      </c>
      <c r="C19" s="2">
        <v>20</v>
      </c>
      <c r="D19" s="2" t="s">
        <v>42</v>
      </c>
      <c r="E19" s="2" t="s">
        <v>43</v>
      </c>
      <c r="F19" s="2" t="s">
        <v>44</v>
      </c>
      <c r="G19" s="2" t="s">
        <v>60</v>
      </c>
      <c r="H19" s="2">
        <v>4</v>
      </c>
      <c r="I19" s="2">
        <v>3</v>
      </c>
      <c r="J19" s="2" t="s">
        <v>186</v>
      </c>
      <c r="K19" s="2" t="s">
        <v>187</v>
      </c>
      <c r="L19" s="3"/>
      <c r="M19" s="3"/>
      <c r="N19" s="3"/>
      <c r="O19" s="3"/>
      <c r="P19" s="2" t="s">
        <v>188</v>
      </c>
      <c r="Q19" s="3"/>
      <c r="R19" s="2" t="s">
        <v>189</v>
      </c>
      <c r="S19" s="2" t="s">
        <v>63</v>
      </c>
      <c r="T19" s="2" t="s">
        <v>49</v>
      </c>
      <c r="U19" s="2" t="s">
        <v>64</v>
      </c>
      <c r="V19" s="2" t="s">
        <v>65</v>
      </c>
      <c r="W19" s="2" t="s">
        <v>190</v>
      </c>
      <c r="X19" s="2" t="s">
        <v>191</v>
      </c>
      <c r="Y19" s="2" t="s">
        <v>68</v>
      </c>
      <c r="Z19" s="2" t="s">
        <v>192</v>
      </c>
      <c r="AA19" s="2" t="s">
        <v>51</v>
      </c>
      <c r="AB19" s="2" t="s">
        <v>104</v>
      </c>
      <c r="AC19" s="2" t="s">
        <v>82</v>
      </c>
      <c r="AD19" s="2">
        <v>100</v>
      </c>
      <c r="AE19" s="2" t="s">
        <v>52</v>
      </c>
      <c r="AF19" s="2" t="s">
        <v>193</v>
      </c>
      <c r="AG19" s="2" t="s">
        <v>194</v>
      </c>
      <c r="AH19" s="2" t="s">
        <v>68</v>
      </c>
      <c r="AI19" s="2" t="s">
        <v>68</v>
      </c>
      <c r="AJ19" s="2" t="s">
        <v>68</v>
      </c>
      <c r="AK19" s="2" t="s">
        <v>104</v>
      </c>
      <c r="AL19" s="3"/>
      <c r="AM19" s="3"/>
      <c r="AN19" s="3"/>
      <c r="AO19" s="3"/>
    </row>
    <row r="20" spans="1:41" ht="22.5" customHeight="1" x14ac:dyDescent="0.2">
      <c r="A20" s="1">
        <v>45976.876695810184</v>
      </c>
      <c r="B20" s="2" t="s">
        <v>195</v>
      </c>
      <c r="C20" s="2">
        <v>19</v>
      </c>
      <c r="D20" s="2" t="s">
        <v>42</v>
      </c>
      <c r="E20" s="2" t="s">
        <v>43</v>
      </c>
      <c r="F20" s="2" t="s">
        <v>44</v>
      </c>
      <c r="G20" s="2" t="s">
        <v>60</v>
      </c>
      <c r="H20" s="2">
        <v>5</v>
      </c>
      <c r="I20" s="2">
        <v>2</v>
      </c>
      <c r="J20" s="2" t="s">
        <v>61</v>
      </c>
      <c r="K20" s="2" t="s">
        <v>47</v>
      </c>
      <c r="L20" s="3"/>
      <c r="M20" s="3"/>
      <c r="N20" s="3"/>
      <c r="O20" s="3"/>
      <c r="P20" s="3"/>
      <c r="Q20" s="3"/>
      <c r="R20" s="3"/>
      <c r="S20" s="2" t="s">
        <v>49</v>
      </c>
      <c r="T20" s="2" t="s">
        <v>49</v>
      </c>
      <c r="U20" s="2" t="s">
        <v>140</v>
      </c>
      <c r="V20" s="2">
        <v>30</v>
      </c>
      <c r="W20" s="3"/>
      <c r="X20" s="3"/>
      <c r="Y20" s="2" t="s">
        <v>196</v>
      </c>
      <c r="Z20" s="3"/>
      <c r="AA20" s="2" t="s">
        <v>51</v>
      </c>
      <c r="AB20" s="2" t="s">
        <v>66</v>
      </c>
      <c r="AC20" s="3"/>
      <c r="AD20" s="2" t="s">
        <v>197</v>
      </c>
      <c r="AE20" s="2" t="s">
        <v>52</v>
      </c>
      <c r="AF20" s="2" t="s">
        <v>198</v>
      </c>
      <c r="AG20" s="2" t="s">
        <v>152</v>
      </c>
      <c r="AH20" s="2">
        <v>4</v>
      </c>
      <c r="AI20" s="2" t="s">
        <v>96</v>
      </c>
      <c r="AJ20" s="2" t="s">
        <v>70</v>
      </c>
      <c r="AK20" s="2">
        <v>5</v>
      </c>
      <c r="AL20" s="3"/>
      <c r="AM20" s="3"/>
      <c r="AN20" s="3"/>
      <c r="AO20" s="3"/>
    </row>
    <row r="21" spans="1:41" ht="22.5" customHeight="1" x14ac:dyDescent="0.2">
      <c r="A21" s="1">
        <v>45976.890805196759</v>
      </c>
      <c r="B21" s="2" t="s">
        <v>199</v>
      </c>
      <c r="C21" s="2">
        <v>22</v>
      </c>
      <c r="D21" s="2" t="s">
        <v>73</v>
      </c>
      <c r="E21" s="2" t="s">
        <v>58</v>
      </c>
      <c r="F21" s="2" t="s">
        <v>74</v>
      </c>
      <c r="G21" s="2" t="s">
        <v>109</v>
      </c>
      <c r="H21" s="2">
        <v>4</v>
      </c>
      <c r="I21" s="2">
        <v>3</v>
      </c>
      <c r="J21" s="2" t="s">
        <v>156</v>
      </c>
      <c r="K21" s="2" t="s">
        <v>47</v>
      </c>
      <c r="L21" s="3"/>
      <c r="M21" s="3"/>
      <c r="N21" s="3"/>
      <c r="O21" s="3"/>
      <c r="P21" s="2">
        <v>1500</v>
      </c>
      <c r="Q21" s="3"/>
      <c r="R21" s="2">
        <v>5000</v>
      </c>
      <c r="S21" s="2" t="s">
        <v>49</v>
      </c>
      <c r="T21" s="2" t="s">
        <v>49</v>
      </c>
      <c r="U21" s="2">
        <v>25</v>
      </c>
      <c r="V21" s="2">
        <v>15</v>
      </c>
      <c r="W21" s="2">
        <v>30</v>
      </c>
      <c r="X21" s="2" t="s">
        <v>200</v>
      </c>
      <c r="Y21" s="2" t="s">
        <v>201</v>
      </c>
      <c r="Z21" s="2" t="s">
        <v>202</v>
      </c>
      <c r="AA21" s="2" t="s">
        <v>51</v>
      </c>
      <c r="AB21" s="2" t="s">
        <v>66</v>
      </c>
      <c r="AC21" s="2" t="s">
        <v>51</v>
      </c>
      <c r="AD21" s="2" t="s">
        <v>203</v>
      </c>
      <c r="AE21" s="2" t="s">
        <v>204</v>
      </c>
      <c r="AF21" s="2" t="s">
        <v>47</v>
      </c>
      <c r="AG21" s="2" t="s">
        <v>205</v>
      </c>
      <c r="AH21" s="2">
        <v>3</v>
      </c>
      <c r="AI21" s="2" t="s">
        <v>206</v>
      </c>
      <c r="AJ21" s="2" t="s">
        <v>55</v>
      </c>
      <c r="AK21" s="2">
        <v>104</v>
      </c>
      <c r="AL21" s="3"/>
      <c r="AM21" s="3"/>
      <c r="AN21" s="3"/>
      <c r="AO21" s="3"/>
    </row>
    <row r="22" spans="1:41" ht="22.5" customHeight="1" x14ac:dyDescent="0.2">
      <c r="A22" s="1">
        <v>45976.903186493058</v>
      </c>
      <c r="B22" s="2" t="s">
        <v>207</v>
      </c>
      <c r="C22" s="2">
        <v>19</v>
      </c>
      <c r="D22" s="2" t="s">
        <v>42</v>
      </c>
      <c r="E22" s="2" t="s">
        <v>43</v>
      </c>
      <c r="F22" s="2" t="s">
        <v>59</v>
      </c>
      <c r="G22" s="2" t="s">
        <v>89</v>
      </c>
      <c r="H22" s="2">
        <v>4</v>
      </c>
      <c r="I22" s="2">
        <v>2</v>
      </c>
      <c r="J22" s="2" t="s">
        <v>100</v>
      </c>
      <c r="K22" s="2" t="s">
        <v>47</v>
      </c>
      <c r="L22" s="3"/>
      <c r="M22" s="3"/>
      <c r="N22" s="3"/>
      <c r="O22" s="3"/>
      <c r="P22" s="2" t="s">
        <v>208</v>
      </c>
      <c r="Q22" s="3"/>
      <c r="R22" s="3"/>
      <c r="S22" s="2" t="s">
        <v>49</v>
      </c>
      <c r="T22" s="2" t="s">
        <v>49</v>
      </c>
      <c r="U22" s="2">
        <v>20</v>
      </c>
      <c r="V22" s="2">
        <v>5</v>
      </c>
      <c r="W22" s="3"/>
      <c r="X22" s="2">
        <v>5</v>
      </c>
      <c r="Y22" s="2">
        <v>10</v>
      </c>
      <c r="Z22" s="3"/>
      <c r="AA22" s="2" t="s">
        <v>51</v>
      </c>
      <c r="AB22" s="2" t="s">
        <v>51</v>
      </c>
      <c r="AC22" s="3"/>
      <c r="AD22" s="2">
        <v>10</v>
      </c>
      <c r="AE22" s="2" t="s">
        <v>52</v>
      </c>
      <c r="AF22" s="2" t="s">
        <v>67</v>
      </c>
      <c r="AG22" s="2" t="s">
        <v>209</v>
      </c>
      <c r="AH22" s="3"/>
      <c r="AI22" s="2" t="s">
        <v>96</v>
      </c>
      <c r="AJ22" s="3"/>
      <c r="AK22" s="2" t="s">
        <v>210</v>
      </c>
      <c r="AL22" s="3"/>
      <c r="AM22" s="3"/>
      <c r="AN22" s="3"/>
      <c r="AO22" s="3"/>
    </row>
    <row r="23" spans="1:41" ht="22.5" customHeight="1" x14ac:dyDescent="0.2">
      <c r="A23" s="1">
        <v>45976.903911909722</v>
      </c>
      <c r="B23" s="2" t="s">
        <v>211</v>
      </c>
      <c r="C23" s="2">
        <v>24</v>
      </c>
      <c r="D23" s="2" t="s">
        <v>42</v>
      </c>
      <c r="E23" s="2" t="s">
        <v>43</v>
      </c>
      <c r="F23" s="2" t="s">
        <v>144</v>
      </c>
      <c r="G23" s="2" t="s">
        <v>182</v>
      </c>
      <c r="H23" s="2">
        <v>3</v>
      </c>
      <c r="I23" s="2">
        <v>1</v>
      </c>
      <c r="J23" s="2" t="s">
        <v>100</v>
      </c>
      <c r="K23" s="2" t="s">
        <v>47</v>
      </c>
      <c r="L23" s="3"/>
      <c r="M23" s="3"/>
      <c r="N23" s="3"/>
      <c r="O23" s="3"/>
      <c r="P23" s="3"/>
      <c r="Q23" s="3"/>
      <c r="R23" s="3"/>
      <c r="S23" s="3"/>
      <c r="T23" s="2" t="s">
        <v>63</v>
      </c>
      <c r="U23" s="3"/>
      <c r="V23" s="2" t="s">
        <v>212</v>
      </c>
      <c r="W23" s="3"/>
      <c r="X23" s="3"/>
      <c r="Y23" s="2" t="s">
        <v>213</v>
      </c>
      <c r="Z23" s="3"/>
      <c r="AA23" s="3"/>
      <c r="AB23" s="2" t="s">
        <v>51</v>
      </c>
      <c r="AC23" s="3"/>
      <c r="AD23" s="2" t="s">
        <v>50</v>
      </c>
      <c r="AE23" s="2" t="s">
        <v>52</v>
      </c>
      <c r="AF23" s="2" t="s">
        <v>53</v>
      </c>
      <c r="AG23" s="2" t="s">
        <v>214</v>
      </c>
      <c r="AH23" s="2">
        <v>1</v>
      </c>
      <c r="AI23" s="2" t="s">
        <v>69</v>
      </c>
      <c r="AJ23" s="2" t="s">
        <v>215</v>
      </c>
      <c r="AK23" s="2" t="s">
        <v>216</v>
      </c>
      <c r="AL23" s="3"/>
      <c r="AM23" s="3"/>
      <c r="AN23" s="3"/>
      <c r="AO23" s="3"/>
    </row>
    <row r="24" spans="1:41" ht="22.5" customHeight="1" x14ac:dyDescent="0.2">
      <c r="A24" s="1">
        <v>45976.904628240736</v>
      </c>
      <c r="B24" s="2" t="s">
        <v>217</v>
      </c>
      <c r="C24" s="2">
        <v>26</v>
      </c>
      <c r="D24" s="2" t="s">
        <v>42</v>
      </c>
      <c r="E24" s="2" t="s">
        <v>58</v>
      </c>
      <c r="F24" s="2" t="s">
        <v>218</v>
      </c>
      <c r="G24" s="2" t="s">
        <v>182</v>
      </c>
      <c r="H24" s="2">
        <v>3</v>
      </c>
      <c r="I24" s="2">
        <v>1</v>
      </c>
      <c r="J24" s="2" t="s">
        <v>100</v>
      </c>
      <c r="K24" s="3"/>
      <c r="L24" s="3"/>
      <c r="M24" s="3"/>
      <c r="N24" s="3"/>
      <c r="O24" s="3"/>
      <c r="P24" s="3"/>
      <c r="Q24" s="3"/>
      <c r="R24" s="3"/>
      <c r="S24" s="3"/>
      <c r="T24" s="2" t="s">
        <v>219</v>
      </c>
      <c r="U24" s="3"/>
      <c r="V24" s="2" t="s">
        <v>64</v>
      </c>
      <c r="W24" s="3"/>
      <c r="X24" s="3"/>
      <c r="Y24" s="2">
        <v>15</v>
      </c>
      <c r="Z24" s="3"/>
      <c r="AA24" s="3"/>
      <c r="AB24" s="3"/>
      <c r="AC24" s="3"/>
      <c r="AD24" s="2" t="s">
        <v>220</v>
      </c>
      <c r="AE24" s="2" t="s">
        <v>168</v>
      </c>
      <c r="AF24" s="2" t="s">
        <v>221</v>
      </c>
      <c r="AG24" s="2" t="s">
        <v>222</v>
      </c>
      <c r="AH24" s="2">
        <v>2</v>
      </c>
      <c r="AI24" s="2" t="s">
        <v>96</v>
      </c>
      <c r="AJ24" s="2" t="s">
        <v>223</v>
      </c>
      <c r="AK24" s="2" t="s">
        <v>224</v>
      </c>
      <c r="AL24" s="3"/>
      <c r="AM24" s="3"/>
      <c r="AN24" s="3"/>
      <c r="AO24" s="3"/>
    </row>
    <row r="25" spans="1:41" ht="22.5" customHeight="1" x14ac:dyDescent="0.2">
      <c r="A25" s="1">
        <v>45976.908004340279</v>
      </c>
      <c r="B25" s="2" t="s">
        <v>225</v>
      </c>
      <c r="C25" s="2">
        <v>20</v>
      </c>
      <c r="D25" s="2" t="s">
        <v>42</v>
      </c>
      <c r="E25" s="2" t="s">
        <v>43</v>
      </c>
      <c r="F25" s="2" t="s">
        <v>218</v>
      </c>
      <c r="G25" s="2" t="s">
        <v>182</v>
      </c>
      <c r="H25" s="2">
        <v>5</v>
      </c>
      <c r="I25" s="2">
        <v>1</v>
      </c>
      <c r="J25" s="2" t="s">
        <v>100</v>
      </c>
      <c r="K25" s="3"/>
      <c r="L25" s="3"/>
      <c r="M25" s="3"/>
      <c r="N25" s="3"/>
      <c r="O25" s="3"/>
      <c r="P25" s="3"/>
      <c r="Q25" s="3"/>
      <c r="R25" s="3"/>
      <c r="S25" s="3"/>
      <c r="T25" s="2" t="s">
        <v>63</v>
      </c>
      <c r="U25" s="3"/>
      <c r="V25" s="2" t="s">
        <v>226</v>
      </c>
      <c r="W25" s="3"/>
      <c r="X25" s="3"/>
      <c r="Y25" s="2" t="s">
        <v>227</v>
      </c>
      <c r="Z25" s="3"/>
      <c r="AA25" s="3"/>
      <c r="AB25" s="2" t="s">
        <v>51</v>
      </c>
      <c r="AC25" s="3"/>
      <c r="AD25" s="2" t="s">
        <v>50</v>
      </c>
      <c r="AE25" s="2" t="s">
        <v>52</v>
      </c>
      <c r="AF25" s="3"/>
      <c r="AG25" s="3"/>
      <c r="AH25" s="3"/>
      <c r="AI25" s="3"/>
      <c r="AJ25" s="3"/>
      <c r="AK25" s="3"/>
      <c r="AL25" s="3"/>
      <c r="AM25" s="3"/>
      <c r="AN25" s="3"/>
      <c r="AO25" s="3"/>
    </row>
    <row r="26" spans="1:41" ht="22.5" customHeight="1" x14ac:dyDescent="0.2">
      <c r="A26" s="1">
        <v>45976.908617453708</v>
      </c>
      <c r="B26" s="2" t="s">
        <v>228</v>
      </c>
      <c r="C26" s="2">
        <v>50</v>
      </c>
      <c r="D26" s="2" t="s">
        <v>73</v>
      </c>
      <c r="E26" s="2" t="s">
        <v>43</v>
      </c>
      <c r="F26" s="2" t="s">
        <v>172</v>
      </c>
      <c r="G26" s="2" t="s">
        <v>89</v>
      </c>
      <c r="H26" s="2">
        <v>6</v>
      </c>
      <c r="I26" s="2">
        <v>2</v>
      </c>
      <c r="J26" s="2" t="s">
        <v>61</v>
      </c>
      <c r="K26" s="2" t="s">
        <v>47</v>
      </c>
      <c r="L26" s="3"/>
      <c r="M26" s="3"/>
      <c r="N26" s="3"/>
      <c r="O26" s="3"/>
      <c r="P26" s="2" t="s">
        <v>229</v>
      </c>
      <c r="Q26" s="3"/>
      <c r="R26" s="2" t="s">
        <v>230</v>
      </c>
      <c r="S26" s="2" t="s">
        <v>49</v>
      </c>
      <c r="T26" s="2" t="s">
        <v>49</v>
      </c>
      <c r="U26" s="2" t="s">
        <v>231</v>
      </c>
      <c r="V26" s="2" t="s">
        <v>232</v>
      </c>
      <c r="W26" s="2" t="s">
        <v>68</v>
      </c>
      <c r="X26" s="2">
        <v>23</v>
      </c>
      <c r="Y26" s="2">
        <v>7</v>
      </c>
      <c r="Z26" s="2" t="s">
        <v>68</v>
      </c>
      <c r="AA26" s="2" t="s">
        <v>233</v>
      </c>
      <c r="AB26" s="2" t="s">
        <v>82</v>
      </c>
      <c r="AC26" s="2" t="s">
        <v>68</v>
      </c>
      <c r="AD26" s="2" t="s">
        <v>234</v>
      </c>
      <c r="AE26" s="2" t="s">
        <v>52</v>
      </c>
      <c r="AF26" s="2" t="s">
        <v>47</v>
      </c>
      <c r="AG26" s="2" t="s">
        <v>68</v>
      </c>
      <c r="AH26" s="2">
        <v>2</v>
      </c>
      <c r="AI26" s="2" t="s">
        <v>69</v>
      </c>
      <c r="AJ26" s="2" t="s">
        <v>55</v>
      </c>
      <c r="AK26" s="2" t="s">
        <v>235</v>
      </c>
      <c r="AL26" s="3"/>
      <c r="AM26" s="3"/>
      <c r="AN26" s="3"/>
      <c r="AO26" s="3"/>
    </row>
    <row r="27" spans="1:41" ht="22.5" customHeight="1" x14ac:dyDescent="0.2">
      <c r="A27" s="1">
        <v>45977.434166782405</v>
      </c>
      <c r="B27" s="2" t="s">
        <v>236</v>
      </c>
      <c r="C27" s="2">
        <v>26</v>
      </c>
      <c r="D27" s="2" t="s">
        <v>73</v>
      </c>
      <c r="E27" s="2" t="s">
        <v>58</v>
      </c>
      <c r="F27" s="2" t="s">
        <v>74</v>
      </c>
      <c r="G27" s="2" t="s">
        <v>45</v>
      </c>
      <c r="H27" s="2">
        <v>4</v>
      </c>
      <c r="I27" s="2">
        <v>2</v>
      </c>
      <c r="J27" s="2" t="s">
        <v>75</v>
      </c>
      <c r="K27" s="2" t="s">
        <v>47</v>
      </c>
      <c r="L27" s="3"/>
      <c r="M27" s="3"/>
      <c r="N27" s="3"/>
      <c r="O27" s="3"/>
      <c r="P27" s="2" t="s">
        <v>237</v>
      </c>
      <c r="Q27" s="3"/>
      <c r="R27" s="2" t="s">
        <v>238</v>
      </c>
      <c r="S27" s="2" t="s">
        <v>49</v>
      </c>
      <c r="T27" s="3"/>
      <c r="U27" s="2" t="s">
        <v>142</v>
      </c>
      <c r="V27" s="3"/>
      <c r="W27" s="2" t="s">
        <v>239</v>
      </c>
      <c r="X27" s="2" t="s">
        <v>149</v>
      </c>
      <c r="Y27" s="3"/>
      <c r="Z27" s="2" t="s">
        <v>240</v>
      </c>
      <c r="AA27" s="2" t="s">
        <v>51</v>
      </c>
      <c r="AB27" s="3"/>
      <c r="AC27" s="2" t="s">
        <v>166</v>
      </c>
      <c r="AD27" s="2" t="s">
        <v>241</v>
      </c>
      <c r="AE27" s="2" t="s">
        <v>52</v>
      </c>
      <c r="AF27" s="2" t="s">
        <v>97</v>
      </c>
      <c r="AG27" s="2" t="s">
        <v>242</v>
      </c>
      <c r="AH27" s="2">
        <v>2</v>
      </c>
      <c r="AI27" s="2" t="s">
        <v>243</v>
      </c>
      <c r="AJ27" s="2" t="s">
        <v>97</v>
      </c>
      <c r="AK27" s="2" t="s">
        <v>244</v>
      </c>
      <c r="AL27" s="3"/>
      <c r="AM27" s="3"/>
      <c r="AN27" s="3"/>
      <c r="AO27" s="3"/>
    </row>
    <row r="28" spans="1:41" ht="22.5" customHeight="1" x14ac:dyDescent="0.2">
      <c r="A28" s="1">
        <v>45977.52352239583</v>
      </c>
      <c r="B28" s="2" t="s">
        <v>245</v>
      </c>
      <c r="C28" s="2">
        <v>22</v>
      </c>
      <c r="D28" s="2" t="s">
        <v>73</v>
      </c>
      <c r="E28" s="2" t="s">
        <v>43</v>
      </c>
      <c r="F28" s="2" t="s">
        <v>74</v>
      </c>
      <c r="G28" s="2" t="s">
        <v>89</v>
      </c>
      <c r="H28" s="2">
        <v>4</v>
      </c>
      <c r="I28" s="2">
        <v>2</v>
      </c>
      <c r="J28" s="2" t="s">
        <v>246</v>
      </c>
      <c r="K28" s="2" t="s">
        <v>47</v>
      </c>
      <c r="L28" s="3"/>
      <c r="M28" s="2" t="s">
        <v>47</v>
      </c>
      <c r="N28" s="3"/>
      <c r="O28" s="3"/>
      <c r="P28" s="2" t="s">
        <v>247</v>
      </c>
      <c r="Q28" s="2" t="s">
        <v>248</v>
      </c>
      <c r="R28" s="2" t="s">
        <v>249</v>
      </c>
      <c r="S28" s="3"/>
      <c r="T28" s="3"/>
      <c r="U28" s="3"/>
      <c r="V28" s="2" t="s">
        <v>250</v>
      </c>
      <c r="W28" s="2" t="s">
        <v>177</v>
      </c>
      <c r="X28" s="2" t="s">
        <v>251</v>
      </c>
      <c r="Y28" s="3"/>
      <c r="Z28" s="3"/>
      <c r="AA28" s="3"/>
      <c r="AB28" s="3"/>
      <c r="AC28" s="3"/>
      <c r="AD28" s="3"/>
      <c r="AE28" s="2">
        <v>7000</v>
      </c>
      <c r="AF28" s="2" t="s">
        <v>252</v>
      </c>
      <c r="AG28" s="2" t="s">
        <v>253</v>
      </c>
      <c r="AH28" s="2" t="s">
        <v>254</v>
      </c>
      <c r="AI28" s="2" t="s">
        <v>255</v>
      </c>
      <c r="AJ28" s="2" t="s">
        <v>85</v>
      </c>
      <c r="AK28" s="2" t="s">
        <v>256</v>
      </c>
      <c r="AL28" s="2" t="s">
        <v>257</v>
      </c>
      <c r="AM28" s="2" t="s">
        <v>258</v>
      </c>
      <c r="AN28" s="2" t="s">
        <v>259</v>
      </c>
      <c r="AO28" s="2" t="s">
        <v>260</v>
      </c>
    </row>
    <row r="29" spans="1:41" ht="22.5" customHeight="1" x14ac:dyDescent="0.2">
      <c r="A29" s="1">
        <v>45977.531961944449</v>
      </c>
      <c r="B29" s="2" t="s">
        <v>261</v>
      </c>
      <c r="C29" s="2">
        <v>28</v>
      </c>
      <c r="D29" s="2" t="s">
        <v>42</v>
      </c>
      <c r="E29" s="2" t="s">
        <v>58</v>
      </c>
      <c r="F29" s="2" t="s">
        <v>74</v>
      </c>
      <c r="G29" s="2" t="s">
        <v>89</v>
      </c>
      <c r="H29" s="2">
        <v>3</v>
      </c>
      <c r="I29" s="2">
        <v>2</v>
      </c>
      <c r="J29" s="2" t="s">
        <v>46</v>
      </c>
      <c r="K29" s="2" t="s">
        <v>47</v>
      </c>
      <c r="L29" s="3"/>
      <c r="M29" s="3"/>
      <c r="N29" s="3"/>
      <c r="O29" s="3"/>
      <c r="P29" s="2" t="s">
        <v>262</v>
      </c>
      <c r="Q29" s="2" t="s">
        <v>263</v>
      </c>
      <c r="R29" s="2" t="s">
        <v>264</v>
      </c>
      <c r="S29" s="3"/>
      <c r="T29" s="3"/>
      <c r="U29" s="3"/>
      <c r="V29" s="3"/>
      <c r="W29" s="3"/>
      <c r="X29" s="3"/>
      <c r="Y29" s="3"/>
      <c r="Z29" s="3"/>
      <c r="AA29" s="3"/>
      <c r="AB29" s="3"/>
      <c r="AC29" s="3"/>
      <c r="AD29" s="3"/>
      <c r="AE29" s="3"/>
      <c r="AF29" s="3"/>
      <c r="AG29" s="3"/>
      <c r="AH29" s="3"/>
      <c r="AI29" s="2" t="s">
        <v>255</v>
      </c>
      <c r="AJ29" s="2" t="s">
        <v>96</v>
      </c>
      <c r="AK29" s="2" t="s">
        <v>265</v>
      </c>
      <c r="AL29" s="2" t="s">
        <v>152</v>
      </c>
      <c r="AM29" s="2" t="s">
        <v>266</v>
      </c>
      <c r="AN29" s="2" t="s">
        <v>259</v>
      </c>
      <c r="AO29" s="2" t="s">
        <v>267</v>
      </c>
    </row>
    <row r="30" spans="1:41" ht="22.5" customHeight="1" x14ac:dyDescent="0.2">
      <c r="A30" s="1">
        <v>45977.55024773148</v>
      </c>
      <c r="B30" s="2" t="s">
        <v>268</v>
      </c>
      <c r="C30" s="2">
        <v>24</v>
      </c>
      <c r="D30" s="2" t="s">
        <v>42</v>
      </c>
      <c r="E30" s="2" t="s">
        <v>58</v>
      </c>
      <c r="F30" s="2" t="s">
        <v>74</v>
      </c>
      <c r="G30" s="2" t="s">
        <v>60</v>
      </c>
      <c r="H30" s="2">
        <v>4</v>
      </c>
      <c r="I30" s="2">
        <v>2</v>
      </c>
      <c r="J30" s="2" t="s">
        <v>269</v>
      </c>
      <c r="K30" s="3"/>
      <c r="L30" s="2" t="s">
        <v>47</v>
      </c>
      <c r="M30" s="2" t="s">
        <v>157</v>
      </c>
      <c r="N30" s="3"/>
      <c r="O30" s="3"/>
      <c r="P30" s="3"/>
      <c r="Q30" s="2" t="s">
        <v>221</v>
      </c>
      <c r="R30" s="3"/>
      <c r="S30" s="2" t="s">
        <v>270</v>
      </c>
      <c r="T30" s="2" t="s">
        <v>150</v>
      </c>
      <c r="U30" s="2" t="s">
        <v>271</v>
      </c>
      <c r="V30" s="2" t="s">
        <v>272</v>
      </c>
      <c r="W30" s="2" t="s">
        <v>273</v>
      </c>
      <c r="X30" s="2" t="s">
        <v>274</v>
      </c>
      <c r="Y30" s="3"/>
      <c r="Z30" s="3"/>
      <c r="AA30" s="3"/>
      <c r="AB30" s="3"/>
      <c r="AC30" s="3"/>
      <c r="AD30" s="3"/>
      <c r="AE30" s="2" t="s">
        <v>275</v>
      </c>
      <c r="AF30" s="2" t="s">
        <v>276</v>
      </c>
      <c r="AG30" s="2" t="s">
        <v>253</v>
      </c>
      <c r="AH30" s="2" t="s">
        <v>142</v>
      </c>
      <c r="AI30" s="2" t="s">
        <v>255</v>
      </c>
      <c r="AJ30" s="2" t="s">
        <v>277</v>
      </c>
      <c r="AK30" s="2" t="s">
        <v>256</v>
      </c>
      <c r="AL30" s="2" t="s">
        <v>152</v>
      </c>
      <c r="AM30" s="2" t="s">
        <v>278</v>
      </c>
      <c r="AN30" s="2" t="s">
        <v>279</v>
      </c>
      <c r="AO30" s="2" t="s">
        <v>280</v>
      </c>
    </row>
    <row r="31" spans="1:41" ht="22.5" customHeight="1" x14ac:dyDescent="0.2">
      <c r="A31" s="1">
        <v>45977.555194363427</v>
      </c>
      <c r="B31" s="2" t="s">
        <v>281</v>
      </c>
      <c r="C31" s="2">
        <v>21</v>
      </c>
      <c r="D31" s="2" t="s">
        <v>42</v>
      </c>
      <c r="E31" s="2" t="s">
        <v>43</v>
      </c>
      <c r="F31" s="2" t="s">
        <v>59</v>
      </c>
      <c r="G31" s="2" t="s">
        <v>182</v>
      </c>
      <c r="H31" s="2">
        <v>4</v>
      </c>
      <c r="I31" s="2">
        <v>1</v>
      </c>
      <c r="J31" s="2" t="s">
        <v>46</v>
      </c>
      <c r="K31" s="2" t="s">
        <v>47</v>
      </c>
      <c r="L31" s="3"/>
      <c r="M31" s="3"/>
      <c r="N31" s="3"/>
      <c r="O31" s="3"/>
      <c r="P31" s="2" t="s">
        <v>213</v>
      </c>
      <c r="Q31" s="2" t="s">
        <v>282</v>
      </c>
      <c r="R31" s="2" t="s">
        <v>283</v>
      </c>
      <c r="S31" s="3"/>
      <c r="T31" s="3"/>
      <c r="U31" s="3"/>
      <c r="V31" s="3"/>
      <c r="W31" s="3"/>
      <c r="X31" s="3"/>
      <c r="Y31" s="3"/>
      <c r="Z31" s="3"/>
      <c r="AA31" s="3"/>
      <c r="AB31" s="3"/>
      <c r="AC31" s="3"/>
      <c r="AD31" s="3"/>
      <c r="AE31" s="2">
        <v>3000</v>
      </c>
      <c r="AF31" s="2" t="s">
        <v>252</v>
      </c>
      <c r="AG31" s="2" t="s">
        <v>284</v>
      </c>
      <c r="AH31" s="2" t="s">
        <v>282</v>
      </c>
      <c r="AI31" s="2" t="s">
        <v>285</v>
      </c>
      <c r="AJ31" s="2" t="s">
        <v>54</v>
      </c>
      <c r="AK31" s="2" t="s">
        <v>256</v>
      </c>
      <c r="AL31" s="2" t="s">
        <v>152</v>
      </c>
      <c r="AM31" s="2" t="s">
        <v>286</v>
      </c>
      <c r="AN31" s="2" t="s">
        <v>287</v>
      </c>
      <c r="AO31" s="2" t="s">
        <v>288</v>
      </c>
    </row>
    <row r="32" spans="1:41" ht="22.5" customHeight="1" x14ac:dyDescent="0.2">
      <c r="A32" s="1">
        <v>45977.555243206021</v>
      </c>
      <c r="B32" s="2" t="s">
        <v>289</v>
      </c>
      <c r="C32" s="2">
        <v>29</v>
      </c>
      <c r="D32" s="2" t="s">
        <v>73</v>
      </c>
      <c r="E32" s="2" t="s">
        <v>43</v>
      </c>
      <c r="F32" s="2" t="s">
        <v>44</v>
      </c>
      <c r="G32" s="2" t="s">
        <v>89</v>
      </c>
      <c r="H32" s="2">
        <v>4</v>
      </c>
      <c r="I32" s="2">
        <v>2</v>
      </c>
      <c r="J32" s="2" t="s">
        <v>290</v>
      </c>
      <c r="K32" s="2" t="s">
        <v>47</v>
      </c>
      <c r="L32" s="3"/>
      <c r="M32" s="3"/>
      <c r="N32" s="2" t="s">
        <v>291</v>
      </c>
      <c r="O32" s="3"/>
      <c r="P32" s="2" t="s">
        <v>292</v>
      </c>
      <c r="Q32" s="2" t="s">
        <v>65</v>
      </c>
      <c r="R32" s="2" t="s">
        <v>293</v>
      </c>
      <c r="S32" s="3"/>
      <c r="T32" s="3"/>
      <c r="U32" s="3"/>
      <c r="V32" s="3"/>
      <c r="W32" s="3"/>
      <c r="X32" s="3"/>
      <c r="Y32" s="2" t="s">
        <v>292</v>
      </c>
      <c r="Z32" s="2" t="s">
        <v>64</v>
      </c>
      <c r="AA32" s="2" t="s">
        <v>294</v>
      </c>
      <c r="AB32" s="3"/>
      <c r="AC32" s="3"/>
      <c r="AD32" s="3"/>
      <c r="AE32" s="2">
        <v>9200</v>
      </c>
      <c r="AF32" s="2" t="s">
        <v>252</v>
      </c>
      <c r="AG32" s="2" t="s">
        <v>295</v>
      </c>
      <c r="AH32" s="2" t="s">
        <v>282</v>
      </c>
      <c r="AI32" s="2" t="s">
        <v>296</v>
      </c>
      <c r="AJ32" s="2" t="s">
        <v>85</v>
      </c>
      <c r="AK32" s="2" t="s">
        <v>256</v>
      </c>
      <c r="AL32" s="2" t="s">
        <v>152</v>
      </c>
      <c r="AM32" s="2" t="s">
        <v>297</v>
      </c>
      <c r="AN32" s="2" t="s">
        <v>287</v>
      </c>
      <c r="AO32" s="2" t="s">
        <v>298</v>
      </c>
    </row>
    <row r="33" spans="1:41" ht="22.5" customHeight="1" x14ac:dyDescent="0.2">
      <c r="A33" s="1">
        <v>45977.560203506946</v>
      </c>
      <c r="B33" s="2" t="s">
        <v>299</v>
      </c>
      <c r="C33" s="2">
        <v>20</v>
      </c>
      <c r="D33" s="2" t="s">
        <v>42</v>
      </c>
      <c r="E33" s="2" t="s">
        <v>43</v>
      </c>
      <c r="F33" s="3"/>
      <c r="G33" s="3"/>
      <c r="H33" s="2">
        <v>6</v>
      </c>
      <c r="I33" s="2">
        <v>1</v>
      </c>
      <c r="J33" s="2" t="s">
        <v>100</v>
      </c>
      <c r="K33" s="3"/>
      <c r="L33" s="2" t="s">
        <v>47</v>
      </c>
      <c r="M33" s="3"/>
      <c r="N33" s="3"/>
      <c r="O33" s="3"/>
      <c r="P33" s="3"/>
      <c r="Q33" s="2" t="s">
        <v>254</v>
      </c>
      <c r="R33" s="3"/>
      <c r="S33" s="2" t="s">
        <v>300</v>
      </c>
      <c r="T33" s="2" t="s">
        <v>142</v>
      </c>
      <c r="U33" s="2" t="s">
        <v>301</v>
      </c>
      <c r="V33" s="3"/>
      <c r="W33" s="3"/>
      <c r="X33" s="3"/>
      <c r="Y33" s="3"/>
      <c r="Z33" s="3"/>
      <c r="AA33" s="3"/>
      <c r="AB33" s="3"/>
      <c r="AC33" s="3"/>
      <c r="AD33" s="3"/>
      <c r="AE33" s="3"/>
      <c r="AF33" s="2" t="s">
        <v>252</v>
      </c>
      <c r="AG33" s="2" t="s">
        <v>253</v>
      </c>
      <c r="AH33" s="2" t="s">
        <v>302</v>
      </c>
      <c r="AI33" s="2" t="s">
        <v>285</v>
      </c>
      <c r="AJ33" s="2" t="s">
        <v>54</v>
      </c>
      <c r="AK33" s="2" t="s">
        <v>256</v>
      </c>
      <c r="AL33" s="2" t="s">
        <v>68</v>
      </c>
      <c r="AM33" s="2" t="s">
        <v>286</v>
      </c>
      <c r="AN33" s="2" t="s">
        <v>303</v>
      </c>
      <c r="AO33" s="2" t="s">
        <v>68</v>
      </c>
    </row>
    <row r="34" spans="1:41" ht="22.5" customHeight="1" x14ac:dyDescent="0.2">
      <c r="A34" s="1">
        <v>45977.561770393513</v>
      </c>
      <c r="B34" s="2" t="s">
        <v>304</v>
      </c>
      <c r="C34" s="2">
        <v>20</v>
      </c>
      <c r="D34" s="2" t="s">
        <v>73</v>
      </c>
      <c r="E34" s="2" t="s">
        <v>43</v>
      </c>
      <c r="F34" s="2" t="s">
        <v>59</v>
      </c>
      <c r="G34" s="3"/>
      <c r="H34" s="2">
        <v>5</v>
      </c>
      <c r="I34" s="2">
        <v>1</v>
      </c>
      <c r="J34" s="2" t="s">
        <v>46</v>
      </c>
      <c r="K34" s="2" t="s">
        <v>47</v>
      </c>
      <c r="L34" s="3"/>
      <c r="M34" s="3"/>
      <c r="N34" s="3"/>
      <c r="O34" s="3"/>
      <c r="P34" s="2">
        <v>3</v>
      </c>
      <c r="Q34" s="2">
        <v>30000</v>
      </c>
      <c r="R34" s="2">
        <v>2000</v>
      </c>
      <c r="S34" s="3"/>
      <c r="T34" s="3"/>
      <c r="U34" s="3"/>
      <c r="V34" s="3"/>
      <c r="W34" s="3"/>
      <c r="X34" s="3"/>
      <c r="Y34" s="3"/>
      <c r="Z34" s="3"/>
      <c r="AA34" s="3"/>
      <c r="AB34" s="3"/>
      <c r="AC34" s="3"/>
      <c r="AD34" s="3"/>
      <c r="AE34" s="3"/>
      <c r="AF34" s="2" t="s">
        <v>252</v>
      </c>
      <c r="AG34" s="2" t="s">
        <v>305</v>
      </c>
      <c r="AH34" s="2">
        <v>10</v>
      </c>
      <c r="AI34" s="2" t="s">
        <v>306</v>
      </c>
      <c r="AJ34" s="2" t="s">
        <v>54</v>
      </c>
      <c r="AK34" s="2" t="s">
        <v>307</v>
      </c>
      <c r="AL34" s="2" t="s">
        <v>257</v>
      </c>
      <c r="AM34" s="2" t="s">
        <v>286</v>
      </c>
      <c r="AN34" s="3"/>
      <c r="AO34" s="3"/>
    </row>
    <row r="35" spans="1:41" ht="22.5" customHeight="1" x14ac:dyDescent="0.2">
      <c r="A35" s="1">
        <v>45977.562188402779</v>
      </c>
      <c r="B35" s="2" t="s">
        <v>308</v>
      </c>
      <c r="C35" s="2">
        <v>28</v>
      </c>
      <c r="D35" s="2" t="s">
        <v>73</v>
      </c>
      <c r="E35" s="2" t="s">
        <v>43</v>
      </c>
      <c r="F35" s="2" t="s">
        <v>44</v>
      </c>
      <c r="G35" s="2" t="s">
        <v>45</v>
      </c>
      <c r="H35" s="2">
        <v>5</v>
      </c>
      <c r="I35" s="2">
        <v>3</v>
      </c>
      <c r="J35" s="2" t="s">
        <v>309</v>
      </c>
      <c r="K35" s="2" t="s">
        <v>47</v>
      </c>
      <c r="L35" s="3"/>
      <c r="M35" s="2" t="s">
        <v>291</v>
      </c>
      <c r="N35" s="2" t="s">
        <v>291</v>
      </c>
      <c r="O35" s="3"/>
      <c r="P35" s="2" t="s">
        <v>310</v>
      </c>
      <c r="Q35" s="2" t="s">
        <v>50</v>
      </c>
      <c r="R35" s="2" t="s">
        <v>311</v>
      </c>
      <c r="S35" s="3"/>
      <c r="T35" s="3"/>
      <c r="U35" s="3"/>
      <c r="V35" s="2" t="s">
        <v>312</v>
      </c>
      <c r="W35" s="2" t="s">
        <v>248</v>
      </c>
      <c r="X35" s="2" t="s">
        <v>313</v>
      </c>
      <c r="Y35" s="2" t="s">
        <v>314</v>
      </c>
      <c r="Z35" s="2" t="s">
        <v>150</v>
      </c>
      <c r="AA35" s="2" t="s">
        <v>315</v>
      </c>
      <c r="AB35" s="3"/>
      <c r="AC35" s="3"/>
      <c r="AD35" s="3"/>
      <c r="AE35" s="2" t="s">
        <v>316</v>
      </c>
      <c r="AF35" s="2" t="s">
        <v>159</v>
      </c>
      <c r="AG35" s="2" t="s">
        <v>317</v>
      </c>
      <c r="AH35" s="2" t="s">
        <v>146</v>
      </c>
      <c r="AI35" s="2" t="s">
        <v>296</v>
      </c>
      <c r="AJ35" s="2" t="s">
        <v>85</v>
      </c>
      <c r="AK35" s="2" t="s">
        <v>318</v>
      </c>
      <c r="AL35" s="2" t="s">
        <v>68</v>
      </c>
      <c r="AM35" s="3"/>
      <c r="AN35" s="2" t="s">
        <v>259</v>
      </c>
      <c r="AO35" s="2" t="s">
        <v>319</v>
      </c>
    </row>
    <row r="36" spans="1:41" ht="22.5" customHeight="1" x14ac:dyDescent="0.2">
      <c r="A36" s="1">
        <v>45977.563490949076</v>
      </c>
      <c r="B36" s="2" t="s">
        <v>320</v>
      </c>
      <c r="C36" s="2">
        <v>20</v>
      </c>
      <c r="D36" s="2" t="s">
        <v>42</v>
      </c>
      <c r="E36" s="2" t="s">
        <v>58</v>
      </c>
      <c r="F36" s="2" t="s">
        <v>108</v>
      </c>
      <c r="G36" s="2" t="s">
        <v>182</v>
      </c>
      <c r="H36" s="2">
        <v>3</v>
      </c>
      <c r="I36" s="2">
        <v>1</v>
      </c>
      <c r="J36" s="2" t="s">
        <v>100</v>
      </c>
      <c r="K36" s="3"/>
      <c r="L36" s="2" t="s">
        <v>47</v>
      </c>
      <c r="M36" s="3"/>
      <c r="N36" s="3"/>
      <c r="O36" s="3"/>
      <c r="P36" s="3"/>
      <c r="Q36" s="3"/>
      <c r="R36" s="3"/>
      <c r="S36" s="2" t="s">
        <v>129</v>
      </c>
      <c r="T36" s="2" t="s">
        <v>254</v>
      </c>
      <c r="U36" s="2" t="s">
        <v>321</v>
      </c>
      <c r="V36" s="3"/>
      <c r="W36" s="3"/>
      <c r="X36" s="3"/>
      <c r="Y36" s="3"/>
      <c r="Z36" s="3"/>
      <c r="AA36" s="3"/>
      <c r="AB36" s="3"/>
      <c r="AC36" s="3"/>
      <c r="AD36" s="3"/>
      <c r="AE36" s="2" t="s">
        <v>322</v>
      </c>
      <c r="AF36" s="2" t="s">
        <v>323</v>
      </c>
      <c r="AG36" s="2" t="s">
        <v>284</v>
      </c>
      <c r="AH36" s="2" t="s">
        <v>324</v>
      </c>
      <c r="AI36" s="2" t="s">
        <v>285</v>
      </c>
      <c r="AJ36" s="2" t="s">
        <v>96</v>
      </c>
      <c r="AK36" s="2" t="s">
        <v>325</v>
      </c>
      <c r="AL36" s="2" t="s">
        <v>152</v>
      </c>
      <c r="AM36" s="2" t="s">
        <v>286</v>
      </c>
      <c r="AN36" s="3"/>
      <c r="AO36" s="2" t="s">
        <v>326</v>
      </c>
    </row>
    <row r="37" spans="1:41" ht="22.5" customHeight="1" x14ac:dyDescent="0.2">
      <c r="A37" s="1">
        <v>45977.565837511575</v>
      </c>
      <c r="B37" s="2" t="s">
        <v>327</v>
      </c>
      <c r="C37" s="2">
        <v>35</v>
      </c>
      <c r="D37" s="2" t="s">
        <v>42</v>
      </c>
      <c r="E37" s="2" t="s">
        <v>58</v>
      </c>
      <c r="F37" s="2" t="s">
        <v>74</v>
      </c>
      <c r="G37" s="2" t="s">
        <v>45</v>
      </c>
      <c r="H37" s="2">
        <v>2</v>
      </c>
      <c r="I37" s="2">
        <v>2</v>
      </c>
      <c r="J37" s="2" t="s">
        <v>246</v>
      </c>
      <c r="K37" s="2" t="s">
        <v>47</v>
      </c>
      <c r="L37" s="3"/>
      <c r="M37" s="2" t="s">
        <v>291</v>
      </c>
      <c r="N37" s="3"/>
      <c r="O37" s="3"/>
      <c r="P37" s="2" t="s">
        <v>262</v>
      </c>
      <c r="Q37" s="2" t="s">
        <v>328</v>
      </c>
      <c r="R37" s="2" t="s">
        <v>329</v>
      </c>
      <c r="S37" s="3"/>
      <c r="T37" s="3"/>
      <c r="U37" s="3"/>
      <c r="V37" s="2" t="s">
        <v>330</v>
      </c>
      <c r="W37" s="2" t="s">
        <v>331</v>
      </c>
      <c r="X37" s="2" t="s">
        <v>332</v>
      </c>
      <c r="Y37" s="3"/>
      <c r="Z37" s="3"/>
      <c r="AA37" s="3"/>
      <c r="AB37" s="3"/>
      <c r="AC37" s="3"/>
      <c r="AD37" s="3"/>
      <c r="AE37" s="2" t="s">
        <v>333</v>
      </c>
      <c r="AF37" s="2" t="s">
        <v>276</v>
      </c>
      <c r="AG37" s="2" t="s">
        <v>305</v>
      </c>
      <c r="AH37" s="2" t="s">
        <v>334</v>
      </c>
      <c r="AI37" s="2" t="s">
        <v>255</v>
      </c>
      <c r="AJ37" s="2" t="s">
        <v>85</v>
      </c>
      <c r="AK37" s="2" t="s">
        <v>335</v>
      </c>
      <c r="AL37" s="2" t="s">
        <v>68</v>
      </c>
      <c r="AM37" s="3"/>
      <c r="AN37" s="2" t="s">
        <v>336</v>
      </c>
      <c r="AO37" s="2" t="s">
        <v>337</v>
      </c>
    </row>
    <row r="38" spans="1:41" ht="22.5" customHeight="1" x14ac:dyDescent="0.2">
      <c r="A38" s="1">
        <v>45977.567040219903</v>
      </c>
      <c r="B38" s="2" t="s">
        <v>338</v>
      </c>
      <c r="C38" s="2">
        <v>26</v>
      </c>
      <c r="D38" s="2" t="s">
        <v>73</v>
      </c>
      <c r="E38" s="2" t="s">
        <v>43</v>
      </c>
      <c r="F38" s="2" t="s">
        <v>339</v>
      </c>
      <c r="G38" s="2" t="s">
        <v>89</v>
      </c>
      <c r="H38" s="2">
        <v>6</v>
      </c>
      <c r="I38" s="2">
        <v>1</v>
      </c>
      <c r="J38" s="2" t="s">
        <v>46</v>
      </c>
      <c r="K38" s="2" t="s">
        <v>47</v>
      </c>
      <c r="L38" s="3"/>
      <c r="M38" s="3"/>
      <c r="N38" s="3"/>
      <c r="O38" s="3"/>
      <c r="P38" s="2" t="s">
        <v>340</v>
      </c>
      <c r="Q38" s="2" t="s">
        <v>140</v>
      </c>
      <c r="R38" s="2" t="s">
        <v>341</v>
      </c>
      <c r="S38" s="3"/>
      <c r="T38" s="3"/>
      <c r="U38" s="3"/>
      <c r="V38" s="3"/>
      <c r="W38" s="3"/>
      <c r="X38" s="3"/>
      <c r="Y38" s="3"/>
      <c r="Z38" s="3"/>
      <c r="AA38" s="3"/>
      <c r="AB38" s="3"/>
      <c r="AC38" s="3"/>
      <c r="AD38" s="3"/>
      <c r="AE38" s="2" t="s">
        <v>342</v>
      </c>
      <c r="AF38" s="2" t="s">
        <v>252</v>
      </c>
      <c r="AG38" s="2" t="s">
        <v>295</v>
      </c>
      <c r="AH38" s="2" t="s">
        <v>343</v>
      </c>
      <c r="AI38" s="2" t="s">
        <v>344</v>
      </c>
      <c r="AJ38" s="2" t="s">
        <v>96</v>
      </c>
      <c r="AK38" s="2" t="s">
        <v>256</v>
      </c>
      <c r="AL38" s="2" t="s">
        <v>257</v>
      </c>
      <c r="AM38" s="2" t="s">
        <v>258</v>
      </c>
      <c r="AN38" s="3"/>
      <c r="AO38" s="2" t="s">
        <v>345</v>
      </c>
    </row>
    <row r="39" spans="1:41" ht="22.5" customHeight="1" x14ac:dyDescent="0.2">
      <c r="A39" s="1">
        <v>45977.571431805554</v>
      </c>
      <c r="B39" s="2" t="s">
        <v>346</v>
      </c>
      <c r="C39" s="2">
        <v>23</v>
      </c>
      <c r="D39" s="2" t="s">
        <v>42</v>
      </c>
      <c r="E39" s="2" t="s">
        <v>58</v>
      </c>
      <c r="F39" s="2" t="s">
        <v>74</v>
      </c>
      <c r="G39" s="2" t="s">
        <v>45</v>
      </c>
      <c r="H39" s="2">
        <v>3</v>
      </c>
      <c r="I39" s="2">
        <v>1</v>
      </c>
      <c r="J39" s="2" t="s">
        <v>100</v>
      </c>
      <c r="K39" s="3"/>
      <c r="L39" s="2" t="s">
        <v>47</v>
      </c>
      <c r="M39" s="3"/>
      <c r="N39" s="3"/>
      <c r="O39" s="3"/>
      <c r="P39" s="3"/>
      <c r="Q39" s="3"/>
      <c r="R39" s="3"/>
      <c r="S39" s="2" t="s">
        <v>347</v>
      </c>
      <c r="T39" s="2" t="s">
        <v>343</v>
      </c>
      <c r="U39" s="2" t="s">
        <v>348</v>
      </c>
      <c r="V39" s="3"/>
      <c r="W39" s="3"/>
      <c r="X39" s="3"/>
      <c r="Y39" s="3"/>
      <c r="Z39" s="3"/>
      <c r="AA39" s="3"/>
      <c r="AB39" s="3"/>
      <c r="AC39" s="3"/>
      <c r="AD39" s="3"/>
      <c r="AE39" s="2">
        <v>1500</v>
      </c>
      <c r="AF39" s="2" t="s">
        <v>323</v>
      </c>
      <c r="AG39" s="2" t="s">
        <v>284</v>
      </c>
      <c r="AH39" s="2" t="s">
        <v>349</v>
      </c>
      <c r="AI39" s="2" t="s">
        <v>255</v>
      </c>
      <c r="AJ39" s="2" t="s">
        <v>96</v>
      </c>
      <c r="AK39" s="2" t="s">
        <v>335</v>
      </c>
      <c r="AL39" s="2" t="s">
        <v>257</v>
      </c>
      <c r="AM39" s="2" t="s">
        <v>286</v>
      </c>
      <c r="AN39" s="3"/>
      <c r="AO39" s="2" t="s">
        <v>350</v>
      </c>
    </row>
    <row r="40" spans="1:41" ht="22.5" customHeight="1" x14ac:dyDescent="0.2">
      <c r="A40" s="1">
        <v>45977.571674016202</v>
      </c>
      <c r="B40" s="2" t="s">
        <v>351</v>
      </c>
      <c r="C40" s="2">
        <v>32</v>
      </c>
      <c r="D40" s="2" t="s">
        <v>73</v>
      </c>
      <c r="E40" s="2" t="s">
        <v>58</v>
      </c>
      <c r="F40" s="2" t="s">
        <v>172</v>
      </c>
      <c r="G40" s="2" t="s">
        <v>155</v>
      </c>
      <c r="H40" s="2">
        <v>4</v>
      </c>
      <c r="I40" s="2">
        <v>2</v>
      </c>
      <c r="J40" s="2" t="s">
        <v>352</v>
      </c>
      <c r="K40" s="3"/>
      <c r="L40" s="3"/>
      <c r="M40" s="2" t="s">
        <v>47</v>
      </c>
      <c r="N40" s="3"/>
      <c r="O40" s="2" t="s">
        <v>353</v>
      </c>
      <c r="P40" s="3"/>
      <c r="Q40" s="3"/>
      <c r="R40" s="3"/>
      <c r="S40" s="3"/>
      <c r="T40" s="3"/>
      <c r="U40" s="3"/>
      <c r="V40" s="2" t="s">
        <v>354</v>
      </c>
      <c r="W40" s="2" t="s">
        <v>355</v>
      </c>
      <c r="X40" s="2" t="s">
        <v>356</v>
      </c>
      <c r="Y40" s="3"/>
      <c r="Z40" s="3"/>
      <c r="AA40" s="3"/>
      <c r="AB40" s="2" t="s">
        <v>357</v>
      </c>
      <c r="AC40" s="2" t="s">
        <v>248</v>
      </c>
      <c r="AD40" s="2" t="s">
        <v>358</v>
      </c>
      <c r="AE40" s="2" t="s">
        <v>359</v>
      </c>
      <c r="AF40" s="2" t="s">
        <v>360</v>
      </c>
      <c r="AG40" s="2" t="s">
        <v>361</v>
      </c>
      <c r="AH40" s="2" t="s">
        <v>150</v>
      </c>
      <c r="AI40" s="2" t="s">
        <v>255</v>
      </c>
      <c r="AJ40" s="2" t="s">
        <v>362</v>
      </c>
      <c r="AK40" s="2" t="s">
        <v>307</v>
      </c>
      <c r="AL40" s="2" t="s">
        <v>152</v>
      </c>
      <c r="AM40" s="2" t="s">
        <v>363</v>
      </c>
      <c r="AN40" s="3"/>
      <c r="AO40" s="2" t="s">
        <v>364</v>
      </c>
    </row>
    <row r="41" spans="1:41" ht="22.5" customHeight="1" x14ac:dyDescent="0.2">
      <c r="A41" s="1">
        <v>45977.575724675931</v>
      </c>
      <c r="B41" s="2" t="s">
        <v>365</v>
      </c>
      <c r="C41" s="2">
        <v>19</v>
      </c>
      <c r="D41" s="2" t="s">
        <v>73</v>
      </c>
      <c r="E41" s="3"/>
      <c r="F41" s="2" t="s">
        <v>144</v>
      </c>
      <c r="G41" s="2" t="s">
        <v>182</v>
      </c>
      <c r="H41" s="2">
        <v>3</v>
      </c>
      <c r="I41" s="2">
        <v>1</v>
      </c>
      <c r="J41" s="2" t="s">
        <v>100</v>
      </c>
      <c r="K41" s="3"/>
      <c r="L41" s="2" t="s">
        <v>47</v>
      </c>
      <c r="M41" s="3"/>
      <c r="N41" s="3"/>
      <c r="O41" s="3"/>
      <c r="P41" s="3"/>
      <c r="Q41" s="3"/>
      <c r="R41" s="3"/>
      <c r="S41" s="2" t="s">
        <v>358</v>
      </c>
      <c r="T41" s="2" t="s">
        <v>142</v>
      </c>
      <c r="U41" s="2" t="s">
        <v>366</v>
      </c>
      <c r="V41" s="3"/>
      <c r="W41" s="3"/>
      <c r="X41" s="3"/>
      <c r="Y41" s="3"/>
      <c r="Z41" s="3"/>
      <c r="AA41" s="3"/>
      <c r="AB41" s="3"/>
      <c r="AC41" s="3"/>
      <c r="AD41" s="3"/>
      <c r="AE41" s="3"/>
      <c r="AF41" s="2" t="s">
        <v>323</v>
      </c>
      <c r="AG41" s="2" t="s">
        <v>284</v>
      </c>
      <c r="AH41" s="2" t="s">
        <v>367</v>
      </c>
      <c r="AI41" s="2" t="s">
        <v>285</v>
      </c>
      <c r="AJ41" s="2" t="s">
        <v>96</v>
      </c>
      <c r="AK41" s="2" t="s">
        <v>325</v>
      </c>
      <c r="AL41" s="2" t="s">
        <v>257</v>
      </c>
      <c r="AM41" s="2" t="s">
        <v>368</v>
      </c>
      <c r="AN41" s="3"/>
      <c r="AO41" s="2" t="s">
        <v>369</v>
      </c>
    </row>
    <row r="42" spans="1:41" ht="22.5" customHeight="1" x14ac:dyDescent="0.2">
      <c r="A42" s="1">
        <v>45977.57924324074</v>
      </c>
      <c r="B42" s="2" t="s">
        <v>370</v>
      </c>
      <c r="C42" s="2">
        <v>27</v>
      </c>
      <c r="D42" s="2" t="s">
        <v>73</v>
      </c>
      <c r="E42" s="2" t="s">
        <v>43</v>
      </c>
      <c r="F42" s="2" t="s">
        <v>44</v>
      </c>
      <c r="G42" s="2" t="s">
        <v>45</v>
      </c>
      <c r="H42" s="2">
        <v>5</v>
      </c>
      <c r="I42" s="2">
        <v>2</v>
      </c>
      <c r="J42" s="2" t="s">
        <v>290</v>
      </c>
      <c r="K42" s="2" t="s">
        <v>47</v>
      </c>
      <c r="L42" s="3"/>
      <c r="M42" s="3"/>
      <c r="N42" s="2" t="s">
        <v>291</v>
      </c>
      <c r="O42" s="3"/>
      <c r="P42" s="2" t="s">
        <v>312</v>
      </c>
      <c r="Q42" s="2" t="s">
        <v>146</v>
      </c>
      <c r="R42" s="2" t="s">
        <v>321</v>
      </c>
      <c r="S42" s="3"/>
      <c r="T42" s="3"/>
      <c r="U42" s="3"/>
      <c r="V42" s="3"/>
      <c r="W42" s="3"/>
      <c r="X42" s="3"/>
      <c r="Y42" s="2" t="s">
        <v>310</v>
      </c>
      <c r="Z42" s="2" t="s">
        <v>248</v>
      </c>
      <c r="AA42" s="2" t="s">
        <v>371</v>
      </c>
      <c r="AB42" s="3"/>
      <c r="AC42" s="3"/>
      <c r="AD42" s="3"/>
      <c r="AE42" s="2" t="s">
        <v>372</v>
      </c>
      <c r="AF42" s="2" t="s">
        <v>159</v>
      </c>
      <c r="AG42" s="2" t="s">
        <v>317</v>
      </c>
      <c r="AH42" s="2" t="s">
        <v>302</v>
      </c>
      <c r="AI42" s="2" t="s">
        <v>296</v>
      </c>
      <c r="AJ42" s="2" t="s">
        <v>85</v>
      </c>
      <c r="AK42" s="2" t="s">
        <v>256</v>
      </c>
      <c r="AL42" s="2" t="s">
        <v>68</v>
      </c>
      <c r="AM42" s="3"/>
      <c r="AN42" s="2" t="s">
        <v>373</v>
      </c>
      <c r="AO42" s="2" t="s">
        <v>374</v>
      </c>
    </row>
    <row r="43" spans="1:41" ht="22.5" customHeight="1" x14ac:dyDescent="0.2">
      <c r="A43" s="1">
        <v>45977.583138599541</v>
      </c>
      <c r="B43" s="2" t="s">
        <v>375</v>
      </c>
      <c r="C43" s="2">
        <v>23</v>
      </c>
      <c r="D43" s="2" t="s">
        <v>42</v>
      </c>
      <c r="E43" s="2" t="s">
        <v>58</v>
      </c>
      <c r="F43" s="2" t="s">
        <v>138</v>
      </c>
      <c r="G43" s="2" t="s">
        <v>60</v>
      </c>
      <c r="H43" s="2">
        <v>4</v>
      </c>
      <c r="I43" s="2">
        <v>2</v>
      </c>
      <c r="J43" s="2" t="s">
        <v>246</v>
      </c>
      <c r="K43" s="2" t="s">
        <v>47</v>
      </c>
      <c r="L43" s="3"/>
      <c r="M43" s="2" t="s">
        <v>47</v>
      </c>
      <c r="N43" s="3"/>
      <c r="O43" s="3"/>
      <c r="P43" s="2" t="s">
        <v>354</v>
      </c>
      <c r="Q43" s="2" t="s">
        <v>150</v>
      </c>
      <c r="R43" s="2" t="s">
        <v>376</v>
      </c>
      <c r="S43" s="3"/>
      <c r="T43" s="3"/>
      <c r="U43" s="3"/>
      <c r="V43" s="2" t="s">
        <v>377</v>
      </c>
      <c r="W43" s="2" t="s">
        <v>177</v>
      </c>
      <c r="X43" s="2" t="s">
        <v>378</v>
      </c>
      <c r="Y43" s="3"/>
      <c r="Z43" s="3"/>
      <c r="AA43" s="3"/>
      <c r="AB43" s="3"/>
      <c r="AC43" s="3"/>
      <c r="AD43" s="3"/>
      <c r="AE43" s="2" t="s">
        <v>379</v>
      </c>
      <c r="AF43" s="2" t="s">
        <v>252</v>
      </c>
      <c r="AG43" s="2" t="s">
        <v>253</v>
      </c>
      <c r="AH43" s="2" t="s">
        <v>142</v>
      </c>
      <c r="AI43" s="3"/>
      <c r="AJ43" s="2" t="s">
        <v>277</v>
      </c>
      <c r="AK43" s="2" t="s">
        <v>256</v>
      </c>
      <c r="AL43" s="2" t="s">
        <v>257</v>
      </c>
      <c r="AM43" s="2" t="s">
        <v>278</v>
      </c>
      <c r="AN43" s="3"/>
      <c r="AO43" s="2" t="s">
        <v>380</v>
      </c>
    </row>
    <row r="44" spans="1:41" ht="22.5" customHeight="1" x14ac:dyDescent="0.2">
      <c r="A44" s="1">
        <v>45977.583976319445</v>
      </c>
      <c r="B44" s="2" t="s">
        <v>381</v>
      </c>
      <c r="C44" s="2">
        <v>26</v>
      </c>
      <c r="D44" s="2" t="s">
        <v>73</v>
      </c>
      <c r="E44" s="2" t="s">
        <v>58</v>
      </c>
      <c r="F44" s="2" t="s">
        <v>172</v>
      </c>
      <c r="G44" s="2" t="s">
        <v>60</v>
      </c>
      <c r="H44" s="2">
        <v>4</v>
      </c>
      <c r="I44" s="2">
        <v>2</v>
      </c>
      <c r="J44" s="2" t="s">
        <v>246</v>
      </c>
      <c r="K44" s="2" t="s">
        <v>47</v>
      </c>
      <c r="L44" s="3"/>
      <c r="M44" s="2" t="s">
        <v>47</v>
      </c>
      <c r="N44" s="3"/>
      <c r="O44" s="3"/>
      <c r="P44" s="2" t="s">
        <v>382</v>
      </c>
      <c r="Q44" s="2" t="s">
        <v>50</v>
      </c>
      <c r="R44" s="2" t="s">
        <v>383</v>
      </c>
      <c r="S44" s="3"/>
      <c r="T44" s="3"/>
      <c r="U44" s="3"/>
      <c r="V44" s="2" t="s">
        <v>384</v>
      </c>
      <c r="W44" s="2" t="s">
        <v>385</v>
      </c>
      <c r="X44" s="2" t="s">
        <v>386</v>
      </c>
      <c r="Y44" s="3"/>
      <c r="Z44" s="3"/>
      <c r="AA44" s="3"/>
      <c r="AB44" s="3"/>
      <c r="AC44" s="3"/>
      <c r="AD44" s="3"/>
      <c r="AE44" s="2">
        <v>9000</v>
      </c>
      <c r="AF44" s="2" t="s">
        <v>159</v>
      </c>
      <c r="AG44" s="2" t="s">
        <v>253</v>
      </c>
      <c r="AH44" s="2" t="s">
        <v>387</v>
      </c>
      <c r="AI44" s="2" t="s">
        <v>255</v>
      </c>
      <c r="AJ44" s="2" t="s">
        <v>85</v>
      </c>
      <c r="AK44" s="2" t="s">
        <v>307</v>
      </c>
      <c r="AL44" s="2" t="s">
        <v>152</v>
      </c>
      <c r="AM44" s="2" t="s">
        <v>258</v>
      </c>
      <c r="AN44" s="3"/>
      <c r="AO44" s="2" t="s">
        <v>388</v>
      </c>
    </row>
    <row r="45" spans="1:41" ht="22.5" customHeight="1" x14ac:dyDescent="0.2">
      <c r="A45" s="1">
        <v>45977.58755355324</v>
      </c>
      <c r="B45" s="2" t="s">
        <v>389</v>
      </c>
      <c r="C45" s="2">
        <v>30</v>
      </c>
      <c r="D45" s="2" t="s">
        <v>73</v>
      </c>
      <c r="E45" s="2" t="s">
        <v>43</v>
      </c>
      <c r="F45" s="2" t="s">
        <v>172</v>
      </c>
      <c r="G45" s="2" t="s">
        <v>45</v>
      </c>
      <c r="H45" s="2">
        <v>5</v>
      </c>
      <c r="I45" s="2">
        <v>3</v>
      </c>
      <c r="J45" s="2" t="s">
        <v>390</v>
      </c>
      <c r="K45" s="2" t="s">
        <v>47</v>
      </c>
      <c r="L45" s="2" t="s">
        <v>47</v>
      </c>
      <c r="M45" s="2" t="s">
        <v>47</v>
      </c>
      <c r="N45" s="3"/>
      <c r="O45" s="3"/>
      <c r="P45" s="2" t="s">
        <v>377</v>
      </c>
      <c r="Q45" s="2" t="s">
        <v>343</v>
      </c>
      <c r="R45" s="2" t="s">
        <v>391</v>
      </c>
      <c r="S45" s="2" t="s">
        <v>392</v>
      </c>
      <c r="T45" s="2" t="s">
        <v>393</v>
      </c>
      <c r="U45" s="2" t="s">
        <v>394</v>
      </c>
      <c r="V45" s="2" t="s">
        <v>395</v>
      </c>
      <c r="W45" s="2" t="s">
        <v>140</v>
      </c>
      <c r="X45" s="2" t="s">
        <v>396</v>
      </c>
      <c r="Y45" s="3"/>
      <c r="Z45" s="3"/>
      <c r="AA45" s="3"/>
      <c r="AB45" s="3"/>
      <c r="AC45" s="3"/>
      <c r="AD45" s="3"/>
      <c r="AE45" s="2" t="s">
        <v>397</v>
      </c>
      <c r="AF45" s="2" t="s">
        <v>323</v>
      </c>
      <c r="AG45" s="2" t="s">
        <v>295</v>
      </c>
      <c r="AH45" s="2" t="s">
        <v>146</v>
      </c>
      <c r="AI45" s="2" t="s">
        <v>255</v>
      </c>
      <c r="AJ45" s="2" t="s">
        <v>85</v>
      </c>
      <c r="AK45" s="2" t="s">
        <v>335</v>
      </c>
      <c r="AL45" s="2" t="s">
        <v>152</v>
      </c>
      <c r="AM45" s="2" t="s">
        <v>286</v>
      </c>
      <c r="AN45" s="3"/>
      <c r="AO45" s="2" t="s">
        <v>398</v>
      </c>
    </row>
    <row r="46" spans="1:41" ht="22.5" customHeight="1" x14ac:dyDescent="0.2">
      <c r="A46" s="1">
        <v>45977.599134895834</v>
      </c>
      <c r="B46" s="2" t="s">
        <v>399</v>
      </c>
      <c r="C46" s="2">
        <v>21</v>
      </c>
      <c r="D46" s="2" t="s">
        <v>42</v>
      </c>
      <c r="E46" s="2" t="s">
        <v>43</v>
      </c>
      <c r="F46" s="2" t="s">
        <v>285</v>
      </c>
      <c r="G46" s="2" t="s">
        <v>182</v>
      </c>
      <c r="H46" s="2">
        <v>4</v>
      </c>
      <c r="I46" s="2">
        <v>1</v>
      </c>
      <c r="J46" s="2" t="s">
        <v>100</v>
      </c>
      <c r="K46" s="3"/>
      <c r="L46" s="2" t="s">
        <v>47</v>
      </c>
      <c r="M46" s="3"/>
      <c r="N46" s="3"/>
      <c r="O46" s="3"/>
      <c r="P46" s="3"/>
      <c r="Q46" s="3"/>
      <c r="R46" s="3"/>
      <c r="S46" s="2" t="s">
        <v>400</v>
      </c>
      <c r="T46" s="2" t="s">
        <v>50</v>
      </c>
      <c r="U46" s="2" t="s">
        <v>383</v>
      </c>
      <c r="V46" s="3"/>
      <c r="W46" s="3"/>
      <c r="X46" s="3"/>
      <c r="Y46" s="3"/>
      <c r="Z46" s="3"/>
      <c r="AA46" s="3"/>
      <c r="AB46" s="3"/>
      <c r="AC46" s="3"/>
      <c r="AD46" s="3"/>
      <c r="AE46" s="2">
        <v>900</v>
      </c>
      <c r="AF46" s="2" t="s">
        <v>323</v>
      </c>
      <c r="AG46" s="2" t="s">
        <v>284</v>
      </c>
      <c r="AH46" s="2" t="s">
        <v>220</v>
      </c>
      <c r="AI46" s="2" t="s">
        <v>285</v>
      </c>
      <c r="AJ46" s="2" t="s">
        <v>96</v>
      </c>
      <c r="AK46" s="2" t="s">
        <v>325</v>
      </c>
      <c r="AL46" s="2" t="s">
        <v>257</v>
      </c>
      <c r="AM46" s="2" t="s">
        <v>401</v>
      </c>
      <c r="AN46" s="3"/>
      <c r="AO46" s="2" t="s">
        <v>402</v>
      </c>
    </row>
    <row r="47" spans="1:41" ht="22.5" customHeight="1" x14ac:dyDescent="0.2">
      <c r="A47" s="1">
        <v>45977.601827199076</v>
      </c>
      <c r="B47" s="2" t="s">
        <v>403</v>
      </c>
      <c r="C47" s="2">
        <v>20</v>
      </c>
      <c r="D47" s="2" t="s">
        <v>73</v>
      </c>
      <c r="E47" s="2" t="s">
        <v>43</v>
      </c>
      <c r="F47" s="2" t="s">
        <v>218</v>
      </c>
      <c r="G47" s="2" t="s">
        <v>182</v>
      </c>
      <c r="H47" s="2">
        <v>5</v>
      </c>
      <c r="I47" s="2">
        <v>3</v>
      </c>
      <c r="J47" s="2" t="s">
        <v>246</v>
      </c>
      <c r="K47" s="2" t="s">
        <v>47</v>
      </c>
      <c r="L47" s="2" t="s">
        <v>47</v>
      </c>
      <c r="M47" s="2" t="s">
        <v>47</v>
      </c>
      <c r="N47" s="3"/>
      <c r="O47" s="3"/>
      <c r="P47" s="2">
        <v>8</v>
      </c>
      <c r="Q47" s="2" t="s">
        <v>404</v>
      </c>
      <c r="R47" s="2" t="s">
        <v>405</v>
      </c>
      <c r="S47" s="2">
        <v>4</v>
      </c>
      <c r="T47" s="2" t="s">
        <v>406</v>
      </c>
      <c r="U47" s="2" t="s">
        <v>407</v>
      </c>
      <c r="V47" s="2">
        <v>7</v>
      </c>
      <c r="W47" s="2" t="s">
        <v>50</v>
      </c>
      <c r="X47" s="2" t="s">
        <v>408</v>
      </c>
      <c r="Y47" s="3"/>
      <c r="Z47" s="3"/>
      <c r="AA47" s="3"/>
      <c r="AB47" s="3"/>
      <c r="AC47" s="3"/>
      <c r="AD47" s="3"/>
      <c r="AE47" s="3"/>
      <c r="AF47" s="2" t="s">
        <v>159</v>
      </c>
      <c r="AG47" s="2" t="s">
        <v>284</v>
      </c>
      <c r="AH47" s="2" t="s">
        <v>409</v>
      </c>
      <c r="AI47" s="2" t="s">
        <v>255</v>
      </c>
      <c r="AJ47" s="2" t="s">
        <v>54</v>
      </c>
      <c r="AK47" s="2" t="s">
        <v>410</v>
      </c>
      <c r="AL47" s="2" t="s">
        <v>152</v>
      </c>
      <c r="AM47" s="2" t="s">
        <v>278</v>
      </c>
      <c r="AN47" s="3"/>
      <c r="AO47" s="3"/>
    </row>
    <row r="48" spans="1:41" ht="22.5" customHeight="1" x14ac:dyDescent="0.2">
      <c r="A48" s="1">
        <v>45977.60257451389</v>
      </c>
      <c r="B48" s="2" t="s">
        <v>411</v>
      </c>
      <c r="C48" s="2">
        <v>25</v>
      </c>
      <c r="D48" s="2" t="s">
        <v>73</v>
      </c>
      <c r="E48" s="2" t="s">
        <v>58</v>
      </c>
      <c r="F48" s="2" t="s">
        <v>74</v>
      </c>
      <c r="G48" s="2" t="s">
        <v>45</v>
      </c>
      <c r="H48" s="2">
        <v>3</v>
      </c>
      <c r="I48" s="2">
        <v>1</v>
      </c>
      <c r="J48" s="2" t="s">
        <v>46</v>
      </c>
      <c r="K48" s="2" t="s">
        <v>47</v>
      </c>
      <c r="L48" s="3"/>
      <c r="M48" s="3"/>
      <c r="N48" s="3"/>
      <c r="O48" s="3"/>
      <c r="P48" s="2" t="s">
        <v>192</v>
      </c>
      <c r="Q48" s="2" t="s">
        <v>412</v>
      </c>
      <c r="R48" s="2" t="s">
        <v>413</v>
      </c>
      <c r="S48" s="3"/>
      <c r="T48" s="3"/>
      <c r="U48" s="3"/>
      <c r="V48" s="3"/>
      <c r="W48" s="3"/>
      <c r="X48" s="3"/>
      <c r="Y48" s="3"/>
      <c r="Z48" s="3"/>
      <c r="AA48" s="3"/>
      <c r="AB48" s="3"/>
      <c r="AC48" s="3"/>
      <c r="AD48" s="3"/>
      <c r="AE48" s="2" t="s">
        <v>414</v>
      </c>
      <c r="AF48" s="2" t="s">
        <v>252</v>
      </c>
      <c r="AG48" s="2" t="s">
        <v>253</v>
      </c>
      <c r="AH48" s="2" t="s">
        <v>101</v>
      </c>
      <c r="AI48" s="2" t="s">
        <v>255</v>
      </c>
      <c r="AJ48" s="2" t="s">
        <v>277</v>
      </c>
      <c r="AK48" s="2" t="s">
        <v>256</v>
      </c>
      <c r="AL48" s="2" t="s">
        <v>257</v>
      </c>
      <c r="AM48" s="3"/>
      <c r="AN48" s="3"/>
      <c r="AO48" s="2" t="s">
        <v>415</v>
      </c>
    </row>
    <row r="49" spans="1:41" ht="22.5" customHeight="1" x14ac:dyDescent="0.2">
      <c r="A49" s="1">
        <v>45977.604212071761</v>
      </c>
      <c r="B49" s="2" t="s">
        <v>416</v>
      </c>
      <c r="C49" s="2">
        <v>19</v>
      </c>
      <c r="D49" s="2" t="s">
        <v>42</v>
      </c>
      <c r="E49" s="2" t="s">
        <v>43</v>
      </c>
      <c r="F49" s="2" t="s">
        <v>417</v>
      </c>
      <c r="G49" s="2" t="s">
        <v>182</v>
      </c>
      <c r="H49" s="2">
        <v>4</v>
      </c>
      <c r="I49" s="2">
        <v>1</v>
      </c>
      <c r="J49" s="2" t="s">
        <v>100</v>
      </c>
      <c r="K49" s="3"/>
      <c r="L49" s="2" t="s">
        <v>47</v>
      </c>
      <c r="M49" s="3"/>
      <c r="N49" s="3"/>
      <c r="O49" s="3"/>
      <c r="P49" s="3"/>
      <c r="Q49" s="3"/>
      <c r="R49" s="3"/>
      <c r="S49" s="2" t="s">
        <v>129</v>
      </c>
      <c r="T49" s="2" t="s">
        <v>418</v>
      </c>
      <c r="U49" s="2" t="s">
        <v>111</v>
      </c>
      <c r="V49" s="3"/>
      <c r="W49" s="3"/>
      <c r="X49" s="3"/>
      <c r="Y49" s="3"/>
      <c r="Z49" s="3"/>
      <c r="AA49" s="3"/>
      <c r="AB49" s="3"/>
      <c r="AC49" s="3"/>
      <c r="AD49" s="3"/>
      <c r="AE49" s="2" t="s">
        <v>419</v>
      </c>
      <c r="AF49" s="2" t="s">
        <v>323</v>
      </c>
      <c r="AG49" s="2" t="s">
        <v>284</v>
      </c>
      <c r="AH49" s="2" t="s">
        <v>420</v>
      </c>
      <c r="AI49" s="2" t="s">
        <v>285</v>
      </c>
      <c r="AJ49" s="2" t="s">
        <v>96</v>
      </c>
      <c r="AK49" s="2" t="s">
        <v>325</v>
      </c>
      <c r="AL49" s="2" t="s">
        <v>152</v>
      </c>
      <c r="AM49" s="2" t="s">
        <v>286</v>
      </c>
      <c r="AN49" s="3"/>
      <c r="AO49" s="2" t="s">
        <v>421</v>
      </c>
    </row>
    <row r="50" spans="1:41" ht="22.5" customHeight="1" x14ac:dyDescent="0.2">
      <c r="A50" s="1">
        <v>45977.604437569447</v>
      </c>
      <c r="B50" s="2" t="s">
        <v>422</v>
      </c>
      <c r="C50" s="2">
        <v>35</v>
      </c>
      <c r="D50" s="2" t="s">
        <v>73</v>
      </c>
      <c r="E50" s="2" t="s">
        <v>43</v>
      </c>
      <c r="F50" s="2" t="s">
        <v>44</v>
      </c>
      <c r="G50" s="2" t="s">
        <v>45</v>
      </c>
      <c r="H50" s="2">
        <v>6</v>
      </c>
      <c r="I50" s="2">
        <v>3</v>
      </c>
      <c r="J50" s="2" t="s">
        <v>423</v>
      </c>
      <c r="K50" s="2" t="s">
        <v>47</v>
      </c>
      <c r="L50" s="3"/>
      <c r="M50" s="3"/>
      <c r="N50" s="2" t="s">
        <v>291</v>
      </c>
      <c r="O50" s="3"/>
      <c r="P50" s="2" t="s">
        <v>424</v>
      </c>
      <c r="Q50" s="2" t="s">
        <v>145</v>
      </c>
      <c r="R50" s="2" t="s">
        <v>425</v>
      </c>
      <c r="S50" s="3"/>
      <c r="T50" s="3"/>
      <c r="U50" s="3"/>
      <c r="V50" s="3"/>
      <c r="W50" s="3"/>
      <c r="X50" s="3"/>
      <c r="Y50" s="2" t="s">
        <v>426</v>
      </c>
      <c r="Z50" s="2" t="s">
        <v>427</v>
      </c>
      <c r="AA50" s="2" t="s">
        <v>428</v>
      </c>
      <c r="AB50" s="3"/>
      <c r="AC50" s="3"/>
      <c r="AD50" s="3"/>
      <c r="AE50" s="4">
        <v>11100</v>
      </c>
      <c r="AF50" s="2" t="s">
        <v>252</v>
      </c>
      <c r="AG50" s="2" t="s">
        <v>295</v>
      </c>
      <c r="AH50" s="2" t="s">
        <v>393</v>
      </c>
      <c r="AI50" s="2" t="s">
        <v>296</v>
      </c>
      <c r="AJ50" s="2" t="s">
        <v>85</v>
      </c>
      <c r="AK50" s="2" t="s">
        <v>256</v>
      </c>
      <c r="AL50" s="2" t="s">
        <v>68</v>
      </c>
      <c r="AM50" s="3"/>
      <c r="AN50" s="2" t="s">
        <v>259</v>
      </c>
      <c r="AO50" s="2" t="s">
        <v>429</v>
      </c>
    </row>
    <row r="51" spans="1:41" ht="22.5" customHeight="1" x14ac:dyDescent="0.2">
      <c r="A51" s="1">
        <v>45977.605859108793</v>
      </c>
      <c r="B51" s="2" t="s">
        <v>430</v>
      </c>
      <c r="C51" s="2">
        <v>24</v>
      </c>
      <c r="D51" s="2" t="s">
        <v>42</v>
      </c>
      <c r="E51" s="2" t="s">
        <v>58</v>
      </c>
      <c r="F51" s="2" t="s">
        <v>74</v>
      </c>
      <c r="G51" s="2" t="s">
        <v>45</v>
      </c>
      <c r="H51" s="2">
        <v>3</v>
      </c>
      <c r="I51" s="2">
        <v>1</v>
      </c>
      <c r="J51" s="2" t="s">
        <v>431</v>
      </c>
      <c r="K51" s="3"/>
      <c r="L51" s="3"/>
      <c r="M51" s="2" t="s">
        <v>47</v>
      </c>
      <c r="N51" s="3"/>
      <c r="O51" s="3"/>
      <c r="P51" s="3"/>
      <c r="Q51" s="3"/>
      <c r="R51" s="3"/>
      <c r="S51" s="3"/>
      <c r="T51" s="3"/>
      <c r="U51" s="3"/>
      <c r="V51" s="2" t="s">
        <v>384</v>
      </c>
      <c r="W51" s="2" t="s">
        <v>432</v>
      </c>
      <c r="X51" s="2" t="s">
        <v>433</v>
      </c>
      <c r="Y51" s="3"/>
      <c r="Z51" s="3"/>
      <c r="AA51" s="3"/>
      <c r="AB51" s="3"/>
      <c r="AC51" s="3"/>
      <c r="AD51" s="3"/>
      <c r="AE51" s="2">
        <v>6000</v>
      </c>
      <c r="AF51" s="2" t="s">
        <v>276</v>
      </c>
      <c r="AG51" s="2" t="s">
        <v>253</v>
      </c>
      <c r="AH51" s="2" t="s">
        <v>50</v>
      </c>
      <c r="AI51" s="2" t="s">
        <v>255</v>
      </c>
      <c r="AJ51" s="2" t="s">
        <v>277</v>
      </c>
      <c r="AK51" s="2" t="s">
        <v>256</v>
      </c>
      <c r="AL51" s="2" t="s">
        <v>152</v>
      </c>
      <c r="AM51" s="2" t="s">
        <v>286</v>
      </c>
      <c r="AN51" s="3"/>
      <c r="AO51" s="3"/>
    </row>
    <row r="52" spans="1:41" ht="22.5" customHeight="1" x14ac:dyDescent="0.2">
      <c r="A52" s="1">
        <v>45977.606444120371</v>
      </c>
      <c r="B52" s="2" t="s">
        <v>434</v>
      </c>
      <c r="C52" s="2">
        <v>31</v>
      </c>
      <c r="D52" s="2" t="s">
        <v>73</v>
      </c>
      <c r="E52" s="2" t="s">
        <v>58</v>
      </c>
      <c r="F52" s="2" t="s">
        <v>172</v>
      </c>
      <c r="G52" s="2" t="s">
        <v>109</v>
      </c>
      <c r="H52" s="2">
        <v>5</v>
      </c>
      <c r="I52" s="2">
        <v>3</v>
      </c>
      <c r="J52" s="2" t="s">
        <v>435</v>
      </c>
      <c r="K52" s="2" t="s">
        <v>47</v>
      </c>
      <c r="L52" s="3"/>
      <c r="M52" s="2" t="s">
        <v>47</v>
      </c>
      <c r="N52" s="3"/>
      <c r="O52" s="2" t="s">
        <v>353</v>
      </c>
      <c r="P52" s="2" t="s">
        <v>149</v>
      </c>
      <c r="Q52" s="2" t="s">
        <v>436</v>
      </c>
      <c r="R52" s="2" t="s">
        <v>437</v>
      </c>
      <c r="S52" s="3"/>
      <c r="T52" s="3"/>
      <c r="U52" s="3"/>
      <c r="V52" s="2" t="s">
        <v>240</v>
      </c>
      <c r="W52" s="2" t="s">
        <v>438</v>
      </c>
      <c r="X52" s="2" t="s">
        <v>439</v>
      </c>
      <c r="Y52" s="3"/>
      <c r="Z52" s="3"/>
      <c r="AA52" s="3"/>
      <c r="AB52" s="2" t="s">
        <v>440</v>
      </c>
      <c r="AC52" s="2" t="s">
        <v>441</v>
      </c>
      <c r="AD52" s="2" t="s">
        <v>442</v>
      </c>
      <c r="AE52" s="2" t="s">
        <v>443</v>
      </c>
      <c r="AF52" s="2" t="s">
        <v>276</v>
      </c>
      <c r="AG52" s="2" t="s">
        <v>361</v>
      </c>
      <c r="AH52" s="2" t="s">
        <v>444</v>
      </c>
      <c r="AI52" s="2" t="s">
        <v>255</v>
      </c>
      <c r="AJ52" s="2" t="s">
        <v>362</v>
      </c>
      <c r="AK52" s="2" t="s">
        <v>307</v>
      </c>
      <c r="AL52" s="2" t="s">
        <v>152</v>
      </c>
      <c r="AM52" s="2" t="s">
        <v>363</v>
      </c>
      <c r="AN52" s="3"/>
      <c r="AO52" s="2" t="s">
        <v>445</v>
      </c>
    </row>
    <row r="53" spans="1:41" ht="22.5" customHeight="1" x14ac:dyDescent="0.2">
      <c r="A53" s="1">
        <v>45977.607352013889</v>
      </c>
      <c r="B53" s="2" t="s">
        <v>446</v>
      </c>
      <c r="C53" s="2">
        <v>27</v>
      </c>
      <c r="D53" s="2" t="s">
        <v>73</v>
      </c>
      <c r="E53" s="2" t="s">
        <v>43</v>
      </c>
      <c r="F53" s="2" t="s">
        <v>339</v>
      </c>
      <c r="G53" s="2" t="s">
        <v>182</v>
      </c>
      <c r="H53" s="2">
        <v>4</v>
      </c>
      <c r="I53" s="2">
        <v>1</v>
      </c>
      <c r="J53" s="2" t="s">
        <v>46</v>
      </c>
      <c r="K53" s="2" t="s">
        <v>47</v>
      </c>
      <c r="L53" s="3"/>
      <c r="M53" s="3"/>
      <c r="N53" s="3"/>
      <c r="O53" s="3"/>
      <c r="P53" s="2" t="s">
        <v>227</v>
      </c>
      <c r="Q53" s="2" t="s">
        <v>427</v>
      </c>
      <c r="R53" s="2" t="s">
        <v>447</v>
      </c>
      <c r="S53" s="3"/>
      <c r="T53" s="3"/>
      <c r="U53" s="3"/>
      <c r="V53" s="3"/>
      <c r="W53" s="3"/>
      <c r="X53" s="3"/>
      <c r="Y53" s="3"/>
      <c r="Z53" s="3"/>
      <c r="AA53" s="3"/>
      <c r="AB53" s="3"/>
      <c r="AC53" s="3"/>
      <c r="AD53" s="3"/>
      <c r="AE53" s="2">
        <v>2700</v>
      </c>
      <c r="AF53" s="2" t="s">
        <v>323</v>
      </c>
      <c r="AG53" s="2" t="s">
        <v>295</v>
      </c>
      <c r="AH53" s="2" t="s">
        <v>448</v>
      </c>
      <c r="AI53" s="2" t="s">
        <v>449</v>
      </c>
      <c r="AJ53" s="2" t="s">
        <v>96</v>
      </c>
      <c r="AK53" s="2" t="s">
        <v>256</v>
      </c>
      <c r="AL53" s="2" t="s">
        <v>257</v>
      </c>
      <c r="AM53" s="2" t="s">
        <v>258</v>
      </c>
      <c r="AN53" s="3"/>
      <c r="AO53" s="3"/>
    </row>
    <row r="54" spans="1:41" ht="22.5" customHeight="1" x14ac:dyDescent="0.2">
      <c r="A54" s="1">
        <v>45977.608809062498</v>
      </c>
      <c r="B54" s="2" t="s">
        <v>450</v>
      </c>
      <c r="C54" s="2">
        <v>27</v>
      </c>
      <c r="D54" s="2" t="s">
        <v>42</v>
      </c>
      <c r="E54" s="2" t="s">
        <v>43</v>
      </c>
      <c r="F54" s="2" t="s">
        <v>144</v>
      </c>
      <c r="G54" s="2" t="s">
        <v>89</v>
      </c>
      <c r="H54" s="2">
        <v>6</v>
      </c>
      <c r="I54" s="2">
        <v>2</v>
      </c>
      <c r="J54" s="2" t="s">
        <v>61</v>
      </c>
      <c r="K54" s="2" t="s">
        <v>47</v>
      </c>
      <c r="L54" s="2" t="s">
        <v>47</v>
      </c>
      <c r="M54" s="3"/>
      <c r="N54" s="3"/>
      <c r="O54" s="3"/>
      <c r="P54" s="2" t="s">
        <v>178</v>
      </c>
      <c r="Q54" s="2" t="s">
        <v>451</v>
      </c>
      <c r="R54" s="2" t="s">
        <v>452</v>
      </c>
      <c r="S54" s="2" t="s">
        <v>192</v>
      </c>
      <c r="T54" s="2" t="s">
        <v>101</v>
      </c>
      <c r="U54" s="2" t="s">
        <v>453</v>
      </c>
      <c r="V54" s="3"/>
      <c r="W54" s="3"/>
      <c r="X54" s="3"/>
      <c r="Y54" s="3"/>
      <c r="Z54" s="3"/>
      <c r="AA54" s="3"/>
      <c r="AB54" s="3"/>
      <c r="AC54" s="3"/>
      <c r="AD54" s="3"/>
      <c r="AE54" s="2" t="s">
        <v>454</v>
      </c>
      <c r="AF54" s="2" t="s">
        <v>252</v>
      </c>
      <c r="AG54" s="2" t="s">
        <v>295</v>
      </c>
      <c r="AH54" s="2" t="s">
        <v>241</v>
      </c>
      <c r="AI54" s="2" t="s">
        <v>344</v>
      </c>
      <c r="AJ54" s="2" t="s">
        <v>96</v>
      </c>
      <c r="AK54" s="2" t="s">
        <v>335</v>
      </c>
      <c r="AL54" s="2" t="s">
        <v>257</v>
      </c>
      <c r="AM54" s="2" t="s">
        <v>368</v>
      </c>
      <c r="AN54" s="3"/>
      <c r="AO54" s="2" t="s">
        <v>455</v>
      </c>
    </row>
    <row r="55" spans="1:41" ht="22.5" customHeight="1" x14ac:dyDescent="0.2">
      <c r="A55" s="1">
        <v>45977.609702048612</v>
      </c>
      <c r="B55" s="2" t="s">
        <v>456</v>
      </c>
      <c r="C55" s="2">
        <v>28</v>
      </c>
      <c r="D55" s="2" t="s">
        <v>42</v>
      </c>
      <c r="E55" s="2" t="s">
        <v>58</v>
      </c>
      <c r="F55" s="2" t="s">
        <v>144</v>
      </c>
      <c r="G55" s="2" t="s">
        <v>89</v>
      </c>
      <c r="H55" s="2">
        <v>5</v>
      </c>
      <c r="I55" s="2">
        <v>2</v>
      </c>
      <c r="J55" s="2" t="s">
        <v>269</v>
      </c>
      <c r="K55" s="3"/>
      <c r="L55" s="2" t="s">
        <v>47</v>
      </c>
      <c r="M55" s="2" t="s">
        <v>47</v>
      </c>
      <c r="N55" s="3"/>
      <c r="O55" s="3"/>
      <c r="P55" s="3"/>
      <c r="Q55" s="3"/>
      <c r="R55" s="3"/>
      <c r="S55" s="2" t="s">
        <v>457</v>
      </c>
      <c r="T55" s="2" t="s">
        <v>393</v>
      </c>
      <c r="U55" s="2" t="s">
        <v>458</v>
      </c>
      <c r="V55" s="2" t="s">
        <v>426</v>
      </c>
      <c r="W55" s="2" t="s">
        <v>65</v>
      </c>
      <c r="X55" s="2" t="s">
        <v>459</v>
      </c>
      <c r="Y55" s="3"/>
      <c r="Z55" s="3"/>
      <c r="AA55" s="3"/>
      <c r="AB55" s="3"/>
      <c r="AC55" s="3"/>
      <c r="AD55" s="3"/>
      <c r="AE55" s="4">
        <v>5200</v>
      </c>
      <c r="AF55" s="2" t="s">
        <v>252</v>
      </c>
      <c r="AG55" s="2" t="s">
        <v>361</v>
      </c>
      <c r="AH55" s="2" t="s">
        <v>406</v>
      </c>
      <c r="AI55" s="2" t="s">
        <v>306</v>
      </c>
      <c r="AJ55" s="2" t="s">
        <v>85</v>
      </c>
      <c r="AK55" s="2" t="s">
        <v>335</v>
      </c>
      <c r="AL55" s="2" t="s">
        <v>68</v>
      </c>
      <c r="AM55" s="3"/>
      <c r="AN55" s="2" t="s">
        <v>460</v>
      </c>
      <c r="AO55" s="2" t="s">
        <v>461</v>
      </c>
    </row>
    <row r="56" spans="1:41" ht="22.5" customHeight="1" x14ac:dyDescent="0.2">
      <c r="A56" s="1">
        <v>45977.610805856486</v>
      </c>
      <c r="B56" s="2" t="s">
        <v>462</v>
      </c>
      <c r="C56" s="2">
        <v>34</v>
      </c>
      <c r="D56" s="2" t="s">
        <v>73</v>
      </c>
      <c r="E56" s="2" t="s">
        <v>58</v>
      </c>
      <c r="F56" s="2" t="s">
        <v>138</v>
      </c>
      <c r="G56" s="2" t="s">
        <v>60</v>
      </c>
      <c r="H56" s="2">
        <v>4</v>
      </c>
      <c r="I56" s="2">
        <v>2</v>
      </c>
      <c r="J56" s="2" t="s">
        <v>246</v>
      </c>
      <c r="K56" s="2" t="s">
        <v>47</v>
      </c>
      <c r="L56" s="3"/>
      <c r="M56" s="2" t="s">
        <v>291</v>
      </c>
      <c r="N56" s="3"/>
      <c r="O56" s="3"/>
      <c r="P56" s="2" t="s">
        <v>102</v>
      </c>
      <c r="Q56" s="2" t="s">
        <v>101</v>
      </c>
      <c r="R56" s="2" t="s">
        <v>463</v>
      </c>
      <c r="S56" s="3"/>
      <c r="T56" s="3"/>
      <c r="U56" s="3"/>
      <c r="V56" s="2" t="s">
        <v>149</v>
      </c>
      <c r="W56" s="2" t="s">
        <v>464</v>
      </c>
      <c r="X56" s="2" t="s">
        <v>465</v>
      </c>
      <c r="Y56" s="3"/>
      <c r="Z56" s="3"/>
      <c r="AA56" s="3"/>
      <c r="AB56" s="3"/>
      <c r="AC56" s="3"/>
      <c r="AD56" s="3"/>
      <c r="AE56" s="2" t="s">
        <v>466</v>
      </c>
      <c r="AF56" s="2" t="s">
        <v>323</v>
      </c>
      <c r="AG56" s="2" t="s">
        <v>317</v>
      </c>
      <c r="AH56" s="2" t="s">
        <v>418</v>
      </c>
      <c r="AI56" s="2" t="s">
        <v>255</v>
      </c>
      <c r="AJ56" s="2" t="s">
        <v>85</v>
      </c>
      <c r="AK56" s="2" t="s">
        <v>467</v>
      </c>
      <c r="AL56" s="2" t="s">
        <v>257</v>
      </c>
      <c r="AM56" s="2" t="s">
        <v>278</v>
      </c>
      <c r="AN56" s="3"/>
      <c r="AO56" s="2" t="s">
        <v>468</v>
      </c>
    </row>
    <row r="57" spans="1:41" ht="22.5" customHeight="1" x14ac:dyDescent="0.2">
      <c r="A57" s="1">
        <v>45977.612755520837</v>
      </c>
      <c r="B57" s="2" t="s">
        <v>469</v>
      </c>
      <c r="C57" s="2">
        <v>30</v>
      </c>
      <c r="D57" s="2" t="s">
        <v>42</v>
      </c>
      <c r="E57" s="2" t="s">
        <v>43</v>
      </c>
      <c r="F57" s="2" t="s">
        <v>44</v>
      </c>
      <c r="G57" s="2" t="s">
        <v>45</v>
      </c>
      <c r="H57" s="2">
        <v>5</v>
      </c>
      <c r="I57" s="2">
        <v>2</v>
      </c>
      <c r="J57" s="2" t="s">
        <v>290</v>
      </c>
      <c r="K57" s="2" t="s">
        <v>47</v>
      </c>
      <c r="L57" s="3"/>
      <c r="M57" s="3"/>
      <c r="N57" s="2" t="s">
        <v>291</v>
      </c>
      <c r="O57" s="3"/>
      <c r="P57" s="2" t="s">
        <v>240</v>
      </c>
      <c r="Q57" s="2" t="s">
        <v>470</v>
      </c>
      <c r="R57" s="2" t="s">
        <v>471</v>
      </c>
      <c r="S57" s="3"/>
      <c r="T57" s="3"/>
      <c r="U57" s="3"/>
      <c r="V57" s="3"/>
      <c r="W57" s="3"/>
      <c r="X57" s="3"/>
      <c r="Y57" s="2" t="s">
        <v>472</v>
      </c>
      <c r="Z57" s="2" t="s">
        <v>473</v>
      </c>
      <c r="AA57" s="2" t="s">
        <v>474</v>
      </c>
      <c r="AB57" s="3"/>
      <c r="AC57" s="3"/>
      <c r="AD57" s="3"/>
      <c r="AE57" s="2" t="s">
        <v>475</v>
      </c>
      <c r="AF57" s="2" t="s">
        <v>252</v>
      </c>
      <c r="AG57" s="2" t="s">
        <v>295</v>
      </c>
      <c r="AH57" s="2" t="s">
        <v>436</v>
      </c>
      <c r="AI57" s="2" t="s">
        <v>296</v>
      </c>
      <c r="AJ57" s="2" t="s">
        <v>277</v>
      </c>
      <c r="AK57" s="2" t="s">
        <v>256</v>
      </c>
      <c r="AL57" s="2" t="s">
        <v>68</v>
      </c>
      <c r="AM57" s="3"/>
      <c r="AN57" s="2" t="s">
        <v>259</v>
      </c>
      <c r="AO57" s="2" t="s">
        <v>476</v>
      </c>
    </row>
    <row r="58" spans="1:41" ht="22.5" customHeight="1" x14ac:dyDescent="0.2">
      <c r="A58" s="1">
        <v>45977.614350439813</v>
      </c>
      <c r="B58" s="2" t="s">
        <v>477</v>
      </c>
      <c r="C58" s="2">
        <v>22</v>
      </c>
      <c r="D58" s="2" t="s">
        <v>73</v>
      </c>
      <c r="E58" s="2" t="s">
        <v>58</v>
      </c>
      <c r="F58" s="2" t="s">
        <v>218</v>
      </c>
      <c r="G58" s="2" t="s">
        <v>89</v>
      </c>
      <c r="H58" s="2">
        <v>3</v>
      </c>
      <c r="I58" s="2">
        <v>1</v>
      </c>
      <c r="J58" s="2" t="s">
        <v>46</v>
      </c>
      <c r="K58" s="2" t="s">
        <v>47</v>
      </c>
      <c r="L58" s="3"/>
      <c r="M58" s="3"/>
      <c r="N58" s="3"/>
      <c r="O58" s="3"/>
      <c r="P58" s="2" t="s">
        <v>478</v>
      </c>
      <c r="Q58" s="2" t="s">
        <v>479</v>
      </c>
      <c r="R58" s="2" t="s">
        <v>480</v>
      </c>
      <c r="S58" s="3"/>
      <c r="T58" s="3"/>
      <c r="U58" s="3"/>
      <c r="V58" s="3"/>
      <c r="W58" s="3"/>
      <c r="X58" s="3"/>
      <c r="Y58" s="3"/>
      <c r="Z58" s="3"/>
      <c r="AA58" s="3"/>
      <c r="AB58" s="3"/>
      <c r="AC58" s="3"/>
      <c r="AD58" s="3"/>
      <c r="AE58" s="2" t="s">
        <v>481</v>
      </c>
      <c r="AF58" s="2" t="s">
        <v>159</v>
      </c>
      <c r="AG58" s="2" t="s">
        <v>295</v>
      </c>
      <c r="AH58" s="2" t="s">
        <v>239</v>
      </c>
      <c r="AI58" s="2" t="s">
        <v>285</v>
      </c>
      <c r="AJ58" s="2" t="s">
        <v>96</v>
      </c>
      <c r="AK58" s="2" t="s">
        <v>256</v>
      </c>
      <c r="AL58" s="2" t="s">
        <v>152</v>
      </c>
      <c r="AM58" s="2" t="s">
        <v>286</v>
      </c>
      <c r="AN58" s="3"/>
      <c r="AO58" s="2" t="s">
        <v>482</v>
      </c>
    </row>
    <row r="59" spans="1:41" ht="22.5" customHeight="1" x14ac:dyDescent="0.2">
      <c r="A59" s="1">
        <v>45977.615902881946</v>
      </c>
      <c r="B59" s="2" t="s">
        <v>483</v>
      </c>
      <c r="C59" s="2">
        <v>28</v>
      </c>
      <c r="D59" s="2" t="s">
        <v>73</v>
      </c>
      <c r="E59" s="2" t="s">
        <v>43</v>
      </c>
      <c r="F59" s="2" t="s">
        <v>339</v>
      </c>
      <c r="G59" s="2" t="s">
        <v>182</v>
      </c>
      <c r="H59" s="2">
        <v>4</v>
      </c>
      <c r="I59" s="2">
        <v>1</v>
      </c>
      <c r="J59" s="2" t="s">
        <v>46</v>
      </c>
      <c r="K59" s="2" t="s">
        <v>47</v>
      </c>
      <c r="L59" s="3"/>
      <c r="M59" s="3"/>
      <c r="N59" s="3"/>
      <c r="O59" s="3"/>
      <c r="P59" s="2" t="s">
        <v>484</v>
      </c>
      <c r="Q59" s="2" t="s">
        <v>485</v>
      </c>
      <c r="R59" s="2" t="s">
        <v>486</v>
      </c>
      <c r="S59" s="3"/>
      <c r="T59" s="3"/>
      <c r="U59" s="3"/>
      <c r="V59" s="3"/>
      <c r="W59" s="3"/>
      <c r="X59" s="3"/>
      <c r="Y59" s="3"/>
      <c r="Z59" s="3"/>
      <c r="AA59" s="3"/>
      <c r="AB59" s="3"/>
      <c r="AC59" s="3"/>
      <c r="AD59" s="3"/>
      <c r="AE59" s="2" t="s">
        <v>487</v>
      </c>
      <c r="AF59" s="2" t="s">
        <v>323</v>
      </c>
      <c r="AG59" s="2" t="s">
        <v>284</v>
      </c>
      <c r="AH59" s="2" t="s">
        <v>488</v>
      </c>
      <c r="AI59" s="2" t="s">
        <v>449</v>
      </c>
      <c r="AJ59" s="2" t="s">
        <v>277</v>
      </c>
      <c r="AK59" s="2" t="s">
        <v>256</v>
      </c>
      <c r="AL59" s="2" t="s">
        <v>257</v>
      </c>
      <c r="AM59" s="2" t="s">
        <v>258</v>
      </c>
      <c r="AN59" s="3"/>
      <c r="AO59" s="2" t="s">
        <v>489</v>
      </c>
    </row>
    <row r="60" spans="1:41" ht="22.5" customHeight="1" x14ac:dyDescent="0.2">
      <c r="A60" s="1">
        <v>45977.617180486108</v>
      </c>
      <c r="B60" s="2" t="s">
        <v>490</v>
      </c>
      <c r="C60" s="2">
        <v>33</v>
      </c>
      <c r="D60" s="2" t="s">
        <v>73</v>
      </c>
      <c r="E60" s="2" t="s">
        <v>43</v>
      </c>
      <c r="F60" s="2" t="s">
        <v>172</v>
      </c>
      <c r="G60" s="2" t="s">
        <v>60</v>
      </c>
      <c r="H60" s="2">
        <v>6</v>
      </c>
      <c r="I60" s="2">
        <v>3</v>
      </c>
      <c r="J60" s="2" t="s">
        <v>390</v>
      </c>
      <c r="K60" s="2" t="s">
        <v>47</v>
      </c>
      <c r="L60" s="2" t="s">
        <v>47</v>
      </c>
      <c r="M60" s="2" t="s">
        <v>47</v>
      </c>
      <c r="N60" s="3"/>
      <c r="O60" s="3"/>
      <c r="P60" s="2" t="s">
        <v>491</v>
      </c>
      <c r="Q60" s="2" t="s">
        <v>212</v>
      </c>
      <c r="R60" s="2" t="s">
        <v>492</v>
      </c>
      <c r="S60" s="2" t="s">
        <v>347</v>
      </c>
      <c r="T60" s="2" t="s">
        <v>406</v>
      </c>
      <c r="U60" s="2" t="s">
        <v>493</v>
      </c>
      <c r="V60" s="2" t="s">
        <v>457</v>
      </c>
      <c r="W60" s="2" t="s">
        <v>494</v>
      </c>
      <c r="X60" s="2" t="s">
        <v>495</v>
      </c>
      <c r="Y60" s="3"/>
      <c r="Z60" s="3"/>
      <c r="AA60" s="3"/>
      <c r="AB60" s="3"/>
      <c r="AC60" s="3"/>
      <c r="AD60" s="3"/>
      <c r="AE60" s="2">
        <v>9500</v>
      </c>
      <c r="AF60" s="2" t="s">
        <v>159</v>
      </c>
      <c r="AG60" s="2" t="s">
        <v>449</v>
      </c>
      <c r="AH60" s="2" t="s">
        <v>65</v>
      </c>
      <c r="AI60" s="2" t="s">
        <v>255</v>
      </c>
      <c r="AJ60" s="2" t="s">
        <v>85</v>
      </c>
      <c r="AK60" s="2" t="s">
        <v>256</v>
      </c>
      <c r="AL60" s="2" t="s">
        <v>152</v>
      </c>
      <c r="AM60" s="2" t="s">
        <v>278</v>
      </c>
      <c r="AN60" s="3"/>
      <c r="AO60" s="3"/>
    </row>
    <row r="61" spans="1:41" ht="22.5" customHeight="1" x14ac:dyDescent="0.2">
      <c r="A61" s="1">
        <v>45977.61741309028</v>
      </c>
      <c r="B61" s="2" t="s">
        <v>496</v>
      </c>
      <c r="C61" s="2">
        <v>26</v>
      </c>
      <c r="D61" s="2" t="s">
        <v>42</v>
      </c>
      <c r="E61" s="2" t="s">
        <v>58</v>
      </c>
      <c r="F61" s="2" t="s">
        <v>74</v>
      </c>
      <c r="G61" s="2" t="s">
        <v>45</v>
      </c>
      <c r="H61" s="2">
        <v>3</v>
      </c>
      <c r="I61" s="2">
        <v>1</v>
      </c>
      <c r="J61" s="2" t="s">
        <v>431</v>
      </c>
      <c r="K61" s="3"/>
      <c r="L61" s="3"/>
      <c r="M61" s="2" t="s">
        <v>47</v>
      </c>
      <c r="N61" s="3"/>
      <c r="O61" s="3"/>
      <c r="P61" s="3"/>
      <c r="Q61" s="3"/>
      <c r="R61" s="3"/>
      <c r="S61" s="3"/>
      <c r="T61" s="3"/>
      <c r="U61" s="3"/>
      <c r="V61" s="2" t="s">
        <v>497</v>
      </c>
      <c r="W61" s="2" t="s">
        <v>498</v>
      </c>
      <c r="X61" s="2" t="s">
        <v>499</v>
      </c>
      <c r="Y61" s="3"/>
      <c r="Z61" s="3"/>
      <c r="AA61" s="3"/>
      <c r="AB61" s="3"/>
      <c r="AC61" s="3"/>
      <c r="AD61" s="3"/>
      <c r="AE61" s="2" t="s">
        <v>500</v>
      </c>
      <c r="AF61" s="2" t="s">
        <v>252</v>
      </c>
      <c r="AG61" s="2" t="s">
        <v>361</v>
      </c>
      <c r="AH61" s="2" t="s">
        <v>501</v>
      </c>
      <c r="AI61" s="2" t="s">
        <v>255</v>
      </c>
      <c r="AJ61" s="2" t="s">
        <v>277</v>
      </c>
      <c r="AK61" s="2" t="s">
        <v>335</v>
      </c>
      <c r="AL61" s="2" t="s">
        <v>152</v>
      </c>
      <c r="AM61" s="2" t="s">
        <v>258</v>
      </c>
      <c r="AN61" s="3"/>
      <c r="AO61" s="2" t="s">
        <v>502</v>
      </c>
    </row>
    <row r="62" spans="1:41" ht="22.5" customHeight="1" x14ac:dyDescent="0.2">
      <c r="A62" s="1">
        <v>45977.618992638891</v>
      </c>
      <c r="B62" s="2" t="s">
        <v>503</v>
      </c>
      <c r="C62" s="2">
        <v>30</v>
      </c>
      <c r="D62" s="2" t="s">
        <v>73</v>
      </c>
      <c r="E62" s="2" t="s">
        <v>43</v>
      </c>
      <c r="F62" s="2" t="s">
        <v>138</v>
      </c>
      <c r="G62" s="2" t="s">
        <v>109</v>
      </c>
      <c r="H62" s="2">
        <v>4</v>
      </c>
      <c r="I62" s="2">
        <v>2</v>
      </c>
      <c r="J62" s="2" t="s">
        <v>246</v>
      </c>
      <c r="K62" s="2" t="s">
        <v>47</v>
      </c>
      <c r="L62" s="3"/>
      <c r="M62" s="2" t="s">
        <v>291</v>
      </c>
      <c r="N62" s="3"/>
      <c r="O62" s="3"/>
      <c r="P62" s="2" t="s">
        <v>384</v>
      </c>
      <c r="Q62" s="2" t="s">
        <v>50</v>
      </c>
      <c r="R62" s="2" t="s">
        <v>383</v>
      </c>
      <c r="S62" s="3"/>
      <c r="T62" s="3"/>
      <c r="U62" s="3"/>
      <c r="V62" s="2" t="s">
        <v>347</v>
      </c>
      <c r="W62" s="2" t="s">
        <v>64</v>
      </c>
      <c r="X62" s="2" t="s">
        <v>504</v>
      </c>
      <c r="Y62" s="3"/>
      <c r="Z62" s="3"/>
      <c r="AA62" s="3"/>
      <c r="AB62" s="3"/>
      <c r="AC62" s="3"/>
      <c r="AD62" s="3"/>
      <c r="AE62" s="2">
        <v>8500</v>
      </c>
      <c r="AF62" s="2" t="s">
        <v>323</v>
      </c>
      <c r="AG62" s="2" t="s">
        <v>361</v>
      </c>
      <c r="AH62" s="2" t="s">
        <v>387</v>
      </c>
      <c r="AI62" s="2" t="s">
        <v>255</v>
      </c>
      <c r="AJ62" s="2" t="s">
        <v>85</v>
      </c>
      <c r="AK62" s="2" t="s">
        <v>307</v>
      </c>
      <c r="AL62" s="2" t="s">
        <v>257</v>
      </c>
      <c r="AM62" s="2" t="s">
        <v>286</v>
      </c>
      <c r="AN62" s="3"/>
      <c r="AO62" s="3"/>
    </row>
    <row r="63" spans="1:41" ht="22.5" customHeight="1" x14ac:dyDescent="0.2">
      <c r="A63" s="1">
        <v>45977.619301157407</v>
      </c>
      <c r="B63" s="2" t="s">
        <v>505</v>
      </c>
      <c r="C63" s="2">
        <v>33</v>
      </c>
      <c r="D63" s="2" t="s">
        <v>73</v>
      </c>
      <c r="E63" s="2" t="s">
        <v>43</v>
      </c>
      <c r="F63" s="2" t="s">
        <v>44</v>
      </c>
      <c r="G63" s="2" t="s">
        <v>89</v>
      </c>
      <c r="H63" s="2">
        <v>5</v>
      </c>
      <c r="I63" s="2">
        <v>2</v>
      </c>
      <c r="J63" s="2" t="s">
        <v>290</v>
      </c>
      <c r="K63" s="2" t="s">
        <v>47</v>
      </c>
      <c r="L63" s="3"/>
      <c r="M63" s="3"/>
      <c r="N63" s="2" t="s">
        <v>291</v>
      </c>
      <c r="O63" s="3"/>
      <c r="P63" s="2" t="s">
        <v>506</v>
      </c>
      <c r="Q63" s="2" t="s">
        <v>150</v>
      </c>
      <c r="R63" s="2" t="s">
        <v>507</v>
      </c>
      <c r="S63" s="3"/>
      <c r="T63" s="3"/>
      <c r="U63" s="3"/>
      <c r="V63" s="3"/>
      <c r="W63" s="3"/>
      <c r="X63" s="3"/>
      <c r="Y63" s="2" t="s">
        <v>508</v>
      </c>
      <c r="Z63" s="2" t="s">
        <v>509</v>
      </c>
      <c r="AA63" s="2" t="s">
        <v>510</v>
      </c>
      <c r="AB63" s="3"/>
      <c r="AC63" s="3"/>
      <c r="AD63" s="3"/>
      <c r="AE63" s="2" t="s">
        <v>511</v>
      </c>
      <c r="AF63" s="2" t="s">
        <v>159</v>
      </c>
      <c r="AG63" s="2" t="s">
        <v>317</v>
      </c>
      <c r="AH63" s="2" t="s">
        <v>142</v>
      </c>
      <c r="AI63" s="2" t="s">
        <v>296</v>
      </c>
      <c r="AJ63" s="2" t="s">
        <v>85</v>
      </c>
      <c r="AK63" s="2" t="s">
        <v>318</v>
      </c>
      <c r="AL63" s="2" t="s">
        <v>68</v>
      </c>
      <c r="AM63" s="3"/>
      <c r="AN63" s="2" t="s">
        <v>460</v>
      </c>
      <c r="AO63" s="2" t="s">
        <v>512</v>
      </c>
    </row>
    <row r="64" spans="1:41" ht="22.5" customHeight="1" x14ac:dyDescent="0.2">
      <c r="A64" s="1">
        <v>45977.625938923607</v>
      </c>
      <c r="B64" s="2" t="s">
        <v>513</v>
      </c>
      <c r="C64" s="2">
        <v>38</v>
      </c>
      <c r="D64" s="2" t="s">
        <v>73</v>
      </c>
      <c r="E64" s="2" t="s">
        <v>43</v>
      </c>
      <c r="F64" s="2" t="s">
        <v>172</v>
      </c>
      <c r="G64" s="2" t="s">
        <v>60</v>
      </c>
      <c r="H64" s="2">
        <v>5</v>
      </c>
      <c r="I64" s="2">
        <v>2</v>
      </c>
      <c r="J64" s="2" t="s">
        <v>246</v>
      </c>
      <c r="K64" s="2" t="s">
        <v>47</v>
      </c>
      <c r="L64" s="3"/>
      <c r="M64" s="2" t="s">
        <v>47</v>
      </c>
      <c r="N64" s="3"/>
      <c r="O64" s="3"/>
      <c r="P64" s="2" t="s">
        <v>514</v>
      </c>
      <c r="Q64" s="2" t="s">
        <v>146</v>
      </c>
      <c r="R64" s="2" t="s">
        <v>515</v>
      </c>
      <c r="S64" s="3"/>
      <c r="T64" s="3"/>
      <c r="U64" s="3"/>
      <c r="V64" s="2" t="s">
        <v>516</v>
      </c>
      <c r="W64" s="2" t="s">
        <v>150</v>
      </c>
      <c r="X64" s="2" t="s">
        <v>517</v>
      </c>
      <c r="Y64" s="3"/>
      <c r="Z64" s="3"/>
      <c r="AA64" s="3"/>
      <c r="AB64" s="3"/>
      <c r="AC64" s="3"/>
      <c r="AD64" s="3"/>
      <c r="AE64" s="2" t="s">
        <v>518</v>
      </c>
      <c r="AF64" s="2" t="s">
        <v>360</v>
      </c>
      <c r="AG64" s="2" t="s">
        <v>253</v>
      </c>
      <c r="AH64" s="2" t="s">
        <v>254</v>
      </c>
      <c r="AI64" s="2" t="s">
        <v>449</v>
      </c>
      <c r="AJ64" s="2" t="s">
        <v>362</v>
      </c>
      <c r="AK64" s="2" t="s">
        <v>307</v>
      </c>
      <c r="AL64" s="2" t="s">
        <v>68</v>
      </c>
      <c r="AM64" s="3"/>
      <c r="AN64" s="2" t="s">
        <v>259</v>
      </c>
      <c r="AO64" s="2" t="s">
        <v>519</v>
      </c>
    </row>
    <row r="65" spans="1:41" ht="22.5" customHeight="1" x14ac:dyDescent="0.2">
      <c r="A65" s="1">
        <v>45977.628279525466</v>
      </c>
      <c r="B65" s="2" t="s">
        <v>520</v>
      </c>
      <c r="C65" s="2">
        <v>29</v>
      </c>
      <c r="D65" s="2" t="s">
        <v>42</v>
      </c>
      <c r="E65" s="2" t="s">
        <v>58</v>
      </c>
      <c r="F65" s="2" t="s">
        <v>74</v>
      </c>
      <c r="G65" s="2" t="s">
        <v>45</v>
      </c>
      <c r="H65" s="2">
        <v>3</v>
      </c>
      <c r="I65" s="2">
        <v>1</v>
      </c>
      <c r="J65" s="2" t="s">
        <v>100</v>
      </c>
      <c r="K65" s="3"/>
      <c r="L65" s="2" t="s">
        <v>47</v>
      </c>
      <c r="M65" s="3"/>
      <c r="N65" s="3"/>
      <c r="O65" s="3"/>
      <c r="P65" s="3"/>
      <c r="Q65" s="3"/>
      <c r="R65" s="3"/>
      <c r="S65" s="2" t="s">
        <v>270</v>
      </c>
      <c r="T65" s="2" t="s">
        <v>112</v>
      </c>
      <c r="U65" s="2" t="s">
        <v>521</v>
      </c>
      <c r="V65" s="3"/>
      <c r="W65" s="3"/>
      <c r="X65" s="3"/>
      <c r="Y65" s="3"/>
      <c r="Z65" s="3"/>
      <c r="AA65" s="3"/>
      <c r="AB65" s="3"/>
      <c r="AC65" s="3"/>
      <c r="AD65" s="3"/>
      <c r="AE65" s="2" t="s">
        <v>522</v>
      </c>
      <c r="AF65" s="2" t="s">
        <v>252</v>
      </c>
      <c r="AG65" s="2" t="s">
        <v>361</v>
      </c>
      <c r="AH65" s="2" t="s">
        <v>523</v>
      </c>
      <c r="AI65" s="2" t="s">
        <v>255</v>
      </c>
      <c r="AJ65" s="2" t="s">
        <v>277</v>
      </c>
      <c r="AK65" s="2" t="s">
        <v>335</v>
      </c>
      <c r="AL65" s="2" t="s">
        <v>152</v>
      </c>
      <c r="AM65" s="2" t="s">
        <v>258</v>
      </c>
      <c r="AN65" s="3"/>
      <c r="AO65" s="2" t="s">
        <v>524</v>
      </c>
    </row>
    <row r="66" spans="1:41" ht="22.5" customHeight="1" x14ac:dyDescent="0.2">
      <c r="A66" s="1">
        <v>45977.630821585648</v>
      </c>
      <c r="B66" s="2" t="s">
        <v>525</v>
      </c>
      <c r="C66" s="2">
        <v>26</v>
      </c>
      <c r="D66" s="2" t="s">
        <v>73</v>
      </c>
      <c r="E66" s="2" t="s">
        <v>43</v>
      </c>
      <c r="F66" s="2" t="s">
        <v>44</v>
      </c>
      <c r="G66" s="2" t="s">
        <v>89</v>
      </c>
      <c r="H66" s="2">
        <v>6</v>
      </c>
      <c r="I66" s="2">
        <v>2</v>
      </c>
      <c r="J66" s="2" t="s">
        <v>290</v>
      </c>
      <c r="K66" s="2" t="s">
        <v>47</v>
      </c>
      <c r="L66" s="3"/>
      <c r="M66" s="3"/>
      <c r="N66" s="2" t="s">
        <v>291</v>
      </c>
      <c r="O66" s="3"/>
      <c r="P66" s="2" t="s">
        <v>149</v>
      </c>
      <c r="Q66" s="2" t="s">
        <v>444</v>
      </c>
      <c r="R66" s="2" t="s">
        <v>111</v>
      </c>
      <c r="S66" s="3"/>
      <c r="T66" s="3"/>
      <c r="U66" s="3"/>
      <c r="V66" s="3"/>
      <c r="W66" s="3"/>
      <c r="X66" s="3"/>
      <c r="Y66" s="2" t="s">
        <v>526</v>
      </c>
      <c r="Z66" s="2" t="s">
        <v>527</v>
      </c>
      <c r="AA66" s="2" t="s">
        <v>528</v>
      </c>
      <c r="AB66" s="3"/>
      <c r="AC66" s="3"/>
      <c r="AD66" s="3"/>
      <c r="AE66" s="2" t="s">
        <v>500</v>
      </c>
      <c r="AF66" s="2" t="s">
        <v>159</v>
      </c>
      <c r="AG66" s="2" t="s">
        <v>295</v>
      </c>
      <c r="AH66" s="2" t="s">
        <v>101</v>
      </c>
      <c r="AI66" s="2" t="s">
        <v>296</v>
      </c>
      <c r="AJ66" s="2" t="s">
        <v>85</v>
      </c>
      <c r="AK66" s="2" t="s">
        <v>256</v>
      </c>
      <c r="AL66" s="2" t="s">
        <v>257</v>
      </c>
      <c r="AM66" s="2" t="s">
        <v>278</v>
      </c>
      <c r="AN66" s="3"/>
      <c r="AO66" s="2" t="s">
        <v>529</v>
      </c>
    </row>
    <row r="67" spans="1:41" ht="22.5" customHeight="1" x14ac:dyDescent="0.2">
      <c r="A67" s="1">
        <v>45977.63218980324</v>
      </c>
      <c r="B67" s="2" t="s">
        <v>530</v>
      </c>
      <c r="C67" s="2">
        <v>20</v>
      </c>
      <c r="D67" s="2" t="s">
        <v>42</v>
      </c>
      <c r="E67" s="2" t="s">
        <v>58</v>
      </c>
      <c r="F67" s="2" t="s">
        <v>417</v>
      </c>
      <c r="G67" s="2" t="s">
        <v>182</v>
      </c>
      <c r="H67" s="2">
        <v>4</v>
      </c>
      <c r="I67" s="2">
        <v>1</v>
      </c>
      <c r="J67" s="2" t="s">
        <v>100</v>
      </c>
      <c r="K67" s="3"/>
      <c r="L67" s="2" t="s">
        <v>47</v>
      </c>
      <c r="M67" s="3"/>
      <c r="N67" s="3"/>
      <c r="O67" s="3"/>
      <c r="P67" s="3"/>
      <c r="Q67" s="3"/>
      <c r="R67" s="3"/>
      <c r="S67" s="2" t="s">
        <v>196</v>
      </c>
      <c r="T67" s="2" t="s">
        <v>436</v>
      </c>
      <c r="U67" s="2" t="s">
        <v>531</v>
      </c>
      <c r="V67" s="3"/>
      <c r="W67" s="3"/>
      <c r="X67" s="3"/>
      <c r="Y67" s="3"/>
      <c r="Z67" s="3"/>
      <c r="AA67" s="3"/>
      <c r="AB67" s="3"/>
      <c r="AC67" s="3"/>
      <c r="AD67" s="3"/>
      <c r="AE67" s="2" t="s">
        <v>532</v>
      </c>
      <c r="AF67" s="2" t="s">
        <v>323</v>
      </c>
      <c r="AG67" s="2" t="s">
        <v>284</v>
      </c>
      <c r="AH67" s="2" t="s">
        <v>533</v>
      </c>
      <c r="AI67" s="2" t="s">
        <v>285</v>
      </c>
      <c r="AJ67" s="2" t="s">
        <v>96</v>
      </c>
      <c r="AK67" s="2" t="s">
        <v>256</v>
      </c>
      <c r="AL67" s="2" t="s">
        <v>152</v>
      </c>
      <c r="AM67" s="2" t="s">
        <v>286</v>
      </c>
      <c r="AN67" s="3"/>
      <c r="AO67" s="2" t="s">
        <v>534</v>
      </c>
    </row>
    <row r="68" spans="1:41" ht="22.5" customHeight="1" x14ac:dyDescent="0.2">
      <c r="A68" s="1">
        <v>45977.634207569441</v>
      </c>
      <c r="B68" s="2" t="s">
        <v>535</v>
      </c>
      <c r="C68" s="2">
        <v>42</v>
      </c>
      <c r="D68" s="2" t="s">
        <v>73</v>
      </c>
      <c r="E68" s="2" t="s">
        <v>43</v>
      </c>
      <c r="F68" s="2" t="s">
        <v>138</v>
      </c>
      <c r="G68" s="2" t="s">
        <v>109</v>
      </c>
      <c r="H68" s="2">
        <v>5</v>
      </c>
      <c r="I68" s="2">
        <v>3</v>
      </c>
      <c r="J68" s="2" t="s">
        <v>309</v>
      </c>
      <c r="K68" s="2" t="s">
        <v>47</v>
      </c>
      <c r="L68" s="3"/>
      <c r="M68" s="2" t="s">
        <v>47</v>
      </c>
      <c r="N68" s="2" t="s">
        <v>291</v>
      </c>
      <c r="O68" s="3"/>
      <c r="P68" s="2" t="s">
        <v>536</v>
      </c>
      <c r="Q68" s="2" t="s">
        <v>150</v>
      </c>
      <c r="R68" s="2" t="s">
        <v>76</v>
      </c>
      <c r="S68" s="3"/>
      <c r="T68" s="3"/>
      <c r="U68" s="3"/>
      <c r="V68" s="2" t="s">
        <v>537</v>
      </c>
      <c r="W68" s="2" t="s">
        <v>538</v>
      </c>
      <c r="X68" s="2" t="s">
        <v>539</v>
      </c>
      <c r="Y68" s="2" t="s">
        <v>240</v>
      </c>
      <c r="Z68" s="2" t="s">
        <v>540</v>
      </c>
      <c r="AA68" s="2" t="s">
        <v>539</v>
      </c>
      <c r="AB68" s="3"/>
      <c r="AC68" s="3"/>
      <c r="AD68" s="3"/>
      <c r="AE68" s="2" t="s">
        <v>541</v>
      </c>
      <c r="AF68" s="2" t="s">
        <v>252</v>
      </c>
      <c r="AG68" s="2" t="s">
        <v>253</v>
      </c>
      <c r="AH68" s="2" t="s">
        <v>418</v>
      </c>
      <c r="AI68" s="2" t="s">
        <v>255</v>
      </c>
      <c r="AJ68" s="2" t="s">
        <v>362</v>
      </c>
      <c r="AK68" s="2" t="s">
        <v>307</v>
      </c>
      <c r="AL68" s="2" t="s">
        <v>257</v>
      </c>
      <c r="AM68" s="2" t="s">
        <v>401</v>
      </c>
      <c r="AN68" s="3"/>
      <c r="AO68" s="2" t="s">
        <v>542</v>
      </c>
    </row>
    <row r="69" spans="1:41" ht="22.5" customHeight="1" x14ac:dyDescent="0.2">
      <c r="A69" s="1">
        <v>45977.635636516206</v>
      </c>
      <c r="B69" s="2" t="s">
        <v>543</v>
      </c>
      <c r="C69" s="2">
        <v>31</v>
      </c>
      <c r="D69" s="2" t="s">
        <v>42</v>
      </c>
      <c r="E69" s="2" t="s">
        <v>58</v>
      </c>
      <c r="F69" s="2" t="s">
        <v>172</v>
      </c>
      <c r="G69" s="2" t="s">
        <v>60</v>
      </c>
      <c r="H69" s="2">
        <v>4</v>
      </c>
      <c r="I69" s="2">
        <v>1</v>
      </c>
      <c r="J69" s="2" t="s">
        <v>431</v>
      </c>
      <c r="K69" s="3"/>
      <c r="L69" s="3"/>
      <c r="M69" s="2" t="s">
        <v>47</v>
      </c>
      <c r="N69" s="3"/>
      <c r="O69" s="3"/>
      <c r="P69" s="3"/>
      <c r="Q69" s="3"/>
      <c r="R69" s="3"/>
      <c r="S69" s="3"/>
      <c r="T69" s="3"/>
      <c r="U69" s="3"/>
      <c r="V69" s="2" t="s">
        <v>192</v>
      </c>
      <c r="W69" s="2" t="s">
        <v>544</v>
      </c>
      <c r="X69" s="2" t="s">
        <v>545</v>
      </c>
      <c r="Y69" s="3"/>
      <c r="Z69" s="3"/>
      <c r="AA69" s="3"/>
      <c r="AB69" s="3"/>
      <c r="AC69" s="3"/>
      <c r="AD69" s="3"/>
      <c r="AE69" s="2" t="s">
        <v>546</v>
      </c>
      <c r="AF69" s="2" t="s">
        <v>276</v>
      </c>
      <c r="AG69" s="2" t="s">
        <v>317</v>
      </c>
      <c r="AH69" s="2" t="s">
        <v>420</v>
      </c>
      <c r="AI69" s="2" t="s">
        <v>255</v>
      </c>
      <c r="AJ69" s="2" t="s">
        <v>85</v>
      </c>
      <c r="AK69" s="2" t="s">
        <v>335</v>
      </c>
      <c r="AL69" s="2" t="s">
        <v>152</v>
      </c>
      <c r="AM69" s="2" t="s">
        <v>368</v>
      </c>
      <c r="AN69" s="3"/>
      <c r="AO69" s="2" t="s">
        <v>547</v>
      </c>
    </row>
    <row r="70" spans="1:41" ht="22.5" customHeight="1" x14ac:dyDescent="0.2">
      <c r="A70" s="1">
        <v>45977.637733495372</v>
      </c>
      <c r="B70" s="2" t="s">
        <v>548</v>
      </c>
      <c r="C70" s="2">
        <v>24</v>
      </c>
      <c r="D70" s="2" t="s">
        <v>73</v>
      </c>
      <c r="E70" s="2" t="s">
        <v>58</v>
      </c>
      <c r="F70" s="2" t="s">
        <v>74</v>
      </c>
      <c r="G70" s="2" t="s">
        <v>89</v>
      </c>
      <c r="H70" s="2">
        <v>3</v>
      </c>
      <c r="I70" s="2">
        <v>1</v>
      </c>
      <c r="J70" s="2" t="s">
        <v>46</v>
      </c>
      <c r="K70" s="2" t="s">
        <v>47</v>
      </c>
      <c r="L70" s="3"/>
      <c r="M70" s="3"/>
      <c r="N70" s="3"/>
      <c r="O70" s="3"/>
      <c r="P70" s="2" t="s">
        <v>129</v>
      </c>
      <c r="Q70" s="2" t="s">
        <v>470</v>
      </c>
      <c r="R70" s="2" t="s">
        <v>549</v>
      </c>
      <c r="S70" s="3"/>
      <c r="T70" s="3"/>
      <c r="U70" s="3"/>
      <c r="V70" s="3"/>
      <c r="W70" s="3"/>
      <c r="X70" s="3"/>
      <c r="Y70" s="3"/>
      <c r="Z70" s="3"/>
      <c r="AA70" s="3"/>
      <c r="AB70" s="3"/>
      <c r="AC70" s="3"/>
      <c r="AD70" s="3"/>
      <c r="AE70" s="2" t="s">
        <v>550</v>
      </c>
      <c r="AF70" s="2" t="s">
        <v>323</v>
      </c>
      <c r="AG70" s="2" t="s">
        <v>295</v>
      </c>
      <c r="AH70" s="2" t="s">
        <v>112</v>
      </c>
      <c r="AI70" s="2" t="s">
        <v>255</v>
      </c>
      <c r="AJ70" s="2" t="s">
        <v>277</v>
      </c>
      <c r="AK70" s="2" t="s">
        <v>256</v>
      </c>
      <c r="AL70" s="2" t="s">
        <v>152</v>
      </c>
      <c r="AM70" s="2" t="s">
        <v>278</v>
      </c>
      <c r="AN70" s="3"/>
      <c r="AO70" s="2" t="s">
        <v>551</v>
      </c>
    </row>
    <row r="71" spans="1:41" ht="22.5" customHeight="1" x14ac:dyDescent="0.2">
      <c r="A71" s="1">
        <v>45977.639986030088</v>
      </c>
      <c r="B71" s="2" t="s">
        <v>552</v>
      </c>
      <c r="C71" s="2">
        <v>47</v>
      </c>
      <c r="D71" s="2" t="s">
        <v>42</v>
      </c>
      <c r="E71" s="2" t="s">
        <v>43</v>
      </c>
      <c r="F71" s="2" t="s">
        <v>144</v>
      </c>
      <c r="G71" s="2" t="s">
        <v>182</v>
      </c>
      <c r="H71" s="2">
        <v>4</v>
      </c>
      <c r="I71" s="2">
        <v>1</v>
      </c>
      <c r="J71" s="2" t="s">
        <v>100</v>
      </c>
      <c r="K71" s="3"/>
      <c r="L71" s="2" t="s">
        <v>47</v>
      </c>
      <c r="M71" s="3"/>
      <c r="N71" s="3"/>
      <c r="O71" s="3"/>
      <c r="P71" s="3"/>
      <c r="Q71" s="3"/>
      <c r="R71" s="3"/>
      <c r="S71" s="2" t="s">
        <v>262</v>
      </c>
      <c r="T71" s="2" t="s">
        <v>533</v>
      </c>
      <c r="U71" s="2" t="s">
        <v>553</v>
      </c>
      <c r="V71" s="3"/>
      <c r="W71" s="3"/>
      <c r="X71" s="3"/>
      <c r="Y71" s="3"/>
      <c r="Z71" s="3"/>
      <c r="AA71" s="3"/>
      <c r="AB71" s="3"/>
      <c r="AC71" s="3"/>
      <c r="AD71" s="3"/>
      <c r="AE71" s="2" t="s">
        <v>554</v>
      </c>
      <c r="AF71" s="2" t="s">
        <v>252</v>
      </c>
      <c r="AG71" s="2" t="s">
        <v>284</v>
      </c>
      <c r="AH71" s="2" t="s">
        <v>103</v>
      </c>
      <c r="AI71" s="2" t="s">
        <v>555</v>
      </c>
      <c r="AJ71" s="2" t="s">
        <v>96</v>
      </c>
      <c r="AK71" s="2" t="s">
        <v>325</v>
      </c>
      <c r="AL71" s="2" t="s">
        <v>257</v>
      </c>
      <c r="AM71" s="2" t="s">
        <v>258</v>
      </c>
      <c r="AN71" s="3"/>
      <c r="AO71" s="2" t="s">
        <v>556</v>
      </c>
    </row>
    <row r="72" spans="1:41" ht="22.5" customHeight="1" x14ac:dyDescent="0.2">
      <c r="A72" s="1">
        <v>45977.64168591435</v>
      </c>
      <c r="B72" s="2" t="s">
        <v>557</v>
      </c>
      <c r="C72" s="2">
        <v>34</v>
      </c>
      <c r="D72" s="2" t="s">
        <v>73</v>
      </c>
      <c r="E72" s="2" t="s">
        <v>58</v>
      </c>
      <c r="F72" s="2" t="s">
        <v>172</v>
      </c>
      <c r="G72" s="2" t="s">
        <v>155</v>
      </c>
      <c r="H72" s="2">
        <v>4</v>
      </c>
      <c r="I72" s="2">
        <v>2</v>
      </c>
      <c r="J72" s="2" t="s">
        <v>246</v>
      </c>
      <c r="K72" s="2" t="s">
        <v>47</v>
      </c>
      <c r="L72" s="3"/>
      <c r="M72" s="2" t="s">
        <v>47</v>
      </c>
      <c r="N72" s="3"/>
      <c r="O72" s="3"/>
      <c r="P72" s="2" t="s">
        <v>192</v>
      </c>
      <c r="Q72" s="2" t="s">
        <v>451</v>
      </c>
      <c r="R72" s="2" t="s">
        <v>452</v>
      </c>
      <c r="S72" s="3"/>
      <c r="T72" s="3"/>
      <c r="U72" s="3"/>
      <c r="V72" s="2" t="s">
        <v>129</v>
      </c>
      <c r="W72" s="2" t="s">
        <v>473</v>
      </c>
      <c r="X72" s="2" t="s">
        <v>452</v>
      </c>
      <c r="Y72" s="3"/>
      <c r="Z72" s="3"/>
      <c r="AA72" s="3"/>
      <c r="AB72" s="3"/>
      <c r="AC72" s="3"/>
      <c r="AD72" s="3"/>
      <c r="AE72" s="2" t="s">
        <v>558</v>
      </c>
      <c r="AF72" s="2" t="s">
        <v>276</v>
      </c>
      <c r="AG72" s="2" t="s">
        <v>253</v>
      </c>
      <c r="AH72" s="2" t="s">
        <v>101</v>
      </c>
      <c r="AI72" s="2" t="s">
        <v>559</v>
      </c>
      <c r="AJ72" s="2" t="s">
        <v>362</v>
      </c>
      <c r="AK72" s="2" t="s">
        <v>307</v>
      </c>
      <c r="AL72" s="2" t="s">
        <v>152</v>
      </c>
      <c r="AM72" s="2" t="s">
        <v>363</v>
      </c>
      <c r="AN72" s="3"/>
      <c r="AO72" s="2" t="s">
        <v>560</v>
      </c>
    </row>
    <row r="73" spans="1:41" ht="22.5" customHeight="1" x14ac:dyDescent="0.2">
      <c r="A73" s="1">
        <v>45977.644297696759</v>
      </c>
      <c r="B73" s="2" t="s">
        <v>561</v>
      </c>
      <c r="C73" s="2">
        <v>22</v>
      </c>
      <c r="D73" s="2" t="s">
        <v>42</v>
      </c>
      <c r="E73" s="2" t="s">
        <v>43</v>
      </c>
      <c r="F73" s="2" t="s">
        <v>562</v>
      </c>
      <c r="G73" s="2" t="s">
        <v>182</v>
      </c>
      <c r="H73" s="2">
        <v>5</v>
      </c>
      <c r="I73" s="2">
        <v>1</v>
      </c>
      <c r="J73" s="2" t="s">
        <v>46</v>
      </c>
      <c r="K73" s="2" t="s">
        <v>47</v>
      </c>
      <c r="L73" s="3"/>
      <c r="M73" s="3"/>
      <c r="N73" s="3"/>
      <c r="O73" s="3"/>
      <c r="P73" s="2" t="s">
        <v>129</v>
      </c>
      <c r="Q73" s="2" t="s">
        <v>101</v>
      </c>
      <c r="R73" s="2" t="s">
        <v>463</v>
      </c>
      <c r="S73" s="3"/>
      <c r="T73" s="3"/>
      <c r="U73" s="3"/>
      <c r="V73" s="3"/>
      <c r="W73" s="3"/>
      <c r="X73" s="3"/>
      <c r="Y73" s="3"/>
      <c r="Z73" s="3"/>
      <c r="AA73" s="3"/>
      <c r="AB73" s="3"/>
      <c r="AC73" s="3"/>
      <c r="AD73" s="3"/>
      <c r="AE73" s="2" t="s">
        <v>563</v>
      </c>
      <c r="AF73" s="2" t="s">
        <v>159</v>
      </c>
      <c r="AG73" s="2" t="s">
        <v>295</v>
      </c>
      <c r="AH73" s="2" t="s">
        <v>420</v>
      </c>
      <c r="AI73" s="2" t="s">
        <v>285</v>
      </c>
      <c r="AJ73" s="2" t="s">
        <v>96</v>
      </c>
      <c r="AK73" s="2" t="s">
        <v>256</v>
      </c>
      <c r="AL73" s="2" t="s">
        <v>257</v>
      </c>
      <c r="AM73" s="2" t="s">
        <v>286</v>
      </c>
      <c r="AN73" s="3"/>
      <c r="AO73" s="2" t="s">
        <v>564</v>
      </c>
    </row>
    <row r="74" spans="1:41" ht="22.5" customHeight="1" x14ac:dyDescent="0.2">
      <c r="A74" s="1">
        <v>45977.647626493053</v>
      </c>
      <c r="B74" s="2" t="s">
        <v>565</v>
      </c>
      <c r="C74" s="2">
        <v>22</v>
      </c>
      <c r="D74" s="2" t="s">
        <v>73</v>
      </c>
      <c r="E74" s="2" t="s">
        <v>43</v>
      </c>
      <c r="F74" s="2" t="s">
        <v>339</v>
      </c>
      <c r="G74" s="2" t="s">
        <v>89</v>
      </c>
      <c r="H74" s="2">
        <v>4</v>
      </c>
      <c r="I74" s="2">
        <v>1</v>
      </c>
      <c r="J74" s="2" t="s">
        <v>46</v>
      </c>
      <c r="K74" s="2" t="s">
        <v>47</v>
      </c>
      <c r="L74" s="3"/>
      <c r="M74" s="3"/>
      <c r="N74" s="3"/>
      <c r="O74" s="3"/>
      <c r="P74" s="2" t="s">
        <v>377</v>
      </c>
      <c r="Q74" s="2" t="s">
        <v>343</v>
      </c>
      <c r="R74" s="2" t="s">
        <v>566</v>
      </c>
      <c r="S74" s="3"/>
      <c r="T74" s="3"/>
      <c r="U74" s="3"/>
      <c r="V74" s="3"/>
      <c r="W74" s="3"/>
      <c r="X74" s="3"/>
      <c r="Y74" s="3"/>
      <c r="Z74" s="3"/>
      <c r="AA74" s="3"/>
      <c r="AB74" s="3"/>
      <c r="AC74" s="3"/>
      <c r="AD74" s="3"/>
      <c r="AE74" s="2" t="s">
        <v>567</v>
      </c>
      <c r="AF74" s="2" t="s">
        <v>252</v>
      </c>
      <c r="AG74" s="2" t="s">
        <v>253</v>
      </c>
      <c r="AH74" s="2" t="s">
        <v>409</v>
      </c>
      <c r="AI74" s="2" t="s">
        <v>255</v>
      </c>
      <c r="AJ74" s="2" t="s">
        <v>85</v>
      </c>
      <c r="AK74" s="2" t="s">
        <v>256</v>
      </c>
      <c r="AL74" s="2" t="s">
        <v>257</v>
      </c>
      <c r="AM74" s="2" t="s">
        <v>258</v>
      </c>
      <c r="AN74" s="3"/>
      <c r="AO74" s="2" t="s">
        <v>568</v>
      </c>
    </row>
    <row r="75" spans="1:41" ht="22.5" customHeight="1" x14ac:dyDescent="0.2">
      <c r="A75" s="1">
        <v>45977.650355069447</v>
      </c>
      <c r="B75" s="2" t="s">
        <v>569</v>
      </c>
      <c r="C75" s="2">
        <v>27</v>
      </c>
      <c r="D75" s="2" t="s">
        <v>42</v>
      </c>
      <c r="E75" s="2" t="s">
        <v>58</v>
      </c>
      <c r="F75" s="2" t="s">
        <v>74</v>
      </c>
      <c r="G75" s="2" t="s">
        <v>45</v>
      </c>
      <c r="H75" s="2">
        <v>3</v>
      </c>
      <c r="I75" s="2">
        <v>2</v>
      </c>
      <c r="J75" s="2" t="s">
        <v>269</v>
      </c>
      <c r="K75" s="3"/>
      <c r="L75" s="2" t="s">
        <v>47</v>
      </c>
      <c r="M75" s="2" t="s">
        <v>47</v>
      </c>
      <c r="N75" s="3"/>
      <c r="O75" s="3"/>
      <c r="P75" s="3"/>
      <c r="Q75" s="3"/>
      <c r="R75" s="3"/>
      <c r="S75" s="2" t="s">
        <v>570</v>
      </c>
      <c r="T75" s="2" t="s">
        <v>50</v>
      </c>
      <c r="U75" s="2" t="s">
        <v>571</v>
      </c>
      <c r="V75" s="2" t="s">
        <v>572</v>
      </c>
      <c r="W75" s="2" t="s">
        <v>302</v>
      </c>
      <c r="X75" s="2" t="s">
        <v>573</v>
      </c>
      <c r="Y75" s="3"/>
      <c r="Z75" s="3"/>
      <c r="AA75" s="3"/>
      <c r="AB75" s="3"/>
      <c r="AC75" s="3"/>
      <c r="AD75" s="3"/>
      <c r="AE75" s="2" t="s">
        <v>574</v>
      </c>
      <c r="AF75" s="2" t="s">
        <v>323</v>
      </c>
      <c r="AG75" s="2" t="s">
        <v>295</v>
      </c>
      <c r="AH75" s="2" t="s">
        <v>239</v>
      </c>
      <c r="AI75" s="2" t="s">
        <v>255</v>
      </c>
      <c r="AJ75" s="2" t="s">
        <v>277</v>
      </c>
      <c r="AK75" s="2" t="s">
        <v>256</v>
      </c>
      <c r="AL75" s="2" t="s">
        <v>152</v>
      </c>
      <c r="AM75" s="2" t="s">
        <v>286</v>
      </c>
      <c r="AN75" s="3"/>
      <c r="AO75" s="2" t="s">
        <v>575</v>
      </c>
    </row>
    <row r="76" spans="1:41" ht="22.5" customHeight="1" x14ac:dyDescent="0.2">
      <c r="A76" s="1">
        <v>45977.653254618053</v>
      </c>
      <c r="B76" s="2" t="s">
        <v>576</v>
      </c>
      <c r="C76" s="2">
        <v>40</v>
      </c>
      <c r="D76" s="2" t="s">
        <v>73</v>
      </c>
      <c r="E76" s="2" t="s">
        <v>43</v>
      </c>
      <c r="F76" s="2" t="s">
        <v>44</v>
      </c>
      <c r="G76" s="2" t="s">
        <v>45</v>
      </c>
      <c r="H76" s="2">
        <v>5</v>
      </c>
      <c r="I76" s="2">
        <v>2</v>
      </c>
      <c r="J76" s="2" t="s">
        <v>290</v>
      </c>
      <c r="K76" s="2" t="s">
        <v>47</v>
      </c>
      <c r="L76" s="3"/>
      <c r="M76" s="3"/>
      <c r="N76" s="2" t="s">
        <v>291</v>
      </c>
      <c r="O76" s="3"/>
      <c r="P76" s="2" t="s">
        <v>577</v>
      </c>
      <c r="Q76" s="2" t="s">
        <v>150</v>
      </c>
      <c r="R76" s="2" t="s">
        <v>578</v>
      </c>
      <c r="S76" s="3"/>
      <c r="T76" s="3"/>
      <c r="U76" s="3"/>
      <c r="V76" s="3"/>
      <c r="W76" s="3"/>
      <c r="X76" s="3"/>
      <c r="Y76" s="2" t="s">
        <v>579</v>
      </c>
      <c r="Z76" s="2" t="s">
        <v>273</v>
      </c>
      <c r="AA76" s="2" t="s">
        <v>580</v>
      </c>
      <c r="AB76" s="3"/>
      <c r="AC76" s="3"/>
      <c r="AD76" s="3"/>
      <c r="AE76" s="2" t="s">
        <v>581</v>
      </c>
      <c r="AF76" s="2" t="s">
        <v>159</v>
      </c>
      <c r="AG76" s="2" t="s">
        <v>284</v>
      </c>
      <c r="AH76" s="2" t="s">
        <v>282</v>
      </c>
      <c r="AI76" s="2" t="s">
        <v>296</v>
      </c>
      <c r="AJ76" s="2" t="s">
        <v>85</v>
      </c>
      <c r="AK76" s="2" t="s">
        <v>325</v>
      </c>
      <c r="AL76" s="2" t="s">
        <v>68</v>
      </c>
      <c r="AM76" s="3"/>
      <c r="AN76" s="2" t="s">
        <v>373</v>
      </c>
      <c r="AO76" s="2" t="s">
        <v>582</v>
      </c>
    </row>
    <row r="77" spans="1:41" ht="22.5" customHeight="1" x14ac:dyDescent="0.2">
      <c r="A77" s="1">
        <v>45977.655683182871</v>
      </c>
      <c r="B77" s="2" t="s">
        <v>583</v>
      </c>
      <c r="C77" s="2">
        <v>32</v>
      </c>
      <c r="D77" s="2" t="s">
        <v>42</v>
      </c>
      <c r="E77" s="2" t="s">
        <v>58</v>
      </c>
      <c r="F77" s="2" t="s">
        <v>144</v>
      </c>
      <c r="G77" s="2" t="s">
        <v>89</v>
      </c>
      <c r="H77" s="2">
        <v>4</v>
      </c>
      <c r="I77" s="2">
        <v>1</v>
      </c>
      <c r="J77" s="2" t="s">
        <v>100</v>
      </c>
      <c r="K77" s="3"/>
      <c r="L77" s="2" t="s">
        <v>47</v>
      </c>
      <c r="M77" s="3"/>
      <c r="N77" s="3"/>
      <c r="O77" s="3"/>
      <c r="P77" s="3"/>
      <c r="Q77" s="3"/>
      <c r="R77" s="3"/>
      <c r="S77" s="2" t="s">
        <v>584</v>
      </c>
      <c r="T77" s="2" t="s">
        <v>234</v>
      </c>
      <c r="U77" s="2" t="s">
        <v>585</v>
      </c>
      <c r="V77" s="3"/>
      <c r="W77" s="3"/>
      <c r="X77" s="3"/>
      <c r="Y77" s="3"/>
      <c r="Z77" s="3"/>
      <c r="AA77" s="3"/>
      <c r="AB77" s="3"/>
      <c r="AC77" s="3"/>
      <c r="AD77" s="3"/>
      <c r="AE77" s="2" t="s">
        <v>586</v>
      </c>
      <c r="AF77" s="2" t="s">
        <v>252</v>
      </c>
      <c r="AG77" s="2" t="s">
        <v>361</v>
      </c>
      <c r="AH77" s="2" t="s">
        <v>587</v>
      </c>
      <c r="AI77" s="2" t="s">
        <v>344</v>
      </c>
      <c r="AJ77" s="2" t="s">
        <v>96</v>
      </c>
      <c r="AK77" s="2" t="s">
        <v>335</v>
      </c>
      <c r="AL77" s="2" t="s">
        <v>257</v>
      </c>
      <c r="AM77" s="2" t="s">
        <v>286</v>
      </c>
      <c r="AN77" s="3"/>
      <c r="AO77" s="2" t="s">
        <v>588</v>
      </c>
    </row>
    <row r="78" spans="1:41" ht="22.5" customHeight="1" x14ac:dyDescent="0.2">
      <c r="A78" s="1">
        <v>45977.659167210644</v>
      </c>
      <c r="B78" s="2" t="s">
        <v>589</v>
      </c>
      <c r="C78" s="2">
        <v>45</v>
      </c>
      <c r="D78" s="2" t="s">
        <v>73</v>
      </c>
      <c r="E78" s="2" t="s">
        <v>43</v>
      </c>
      <c r="F78" s="2" t="s">
        <v>172</v>
      </c>
      <c r="G78" s="2" t="s">
        <v>109</v>
      </c>
      <c r="H78" s="2">
        <v>5</v>
      </c>
      <c r="I78" s="2">
        <v>3</v>
      </c>
      <c r="J78" s="2" t="s">
        <v>309</v>
      </c>
      <c r="K78" s="2" t="s">
        <v>47</v>
      </c>
      <c r="L78" s="3"/>
      <c r="M78" s="2" t="s">
        <v>47</v>
      </c>
      <c r="N78" s="2" t="s">
        <v>291</v>
      </c>
      <c r="O78" s="3"/>
      <c r="P78" s="2" t="s">
        <v>590</v>
      </c>
      <c r="Q78" s="2" t="s">
        <v>146</v>
      </c>
      <c r="R78" s="2" t="s">
        <v>376</v>
      </c>
      <c r="S78" s="3"/>
      <c r="T78" s="3"/>
      <c r="U78" s="3"/>
      <c r="V78" s="2" t="s">
        <v>484</v>
      </c>
      <c r="W78" s="2" t="s">
        <v>248</v>
      </c>
      <c r="X78" s="2" t="s">
        <v>341</v>
      </c>
      <c r="Y78" s="2" t="s">
        <v>312</v>
      </c>
      <c r="Z78" s="2" t="s">
        <v>494</v>
      </c>
      <c r="AA78" s="2" t="s">
        <v>378</v>
      </c>
      <c r="AB78" s="3"/>
      <c r="AC78" s="3"/>
      <c r="AD78" s="3"/>
      <c r="AE78" s="2" t="s">
        <v>591</v>
      </c>
      <c r="AF78" s="2" t="s">
        <v>360</v>
      </c>
      <c r="AG78" s="2" t="s">
        <v>317</v>
      </c>
      <c r="AH78" s="2" t="s">
        <v>592</v>
      </c>
      <c r="AI78" s="2" t="s">
        <v>559</v>
      </c>
      <c r="AJ78" s="2" t="s">
        <v>362</v>
      </c>
      <c r="AK78" s="2" t="s">
        <v>307</v>
      </c>
      <c r="AL78" s="2" t="s">
        <v>68</v>
      </c>
      <c r="AM78" s="3"/>
      <c r="AN78" s="2" t="s">
        <v>460</v>
      </c>
      <c r="AO78" s="2" t="s">
        <v>593</v>
      </c>
    </row>
    <row r="79" spans="1:41" ht="22.5" customHeight="1" x14ac:dyDescent="0.2">
      <c r="A79" s="1">
        <v>45977.661615358797</v>
      </c>
      <c r="B79" s="2" t="s">
        <v>594</v>
      </c>
      <c r="C79" s="2">
        <v>19</v>
      </c>
      <c r="D79" s="2" t="s">
        <v>42</v>
      </c>
      <c r="E79" s="2" t="s">
        <v>58</v>
      </c>
      <c r="F79" s="2" t="s">
        <v>562</v>
      </c>
      <c r="G79" s="2" t="s">
        <v>182</v>
      </c>
      <c r="H79" s="2">
        <v>3</v>
      </c>
      <c r="I79" s="2">
        <v>1</v>
      </c>
      <c r="J79" s="2" t="s">
        <v>100</v>
      </c>
      <c r="K79" s="3"/>
      <c r="L79" s="2" t="s">
        <v>47</v>
      </c>
      <c r="M79" s="3"/>
      <c r="N79" s="3"/>
      <c r="O79" s="3"/>
      <c r="P79" s="3"/>
      <c r="Q79" s="3"/>
      <c r="R79" s="3"/>
      <c r="S79" s="2" t="s">
        <v>392</v>
      </c>
      <c r="T79" s="2" t="s">
        <v>254</v>
      </c>
      <c r="U79" s="2" t="s">
        <v>366</v>
      </c>
      <c r="V79" s="3"/>
      <c r="W79" s="3"/>
      <c r="X79" s="3"/>
      <c r="Y79" s="3"/>
      <c r="Z79" s="3"/>
      <c r="AA79" s="3"/>
      <c r="AB79" s="3"/>
      <c r="AC79" s="3"/>
      <c r="AD79" s="3"/>
      <c r="AE79" s="2" t="s">
        <v>563</v>
      </c>
      <c r="AF79" s="2" t="s">
        <v>323</v>
      </c>
      <c r="AG79" s="2" t="s">
        <v>284</v>
      </c>
      <c r="AH79" s="2" t="s">
        <v>324</v>
      </c>
      <c r="AI79" s="2" t="s">
        <v>285</v>
      </c>
      <c r="AJ79" s="2" t="s">
        <v>96</v>
      </c>
      <c r="AK79" s="2" t="s">
        <v>256</v>
      </c>
      <c r="AL79" s="2" t="s">
        <v>152</v>
      </c>
      <c r="AM79" s="2" t="s">
        <v>258</v>
      </c>
      <c r="AN79" s="3"/>
      <c r="AO79" s="2" t="s">
        <v>595</v>
      </c>
    </row>
    <row r="80" spans="1:41" ht="22.5" customHeight="1" x14ac:dyDescent="0.2">
      <c r="A80" s="1">
        <v>45977.665181770833</v>
      </c>
      <c r="B80" s="2" t="s">
        <v>596</v>
      </c>
      <c r="C80" s="2">
        <v>36</v>
      </c>
      <c r="D80" s="2" t="s">
        <v>73</v>
      </c>
      <c r="E80" s="2" t="s">
        <v>43</v>
      </c>
      <c r="F80" s="2" t="s">
        <v>138</v>
      </c>
      <c r="G80" s="2" t="s">
        <v>60</v>
      </c>
      <c r="H80" s="2">
        <v>4</v>
      </c>
      <c r="I80" s="2">
        <v>2</v>
      </c>
      <c r="J80" s="2" t="s">
        <v>61</v>
      </c>
      <c r="K80" s="2" t="s">
        <v>47</v>
      </c>
      <c r="L80" s="2" t="s">
        <v>47</v>
      </c>
      <c r="M80" s="3"/>
      <c r="N80" s="3"/>
      <c r="O80" s="3"/>
      <c r="P80" s="2" t="s">
        <v>310</v>
      </c>
      <c r="Q80" s="2" t="s">
        <v>538</v>
      </c>
      <c r="R80" s="2" t="s">
        <v>597</v>
      </c>
      <c r="S80" s="2" t="s">
        <v>354</v>
      </c>
      <c r="T80" s="2" t="s">
        <v>254</v>
      </c>
      <c r="U80" s="2" t="s">
        <v>578</v>
      </c>
      <c r="V80" s="3"/>
      <c r="W80" s="3"/>
      <c r="X80" s="3"/>
      <c r="Y80" s="3"/>
      <c r="Z80" s="3"/>
      <c r="AA80" s="3"/>
      <c r="AB80" s="3"/>
      <c r="AC80" s="3"/>
      <c r="AD80" s="3"/>
      <c r="AE80" s="2" t="s">
        <v>598</v>
      </c>
      <c r="AF80" s="2" t="s">
        <v>252</v>
      </c>
      <c r="AG80" s="2" t="s">
        <v>253</v>
      </c>
      <c r="AH80" s="2" t="s">
        <v>142</v>
      </c>
      <c r="AI80" s="2" t="s">
        <v>255</v>
      </c>
      <c r="AJ80" s="2" t="s">
        <v>85</v>
      </c>
      <c r="AK80" s="2" t="s">
        <v>318</v>
      </c>
      <c r="AL80" s="2" t="s">
        <v>257</v>
      </c>
      <c r="AM80" s="2" t="s">
        <v>278</v>
      </c>
      <c r="AN80" s="3"/>
      <c r="AO80" s="2" t="s">
        <v>599</v>
      </c>
    </row>
    <row r="81" spans="1:41" ht="22.5" customHeight="1" x14ac:dyDescent="0.2">
      <c r="A81" s="1">
        <v>45977.673142870372</v>
      </c>
      <c r="B81" s="2" t="s">
        <v>600</v>
      </c>
      <c r="C81" s="2">
        <v>21</v>
      </c>
      <c r="D81" s="2" t="s">
        <v>42</v>
      </c>
      <c r="E81" s="2" t="s">
        <v>43</v>
      </c>
      <c r="F81" s="2" t="s">
        <v>562</v>
      </c>
      <c r="G81" s="2" t="s">
        <v>182</v>
      </c>
      <c r="H81" s="2">
        <v>5</v>
      </c>
      <c r="I81" s="2">
        <v>3</v>
      </c>
      <c r="J81" s="2" t="s">
        <v>61</v>
      </c>
      <c r="K81" s="2" t="s">
        <v>47</v>
      </c>
      <c r="L81" s="2" t="s">
        <v>47</v>
      </c>
      <c r="M81" s="2" t="s">
        <v>157</v>
      </c>
      <c r="N81" s="2" t="s">
        <v>601</v>
      </c>
      <c r="O81" s="2" t="s">
        <v>353</v>
      </c>
      <c r="P81" s="2" t="s">
        <v>602</v>
      </c>
      <c r="Q81" s="2">
        <v>10</v>
      </c>
      <c r="R81" s="2">
        <v>500</v>
      </c>
      <c r="S81" s="2" t="s">
        <v>202</v>
      </c>
      <c r="T81" s="2">
        <v>10</v>
      </c>
      <c r="U81" s="2">
        <v>500</v>
      </c>
      <c r="V81" s="2" t="s">
        <v>603</v>
      </c>
      <c r="W81" s="2">
        <v>9</v>
      </c>
      <c r="X81" s="2">
        <v>400</v>
      </c>
      <c r="Y81" s="2" t="s">
        <v>604</v>
      </c>
      <c r="Z81" s="2">
        <v>5</v>
      </c>
      <c r="AA81" s="2">
        <v>300</v>
      </c>
      <c r="AB81" s="2">
        <v>4</v>
      </c>
      <c r="AC81" s="2">
        <v>3</v>
      </c>
      <c r="AD81" s="2">
        <v>2</v>
      </c>
      <c r="AE81" s="2">
        <v>200</v>
      </c>
      <c r="AF81" s="2" t="s">
        <v>159</v>
      </c>
      <c r="AG81" s="2" t="s">
        <v>253</v>
      </c>
      <c r="AH81" s="2">
        <v>10</v>
      </c>
      <c r="AI81" s="2" t="s">
        <v>285</v>
      </c>
      <c r="AJ81" s="2" t="s">
        <v>54</v>
      </c>
      <c r="AK81" s="2" t="s">
        <v>256</v>
      </c>
      <c r="AL81" s="2" t="s">
        <v>68</v>
      </c>
      <c r="AM81" s="2" t="s">
        <v>363</v>
      </c>
      <c r="AN81" s="2" t="s">
        <v>259</v>
      </c>
      <c r="AO81" s="2" t="s">
        <v>68</v>
      </c>
    </row>
    <row r="82" spans="1:41" ht="22.5" customHeight="1" x14ac:dyDescent="0.2">
      <c r="A82" s="1">
        <v>45977.678662129634</v>
      </c>
      <c r="B82" s="2" t="s">
        <v>605</v>
      </c>
      <c r="C82" s="2">
        <v>23</v>
      </c>
      <c r="D82" s="2" t="s">
        <v>42</v>
      </c>
      <c r="E82" s="2" t="s">
        <v>58</v>
      </c>
      <c r="F82" s="2" t="s">
        <v>74</v>
      </c>
      <c r="G82" s="2" t="s">
        <v>45</v>
      </c>
      <c r="H82" s="2">
        <v>3</v>
      </c>
      <c r="I82" s="2">
        <v>1</v>
      </c>
      <c r="J82" s="2" t="s">
        <v>431</v>
      </c>
      <c r="K82" s="3"/>
      <c r="L82" s="3"/>
      <c r="M82" s="2" t="s">
        <v>47</v>
      </c>
      <c r="N82" s="3"/>
      <c r="O82" s="3"/>
      <c r="P82" s="3"/>
      <c r="Q82" s="3"/>
      <c r="R82" s="3"/>
      <c r="S82" s="2" t="s">
        <v>129</v>
      </c>
      <c r="T82" s="2" t="s">
        <v>343</v>
      </c>
      <c r="U82" s="2" t="s">
        <v>606</v>
      </c>
      <c r="V82" s="3"/>
      <c r="W82" s="3"/>
      <c r="X82" s="3"/>
      <c r="Y82" s="3"/>
      <c r="Z82" s="3"/>
      <c r="AA82" s="3"/>
      <c r="AB82" s="3"/>
      <c r="AC82" s="3"/>
      <c r="AD82" s="3"/>
      <c r="AE82" s="2" t="s">
        <v>607</v>
      </c>
      <c r="AF82" s="2" t="s">
        <v>276</v>
      </c>
      <c r="AG82" s="2" t="s">
        <v>253</v>
      </c>
      <c r="AH82" s="2" t="s">
        <v>501</v>
      </c>
      <c r="AI82" s="2" t="s">
        <v>255</v>
      </c>
      <c r="AJ82" s="2" t="s">
        <v>277</v>
      </c>
      <c r="AK82" s="2" t="s">
        <v>335</v>
      </c>
      <c r="AL82" s="2" t="s">
        <v>152</v>
      </c>
      <c r="AM82" s="2" t="s">
        <v>363</v>
      </c>
      <c r="AN82" s="3"/>
      <c r="AO82" s="2" t="s">
        <v>608</v>
      </c>
    </row>
    <row r="83" spans="1:41" ht="22.5" customHeight="1" x14ac:dyDescent="0.2">
      <c r="A83" s="1">
        <v>45977.681853969909</v>
      </c>
      <c r="B83" s="2" t="s">
        <v>609</v>
      </c>
      <c r="C83" s="2">
        <v>28</v>
      </c>
      <c r="D83" s="2" t="s">
        <v>73</v>
      </c>
      <c r="E83" s="2" t="s">
        <v>43</v>
      </c>
      <c r="F83" s="2" t="s">
        <v>44</v>
      </c>
      <c r="G83" s="2" t="s">
        <v>89</v>
      </c>
      <c r="H83" s="2">
        <v>6</v>
      </c>
      <c r="I83" s="2">
        <v>2</v>
      </c>
      <c r="J83" s="2" t="s">
        <v>290</v>
      </c>
      <c r="K83" s="2" t="s">
        <v>47</v>
      </c>
      <c r="L83" s="3"/>
      <c r="M83" s="3"/>
      <c r="N83" s="2" t="s">
        <v>291</v>
      </c>
      <c r="O83" s="3"/>
      <c r="P83" s="2" t="s">
        <v>497</v>
      </c>
      <c r="Q83" s="2" t="s">
        <v>302</v>
      </c>
      <c r="R83" s="2" t="s">
        <v>321</v>
      </c>
      <c r="S83" s="3"/>
      <c r="T83" s="3"/>
      <c r="U83" s="3"/>
      <c r="V83" s="3"/>
      <c r="W83" s="3"/>
      <c r="X83" s="3"/>
      <c r="Y83" s="2" t="s">
        <v>149</v>
      </c>
      <c r="Z83" s="2" t="s">
        <v>610</v>
      </c>
      <c r="AA83" s="2" t="s">
        <v>611</v>
      </c>
      <c r="AB83" s="3"/>
      <c r="AC83" s="3"/>
      <c r="AD83" s="3"/>
      <c r="AE83" s="2" t="s">
        <v>612</v>
      </c>
      <c r="AF83" s="2" t="s">
        <v>159</v>
      </c>
      <c r="AG83" s="2" t="s">
        <v>295</v>
      </c>
      <c r="AH83" s="2" t="s">
        <v>142</v>
      </c>
      <c r="AI83" s="2" t="s">
        <v>296</v>
      </c>
      <c r="AJ83" s="2" t="s">
        <v>85</v>
      </c>
      <c r="AK83" s="2" t="s">
        <v>325</v>
      </c>
      <c r="AL83" s="2" t="s">
        <v>257</v>
      </c>
      <c r="AM83" s="2" t="s">
        <v>258</v>
      </c>
      <c r="AN83" s="3"/>
      <c r="AO83" s="2" t="s">
        <v>613</v>
      </c>
    </row>
    <row r="84" spans="1:41" ht="22.5" customHeight="1" x14ac:dyDescent="0.2">
      <c r="A84" s="1">
        <v>45977.684344641202</v>
      </c>
      <c r="B84" s="2" t="s">
        <v>614</v>
      </c>
      <c r="C84" s="2">
        <v>21</v>
      </c>
      <c r="D84" s="2" t="s">
        <v>42</v>
      </c>
      <c r="E84" s="2" t="s">
        <v>43</v>
      </c>
      <c r="F84" s="2" t="s">
        <v>562</v>
      </c>
      <c r="G84" s="2" t="s">
        <v>182</v>
      </c>
      <c r="H84" s="2">
        <v>4</v>
      </c>
      <c r="I84" s="2">
        <v>1</v>
      </c>
      <c r="J84" s="2" t="s">
        <v>100</v>
      </c>
      <c r="K84" s="3"/>
      <c r="L84" s="2" t="s">
        <v>47</v>
      </c>
      <c r="M84" s="3"/>
      <c r="N84" s="3"/>
      <c r="O84" s="3"/>
      <c r="P84" s="3"/>
      <c r="Q84" s="3"/>
      <c r="R84" s="3"/>
      <c r="S84" s="2" t="s">
        <v>615</v>
      </c>
      <c r="T84" s="2" t="s">
        <v>50</v>
      </c>
      <c r="U84" s="2" t="s">
        <v>585</v>
      </c>
      <c r="V84" s="3"/>
      <c r="W84" s="3"/>
      <c r="X84" s="3"/>
      <c r="Y84" s="3"/>
      <c r="Z84" s="3"/>
      <c r="AA84" s="3"/>
      <c r="AB84" s="3"/>
      <c r="AC84" s="3"/>
      <c r="AD84" s="3"/>
      <c r="AE84" s="2" t="s">
        <v>616</v>
      </c>
      <c r="AF84" s="2" t="s">
        <v>252</v>
      </c>
      <c r="AG84" s="2" t="s">
        <v>284</v>
      </c>
      <c r="AH84" s="2" t="s">
        <v>367</v>
      </c>
      <c r="AI84" s="2" t="s">
        <v>285</v>
      </c>
      <c r="AJ84" s="2" t="s">
        <v>96</v>
      </c>
      <c r="AK84" s="2" t="s">
        <v>256</v>
      </c>
      <c r="AL84" s="2" t="s">
        <v>152</v>
      </c>
      <c r="AM84" s="2" t="s">
        <v>286</v>
      </c>
      <c r="AN84" s="3"/>
      <c r="AO84" s="2" t="s">
        <v>617</v>
      </c>
    </row>
    <row r="85" spans="1:41" ht="22.5" customHeight="1" x14ac:dyDescent="0.2">
      <c r="A85" s="1">
        <v>45977.704710613427</v>
      </c>
      <c r="B85" s="2" t="s">
        <v>618</v>
      </c>
      <c r="C85" s="2">
        <v>21</v>
      </c>
      <c r="D85" s="2" t="s">
        <v>42</v>
      </c>
      <c r="E85" s="2" t="s">
        <v>43</v>
      </c>
      <c r="F85" s="2" t="s">
        <v>562</v>
      </c>
      <c r="G85" s="2" t="s">
        <v>182</v>
      </c>
      <c r="H85" s="2">
        <v>5</v>
      </c>
      <c r="I85" s="2">
        <v>1</v>
      </c>
      <c r="J85" s="2" t="s">
        <v>46</v>
      </c>
      <c r="K85" s="2" t="s">
        <v>47</v>
      </c>
      <c r="L85" s="3"/>
      <c r="M85" s="3"/>
      <c r="N85" s="3"/>
      <c r="O85" s="3"/>
      <c r="P85" s="2">
        <v>3</v>
      </c>
      <c r="Q85" s="2" t="s">
        <v>587</v>
      </c>
      <c r="R85" s="2" t="s">
        <v>619</v>
      </c>
      <c r="S85" s="3"/>
      <c r="T85" s="3"/>
      <c r="U85" s="3"/>
      <c r="V85" s="3"/>
      <c r="W85" s="3"/>
      <c r="X85" s="3"/>
      <c r="Y85" s="3"/>
      <c r="Z85" s="3"/>
      <c r="AA85" s="3"/>
      <c r="AB85" s="3"/>
      <c r="AC85" s="3"/>
      <c r="AD85" s="3"/>
      <c r="AE85" s="3"/>
      <c r="AF85" s="2" t="s">
        <v>252</v>
      </c>
      <c r="AG85" s="2" t="s">
        <v>284</v>
      </c>
      <c r="AH85" s="2" t="s">
        <v>587</v>
      </c>
      <c r="AI85" s="2" t="s">
        <v>255</v>
      </c>
      <c r="AJ85" s="2" t="s">
        <v>54</v>
      </c>
      <c r="AK85" s="2" t="s">
        <v>256</v>
      </c>
      <c r="AL85" s="2" t="s">
        <v>152</v>
      </c>
      <c r="AM85" s="2" t="s">
        <v>286</v>
      </c>
      <c r="AN85" s="3"/>
      <c r="AO85" s="2" t="s">
        <v>68</v>
      </c>
    </row>
    <row r="86" spans="1:41" ht="22.5" customHeight="1" x14ac:dyDescent="0.2">
      <c r="A86" s="1">
        <v>45977.706034351853</v>
      </c>
      <c r="B86" s="2" t="s">
        <v>620</v>
      </c>
      <c r="C86" s="2">
        <v>40</v>
      </c>
      <c r="D86" s="2" t="s">
        <v>73</v>
      </c>
      <c r="E86" s="2" t="s">
        <v>58</v>
      </c>
      <c r="F86" s="2" t="s">
        <v>339</v>
      </c>
      <c r="G86" s="2" t="s">
        <v>45</v>
      </c>
      <c r="H86" s="2">
        <v>4</v>
      </c>
      <c r="I86" s="2">
        <v>2</v>
      </c>
      <c r="J86" s="2" t="s">
        <v>61</v>
      </c>
      <c r="K86" s="2" t="s">
        <v>47</v>
      </c>
      <c r="L86" s="2" t="s">
        <v>47</v>
      </c>
      <c r="M86" s="3"/>
      <c r="N86" s="3"/>
      <c r="O86" s="3"/>
      <c r="P86" s="2" t="s">
        <v>124</v>
      </c>
      <c r="Q86" s="2" t="s">
        <v>119</v>
      </c>
      <c r="R86" s="2" t="s">
        <v>621</v>
      </c>
      <c r="S86" s="2" t="s">
        <v>622</v>
      </c>
      <c r="T86" s="2" t="s">
        <v>103</v>
      </c>
      <c r="U86" s="4">
        <v>1000</v>
      </c>
      <c r="V86" s="3"/>
      <c r="W86" s="3"/>
      <c r="X86" s="3"/>
      <c r="Y86" s="3"/>
      <c r="Z86" s="3"/>
      <c r="AA86" s="3"/>
      <c r="AB86" s="3"/>
      <c r="AC86" s="3"/>
      <c r="AD86" s="3"/>
      <c r="AE86" s="2" t="s">
        <v>623</v>
      </c>
      <c r="AF86" s="2" t="s">
        <v>252</v>
      </c>
      <c r="AG86" s="2" t="s">
        <v>284</v>
      </c>
      <c r="AH86" s="2" t="s">
        <v>624</v>
      </c>
      <c r="AI86" s="2" t="s">
        <v>625</v>
      </c>
      <c r="AJ86" s="2" t="s">
        <v>277</v>
      </c>
      <c r="AK86" s="2" t="s">
        <v>335</v>
      </c>
      <c r="AL86" s="2" t="s">
        <v>257</v>
      </c>
      <c r="AM86" s="2" t="s">
        <v>258</v>
      </c>
      <c r="AN86" s="3"/>
      <c r="AO86" s="2" t="s">
        <v>626</v>
      </c>
    </row>
    <row r="87" spans="1:41" ht="22.5" customHeight="1" x14ac:dyDescent="0.2">
      <c r="A87" s="1">
        <v>45977.735155868053</v>
      </c>
      <c r="B87" s="2" t="s">
        <v>627</v>
      </c>
      <c r="C87" s="2">
        <v>22</v>
      </c>
      <c r="D87" s="2" t="s">
        <v>42</v>
      </c>
      <c r="E87" s="3"/>
      <c r="F87" s="2" t="s">
        <v>562</v>
      </c>
      <c r="G87" s="2" t="s">
        <v>182</v>
      </c>
      <c r="H87" s="2">
        <v>5</v>
      </c>
      <c r="I87" s="2">
        <v>1</v>
      </c>
      <c r="J87" s="2" t="s">
        <v>46</v>
      </c>
      <c r="K87" s="2" t="s">
        <v>47</v>
      </c>
      <c r="L87" s="3"/>
      <c r="M87" s="3"/>
      <c r="N87" s="3"/>
      <c r="O87" s="3"/>
      <c r="P87" s="2">
        <v>2</v>
      </c>
      <c r="Q87" s="2">
        <v>40</v>
      </c>
      <c r="R87" s="2">
        <v>1</v>
      </c>
      <c r="S87" s="2">
        <v>1</v>
      </c>
      <c r="T87" s="2">
        <v>30</v>
      </c>
      <c r="U87" s="2">
        <v>3</v>
      </c>
      <c r="V87" s="2" t="s">
        <v>68</v>
      </c>
      <c r="W87" s="2" t="s">
        <v>68</v>
      </c>
      <c r="X87" s="2" t="s">
        <v>68</v>
      </c>
      <c r="Y87" s="2" t="s">
        <v>68</v>
      </c>
      <c r="Z87" s="2" t="s">
        <v>68</v>
      </c>
      <c r="AA87" s="2" t="s">
        <v>68</v>
      </c>
      <c r="AB87" s="3"/>
      <c r="AC87" s="3"/>
      <c r="AD87" s="3"/>
      <c r="AE87" s="3"/>
      <c r="AF87" s="3"/>
      <c r="AG87" s="3"/>
      <c r="AH87" s="3"/>
      <c r="AI87" s="3"/>
      <c r="AJ87" s="3"/>
      <c r="AK87" s="3"/>
      <c r="AL87" s="3"/>
      <c r="AM87" s="3"/>
      <c r="AN87" s="3"/>
      <c r="AO87" s="3"/>
    </row>
    <row r="88" spans="1:41" ht="22.5" customHeight="1" x14ac:dyDescent="0.2">
      <c r="A88" s="1">
        <v>45977.743996817131</v>
      </c>
      <c r="B88" s="2" t="s">
        <v>628</v>
      </c>
      <c r="C88" s="2">
        <v>21</v>
      </c>
      <c r="D88" s="2" t="s">
        <v>73</v>
      </c>
      <c r="E88" s="2" t="s">
        <v>43</v>
      </c>
      <c r="F88" s="2" t="s">
        <v>562</v>
      </c>
      <c r="G88" s="2" t="s">
        <v>89</v>
      </c>
      <c r="H88" s="2">
        <v>5</v>
      </c>
      <c r="I88" s="2">
        <v>1</v>
      </c>
      <c r="J88" s="2" t="s">
        <v>46</v>
      </c>
      <c r="K88" s="2" t="s">
        <v>47</v>
      </c>
      <c r="L88" s="3"/>
      <c r="M88" s="3"/>
      <c r="N88" s="3"/>
      <c r="O88" s="3"/>
      <c r="P88" s="5" t="s">
        <v>629</v>
      </c>
      <c r="Q88" s="3"/>
      <c r="R88" s="3"/>
      <c r="S88" s="3"/>
      <c r="T88" s="3"/>
      <c r="U88" s="3"/>
      <c r="V88" s="3"/>
      <c r="W88" s="3"/>
      <c r="X88" s="3"/>
      <c r="Y88" s="3"/>
      <c r="Z88" s="3"/>
      <c r="AA88" s="3"/>
      <c r="AB88" s="3"/>
      <c r="AC88" s="3"/>
      <c r="AD88" s="3"/>
      <c r="AE88" s="3"/>
      <c r="AF88" s="3"/>
      <c r="AG88" s="3"/>
      <c r="AH88" s="3"/>
      <c r="AI88" s="3"/>
      <c r="AJ88" s="3"/>
      <c r="AK88" s="3"/>
      <c r="AL88" s="3"/>
      <c r="AM88" s="3"/>
      <c r="AN88" s="3"/>
      <c r="AO88" s="3"/>
    </row>
    <row r="89" spans="1:41" ht="22.5" customHeight="1" x14ac:dyDescent="0.2">
      <c r="A89" s="1">
        <v>45977.747164537039</v>
      </c>
      <c r="B89" s="2" t="s">
        <v>630</v>
      </c>
      <c r="C89" s="2">
        <v>20</v>
      </c>
      <c r="D89" s="2" t="s">
        <v>42</v>
      </c>
      <c r="E89" s="2" t="s">
        <v>43</v>
      </c>
      <c r="F89" s="2" t="s">
        <v>562</v>
      </c>
      <c r="G89" s="3"/>
      <c r="H89" s="2">
        <v>6</v>
      </c>
      <c r="I89" s="2">
        <v>2</v>
      </c>
      <c r="J89" s="2" t="s">
        <v>61</v>
      </c>
      <c r="K89" s="2" t="s">
        <v>291</v>
      </c>
      <c r="L89" s="2" t="s">
        <v>47</v>
      </c>
      <c r="M89" s="3"/>
      <c r="N89" s="3"/>
      <c r="O89" s="3"/>
      <c r="P89" s="3"/>
      <c r="Q89" s="3"/>
      <c r="R89" s="3"/>
      <c r="S89" s="3"/>
      <c r="T89" s="3"/>
      <c r="U89" s="3"/>
      <c r="V89" s="3"/>
      <c r="W89" s="3"/>
      <c r="X89" s="3"/>
      <c r="Y89" s="3"/>
      <c r="Z89" s="3"/>
      <c r="AA89" s="3"/>
      <c r="AB89" s="3"/>
      <c r="AC89" s="3"/>
      <c r="AD89" s="3"/>
      <c r="AE89" s="3"/>
      <c r="AF89" s="2" t="s">
        <v>159</v>
      </c>
      <c r="AG89" s="2" t="s">
        <v>631</v>
      </c>
      <c r="AH89" s="2" t="s">
        <v>50</v>
      </c>
      <c r="AI89" s="2" t="s">
        <v>344</v>
      </c>
      <c r="AJ89" s="2" t="s">
        <v>85</v>
      </c>
      <c r="AK89" s="2" t="s">
        <v>265</v>
      </c>
      <c r="AL89" s="2" t="s">
        <v>152</v>
      </c>
      <c r="AM89" s="2" t="s">
        <v>286</v>
      </c>
      <c r="AN89" s="3"/>
      <c r="AO89" s="3"/>
    </row>
    <row r="90" spans="1:41" ht="22.5" customHeight="1" x14ac:dyDescent="0.2">
      <c r="A90" s="1">
        <v>45977.760192430556</v>
      </c>
      <c r="B90" s="2" t="s">
        <v>632</v>
      </c>
      <c r="C90" s="2">
        <v>20</v>
      </c>
      <c r="D90" s="2" t="s">
        <v>73</v>
      </c>
      <c r="E90" s="2" t="s">
        <v>43</v>
      </c>
      <c r="F90" s="2" t="s">
        <v>562</v>
      </c>
      <c r="G90" s="2" t="s">
        <v>182</v>
      </c>
      <c r="H90" s="2">
        <v>5</v>
      </c>
      <c r="I90" s="2">
        <v>1</v>
      </c>
      <c r="J90" s="2" t="s">
        <v>100</v>
      </c>
      <c r="K90" s="3"/>
      <c r="L90" s="2" t="s">
        <v>47</v>
      </c>
      <c r="M90" s="3"/>
      <c r="N90" s="3"/>
      <c r="O90" s="3"/>
      <c r="P90" s="3"/>
      <c r="Q90" s="3"/>
      <c r="R90" s="3"/>
      <c r="S90" s="2">
        <v>10</v>
      </c>
      <c r="T90" s="2">
        <v>20000</v>
      </c>
      <c r="U90" s="2">
        <v>1000</v>
      </c>
      <c r="V90" s="3"/>
      <c r="W90" s="3"/>
      <c r="X90" s="3"/>
      <c r="Y90" s="3"/>
      <c r="Z90" s="3"/>
      <c r="AA90" s="3"/>
      <c r="AB90" s="3"/>
      <c r="AC90" s="3"/>
      <c r="AD90" s="3"/>
      <c r="AE90" s="3"/>
      <c r="AF90" s="3"/>
      <c r="AG90" s="3"/>
      <c r="AH90" s="3"/>
      <c r="AI90" s="3"/>
      <c r="AJ90" s="3"/>
      <c r="AK90" s="3"/>
      <c r="AL90" s="3"/>
      <c r="AM90" s="3"/>
      <c r="AN90" s="3"/>
      <c r="AO90" s="3"/>
    </row>
    <row r="91" spans="1:41" ht="22.5" customHeight="1" x14ac:dyDescent="0.2">
      <c r="A91" s="1">
        <v>45977.804572604167</v>
      </c>
      <c r="B91" s="2" t="s">
        <v>633</v>
      </c>
      <c r="C91" s="2">
        <v>25</v>
      </c>
      <c r="D91" s="2" t="s">
        <v>73</v>
      </c>
      <c r="E91" s="2" t="s">
        <v>43</v>
      </c>
      <c r="F91" s="2" t="s">
        <v>44</v>
      </c>
      <c r="G91" s="2" t="s">
        <v>182</v>
      </c>
      <c r="H91" s="2">
        <v>3</v>
      </c>
      <c r="I91" s="2">
        <v>2</v>
      </c>
      <c r="J91" s="2" t="s">
        <v>46</v>
      </c>
      <c r="K91" s="2" t="s">
        <v>47</v>
      </c>
      <c r="L91" s="3"/>
      <c r="M91" s="3"/>
      <c r="N91" s="3"/>
      <c r="O91" s="3"/>
      <c r="P91" s="2" t="s">
        <v>634</v>
      </c>
      <c r="Q91" s="2" t="s">
        <v>635</v>
      </c>
      <c r="R91" s="2" t="s">
        <v>636</v>
      </c>
      <c r="S91" s="3"/>
      <c r="T91" s="3"/>
      <c r="U91" s="3"/>
      <c r="V91" s="3"/>
      <c r="W91" s="3"/>
      <c r="X91" s="3"/>
      <c r="Y91" s="3"/>
      <c r="Z91" s="3"/>
      <c r="AA91" s="3"/>
      <c r="AB91" s="3"/>
      <c r="AC91" s="3"/>
      <c r="AD91" s="3"/>
      <c r="AE91" s="3"/>
      <c r="AF91" s="2" t="s">
        <v>159</v>
      </c>
      <c r="AG91" s="2" t="s">
        <v>253</v>
      </c>
      <c r="AH91" s="2" t="s">
        <v>637</v>
      </c>
      <c r="AI91" s="2" t="s">
        <v>296</v>
      </c>
      <c r="AJ91" s="2" t="s">
        <v>85</v>
      </c>
      <c r="AK91" s="2" t="s">
        <v>256</v>
      </c>
      <c r="AL91" s="2" t="s">
        <v>68</v>
      </c>
      <c r="AM91" s="3"/>
      <c r="AN91" s="2" t="s">
        <v>638</v>
      </c>
      <c r="AO91" s="2" t="s">
        <v>639</v>
      </c>
    </row>
    <row r="92" spans="1:41" ht="22.5" customHeight="1" x14ac:dyDescent="0.2">
      <c r="A92" s="1">
        <v>45977.899165694442</v>
      </c>
      <c r="B92" s="2" t="s">
        <v>640</v>
      </c>
      <c r="C92" s="2">
        <v>48</v>
      </c>
      <c r="D92" s="2" t="s">
        <v>73</v>
      </c>
      <c r="E92" s="2" t="s">
        <v>43</v>
      </c>
      <c r="F92" s="2" t="s">
        <v>44</v>
      </c>
      <c r="G92" s="2" t="s">
        <v>45</v>
      </c>
      <c r="H92" s="2">
        <v>6</v>
      </c>
      <c r="I92" s="2">
        <v>2</v>
      </c>
      <c r="J92" s="2" t="s">
        <v>290</v>
      </c>
      <c r="K92" s="2" t="s">
        <v>47</v>
      </c>
      <c r="L92" s="3"/>
      <c r="M92" s="3"/>
      <c r="N92" s="2" t="s">
        <v>291</v>
      </c>
      <c r="O92" s="3"/>
      <c r="P92" s="2" t="s">
        <v>641</v>
      </c>
      <c r="Q92" s="2" t="s">
        <v>544</v>
      </c>
      <c r="R92" s="2" t="s">
        <v>439</v>
      </c>
      <c r="S92" s="3"/>
      <c r="T92" s="3"/>
      <c r="U92" s="3"/>
      <c r="V92" s="3"/>
      <c r="W92" s="3"/>
      <c r="X92" s="3"/>
      <c r="Y92" s="2" t="s">
        <v>472</v>
      </c>
      <c r="Z92" s="2" t="s">
        <v>642</v>
      </c>
      <c r="AA92" s="2" t="s">
        <v>439</v>
      </c>
      <c r="AB92" s="3"/>
      <c r="AC92" s="3"/>
      <c r="AD92" s="3"/>
      <c r="AE92" s="2" t="s">
        <v>643</v>
      </c>
      <c r="AF92" s="2" t="s">
        <v>159</v>
      </c>
      <c r="AG92" s="2" t="s">
        <v>295</v>
      </c>
      <c r="AH92" s="2" t="s">
        <v>436</v>
      </c>
      <c r="AI92" s="2" t="s">
        <v>296</v>
      </c>
      <c r="AJ92" s="2" t="s">
        <v>85</v>
      </c>
      <c r="AK92" s="2" t="s">
        <v>256</v>
      </c>
      <c r="AL92" s="2" t="s">
        <v>68</v>
      </c>
      <c r="AM92" s="3"/>
      <c r="AN92" s="2" t="s">
        <v>373</v>
      </c>
      <c r="AO92" s="2" t="s">
        <v>644</v>
      </c>
    </row>
    <row r="93" spans="1:41" ht="22.5" customHeight="1" x14ac:dyDescent="0.2">
      <c r="A93" s="1">
        <v>45977.900482013887</v>
      </c>
      <c r="B93" s="2" t="s">
        <v>645</v>
      </c>
      <c r="C93" s="2">
        <v>25</v>
      </c>
      <c r="D93" s="2" t="s">
        <v>42</v>
      </c>
      <c r="E93" s="2" t="s">
        <v>58</v>
      </c>
      <c r="F93" s="2" t="s">
        <v>74</v>
      </c>
      <c r="G93" s="2" t="s">
        <v>89</v>
      </c>
      <c r="H93" s="2">
        <v>3</v>
      </c>
      <c r="I93" s="2">
        <v>1</v>
      </c>
      <c r="J93" s="2" t="s">
        <v>100</v>
      </c>
      <c r="K93" s="3"/>
      <c r="L93" s="2" t="s">
        <v>47</v>
      </c>
      <c r="M93" s="3"/>
      <c r="N93" s="3"/>
      <c r="O93" s="3"/>
      <c r="P93" s="3"/>
      <c r="Q93" s="3"/>
      <c r="R93" s="3"/>
      <c r="S93" s="2" t="s">
        <v>129</v>
      </c>
      <c r="T93" s="2" t="s">
        <v>646</v>
      </c>
      <c r="U93" s="2" t="s">
        <v>463</v>
      </c>
      <c r="V93" s="3"/>
      <c r="W93" s="3"/>
      <c r="X93" s="3"/>
      <c r="Y93" s="3"/>
      <c r="Z93" s="3"/>
      <c r="AA93" s="3"/>
      <c r="AB93" s="3"/>
      <c r="AC93" s="3"/>
      <c r="AD93" s="3"/>
      <c r="AE93" s="2" t="s">
        <v>522</v>
      </c>
      <c r="AF93" s="2" t="s">
        <v>252</v>
      </c>
      <c r="AG93" s="2" t="s">
        <v>284</v>
      </c>
      <c r="AH93" s="2" t="s">
        <v>324</v>
      </c>
      <c r="AI93" s="2" t="s">
        <v>255</v>
      </c>
      <c r="AJ93" s="2" t="s">
        <v>277</v>
      </c>
      <c r="AK93" s="2" t="s">
        <v>335</v>
      </c>
      <c r="AL93" s="2" t="s">
        <v>152</v>
      </c>
      <c r="AM93" s="2" t="s">
        <v>278</v>
      </c>
      <c r="AN93" s="3"/>
      <c r="AO93" s="2" t="s">
        <v>647</v>
      </c>
    </row>
    <row r="94" spans="1:41" ht="22.5" customHeight="1" x14ac:dyDescent="0.2">
      <c r="A94" s="1">
        <v>45977.902347685187</v>
      </c>
      <c r="B94" s="2" t="s">
        <v>648</v>
      </c>
      <c r="C94" s="2">
        <v>33</v>
      </c>
      <c r="D94" s="2" t="s">
        <v>73</v>
      </c>
      <c r="E94" s="2" t="s">
        <v>43</v>
      </c>
      <c r="F94" s="2" t="s">
        <v>172</v>
      </c>
      <c r="G94" s="2" t="s">
        <v>60</v>
      </c>
      <c r="H94" s="2">
        <v>4</v>
      </c>
      <c r="I94" s="2">
        <v>2</v>
      </c>
      <c r="J94" s="2" t="s">
        <v>246</v>
      </c>
      <c r="K94" s="2" t="s">
        <v>47</v>
      </c>
      <c r="L94" s="3"/>
      <c r="M94" s="2" t="s">
        <v>47</v>
      </c>
      <c r="N94" s="3"/>
      <c r="O94" s="3"/>
      <c r="P94" s="2" t="s">
        <v>102</v>
      </c>
      <c r="Q94" s="2" t="s">
        <v>441</v>
      </c>
      <c r="R94" s="2" t="s">
        <v>110</v>
      </c>
      <c r="S94" s="3"/>
      <c r="T94" s="3"/>
      <c r="U94" s="3"/>
      <c r="V94" s="2" t="s">
        <v>192</v>
      </c>
      <c r="W94" s="2" t="s">
        <v>470</v>
      </c>
      <c r="X94" s="2" t="s">
        <v>649</v>
      </c>
      <c r="Y94" s="3"/>
      <c r="Z94" s="3"/>
      <c r="AA94" s="3"/>
      <c r="AB94" s="3"/>
      <c r="AC94" s="3"/>
      <c r="AD94" s="3"/>
      <c r="AE94" s="2" t="s">
        <v>650</v>
      </c>
      <c r="AF94" s="2" t="s">
        <v>323</v>
      </c>
      <c r="AG94" s="2" t="s">
        <v>559</v>
      </c>
      <c r="AH94" s="2" t="s">
        <v>451</v>
      </c>
      <c r="AI94" s="2" t="s">
        <v>559</v>
      </c>
      <c r="AJ94" s="2" t="s">
        <v>85</v>
      </c>
      <c r="AK94" s="2" t="s">
        <v>256</v>
      </c>
      <c r="AL94" s="2" t="s">
        <v>257</v>
      </c>
      <c r="AM94" s="2" t="s">
        <v>258</v>
      </c>
      <c r="AN94" s="3"/>
      <c r="AO94" s="2" t="s">
        <v>556</v>
      </c>
    </row>
    <row r="95" spans="1:41" ht="22.5" customHeight="1" x14ac:dyDescent="0.2">
      <c r="A95" s="1">
        <v>45977.903686840276</v>
      </c>
      <c r="B95" s="2" t="s">
        <v>651</v>
      </c>
      <c r="C95" s="2">
        <v>21</v>
      </c>
      <c r="D95" s="2" t="s">
        <v>42</v>
      </c>
      <c r="E95" s="2" t="s">
        <v>58</v>
      </c>
      <c r="F95" s="2" t="s">
        <v>562</v>
      </c>
      <c r="G95" s="2" t="s">
        <v>182</v>
      </c>
      <c r="H95" s="2">
        <v>5</v>
      </c>
      <c r="I95" s="2">
        <v>1</v>
      </c>
      <c r="J95" s="2" t="s">
        <v>100</v>
      </c>
      <c r="K95" s="3"/>
      <c r="L95" s="2" t="s">
        <v>47</v>
      </c>
      <c r="M95" s="3"/>
      <c r="N95" s="3"/>
      <c r="O95" s="3"/>
      <c r="P95" s="3"/>
      <c r="Q95" s="3"/>
      <c r="R95" s="3"/>
      <c r="S95" s="2" t="s">
        <v>622</v>
      </c>
      <c r="T95" s="2" t="s">
        <v>112</v>
      </c>
      <c r="U95" s="2" t="s">
        <v>652</v>
      </c>
      <c r="V95" s="3"/>
      <c r="W95" s="3"/>
      <c r="X95" s="3"/>
      <c r="Y95" s="3"/>
      <c r="Z95" s="3"/>
      <c r="AA95" s="3"/>
      <c r="AB95" s="3"/>
      <c r="AC95" s="3"/>
      <c r="AD95" s="3"/>
      <c r="AE95" s="2" t="s">
        <v>586</v>
      </c>
      <c r="AF95" s="2" t="s">
        <v>252</v>
      </c>
      <c r="AG95" s="2" t="s">
        <v>361</v>
      </c>
      <c r="AH95" s="2" t="s">
        <v>367</v>
      </c>
      <c r="AI95" s="2" t="s">
        <v>285</v>
      </c>
      <c r="AJ95" s="2" t="s">
        <v>96</v>
      </c>
      <c r="AK95" s="2" t="s">
        <v>256</v>
      </c>
      <c r="AL95" s="2" t="s">
        <v>152</v>
      </c>
      <c r="AM95" s="2" t="s">
        <v>286</v>
      </c>
      <c r="AN95" s="3"/>
      <c r="AO95" s="2" t="s">
        <v>653</v>
      </c>
    </row>
    <row r="96" spans="1:41" ht="22.5" customHeight="1" x14ac:dyDescent="0.2">
      <c r="A96" s="1">
        <v>45977.90484974537</v>
      </c>
      <c r="B96" s="2" t="s">
        <v>654</v>
      </c>
      <c r="C96" s="2">
        <v>50</v>
      </c>
      <c r="D96" s="2" t="s">
        <v>73</v>
      </c>
      <c r="E96" s="2" t="s">
        <v>43</v>
      </c>
      <c r="F96" s="2" t="s">
        <v>44</v>
      </c>
      <c r="G96" s="2" t="s">
        <v>89</v>
      </c>
      <c r="H96" s="2">
        <v>6</v>
      </c>
      <c r="I96" s="2">
        <v>1</v>
      </c>
      <c r="J96" s="2" t="s">
        <v>46</v>
      </c>
      <c r="K96" s="2" t="s">
        <v>47</v>
      </c>
      <c r="L96" s="3"/>
      <c r="M96" s="3"/>
      <c r="N96" s="3"/>
      <c r="O96" s="3"/>
      <c r="P96" s="2" t="s">
        <v>655</v>
      </c>
      <c r="Q96" s="2" t="s">
        <v>444</v>
      </c>
      <c r="R96" s="2" t="s">
        <v>111</v>
      </c>
      <c r="S96" s="3"/>
      <c r="T96" s="3"/>
      <c r="U96" s="3"/>
      <c r="V96" s="3"/>
      <c r="W96" s="3"/>
      <c r="X96" s="3"/>
      <c r="Y96" s="3"/>
      <c r="Z96" s="3"/>
      <c r="AA96" s="3"/>
      <c r="AB96" s="3"/>
      <c r="AC96" s="3"/>
      <c r="AD96" s="3"/>
      <c r="AE96" s="2" t="s">
        <v>656</v>
      </c>
      <c r="AF96" s="2" t="s">
        <v>159</v>
      </c>
      <c r="AG96" s="2" t="s">
        <v>284</v>
      </c>
      <c r="AH96" s="2" t="s">
        <v>113</v>
      </c>
      <c r="AI96" s="2" t="s">
        <v>296</v>
      </c>
      <c r="AJ96" s="2" t="s">
        <v>85</v>
      </c>
      <c r="AK96" s="2" t="s">
        <v>325</v>
      </c>
      <c r="AL96" s="2" t="s">
        <v>68</v>
      </c>
      <c r="AM96" s="3"/>
      <c r="AN96" s="2" t="s">
        <v>460</v>
      </c>
      <c r="AO96" s="2" t="s">
        <v>657</v>
      </c>
    </row>
    <row r="97" spans="1:41" ht="22.5" customHeight="1" x14ac:dyDescent="0.2">
      <c r="A97" s="1">
        <v>45977.906152280091</v>
      </c>
      <c r="B97" s="2" t="s">
        <v>658</v>
      </c>
      <c r="C97" s="2">
        <v>34</v>
      </c>
      <c r="D97" s="2" t="s">
        <v>42</v>
      </c>
      <c r="E97" s="2" t="s">
        <v>58</v>
      </c>
      <c r="F97" s="2" t="s">
        <v>138</v>
      </c>
      <c r="G97" s="2" t="s">
        <v>109</v>
      </c>
      <c r="H97" s="2">
        <v>3</v>
      </c>
      <c r="I97" s="2">
        <v>1</v>
      </c>
      <c r="J97" s="2" t="s">
        <v>431</v>
      </c>
      <c r="K97" s="3"/>
      <c r="L97" s="3"/>
      <c r="M97" s="2" t="s">
        <v>47</v>
      </c>
      <c r="N97" s="3"/>
      <c r="O97" s="3"/>
      <c r="P97" s="3"/>
      <c r="Q97" s="3"/>
      <c r="R97" s="3"/>
      <c r="S97" s="3"/>
      <c r="T97" s="3"/>
      <c r="U97" s="3"/>
      <c r="V97" s="2" t="s">
        <v>149</v>
      </c>
      <c r="W97" s="2" t="s">
        <v>150</v>
      </c>
      <c r="X97" s="2" t="s">
        <v>659</v>
      </c>
      <c r="Y97" s="3"/>
      <c r="Z97" s="3"/>
      <c r="AA97" s="3"/>
      <c r="AB97" s="3"/>
      <c r="AC97" s="3"/>
      <c r="AD97" s="3"/>
      <c r="AE97" s="2" t="s">
        <v>574</v>
      </c>
      <c r="AF97" s="2" t="s">
        <v>276</v>
      </c>
      <c r="AG97" s="2" t="s">
        <v>253</v>
      </c>
      <c r="AH97" s="2" t="s">
        <v>142</v>
      </c>
      <c r="AI97" s="2" t="s">
        <v>255</v>
      </c>
      <c r="AJ97" s="2" t="s">
        <v>277</v>
      </c>
      <c r="AK97" s="2" t="s">
        <v>256</v>
      </c>
      <c r="AL97" s="2" t="s">
        <v>152</v>
      </c>
      <c r="AM97" s="2" t="s">
        <v>368</v>
      </c>
      <c r="AN97" s="3"/>
      <c r="AO97" s="2" t="s">
        <v>660</v>
      </c>
    </row>
    <row r="98" spans="1:41" ht="22.5" customHeight="1" x14ac:dyDescent="0.2">
      <c r="A98" s="1">
        <v>45977.907593032403</v>
      </c>
      <c r="B98" s="2" t="s">
        <v>661</v>
      </c>
      <c r="C98" s="2">
        <v>30</v>
      </c>
      <c r="D98" s="2" t="s">
        <v>73</v>
      </c>
      <c r="E98" s="2" t="s">
        <v>58</v>
      </c>
      <c r="F98" s="2" t="s">
        <v>74</v>
      </c>
      <c r="G98" s="2" t="s">
        <v>45</v>
      </c>
      <c r="H98" s="2">
        <v>4</v>
      </c>
      <c r="I98" s="2">
        <v>2</v>
      </c>
      <c r="J98" s="2" t="s">
        <v>246</v>
      </c>
      <c r="K98" s="2" t="s">
        <v>47</v>
      </c>
      <c r="L98" s="3"/>
      <c r="M98" s="2" t="s">
        <v>47</v>
      </c>
      <c r="N98" s="3"/>
      <c r="O98" s="3"/>
      <c r="P98" s="2" t="s">
        <v>178</v>
      </c>
      <c r="Q98" s="2" t="s">
        <v>470</v>
      </c>
      <c r="R98" s="2" t="s">
        <v>549</v>
      </c>
      <c r="S98" s="3"/>
      <c r="T98" s="3"/>
      <c r="U98" s="3"/>
      <c r="V98" s="2" t="s">
        <v>192</v>
      </c>
      <c r="W98" s="2" t="s">
        <v>418</v>
      </c>
      <c r="X98" s="2" t="s">
        <v>662</v>
      </c>
      <c r="Y98" s="3"/>
      <c r="Z98" s="3"/>
      <c r="AA98" s="3"/>
      <c r="AB98" s="3"/>
      <c r="AC98" s="3"/>
      <c r="AD98" s="3"/>
      <c r="AE98" s="2" t="s">
        <v>663</v>
      </c>
      <c r="AF98" s="2" t="s">
        <v>252</v>
      </c>
      <c r="AG98" s="2" t="s">
        <v>253</v>
      </c>
      <c r="AH98" s="2" t="s">
        <v>234</v>
      </c>
      <c r="AI98" s="2" t="s">
        <v>255</v>
      </c>
      <c r="AJ98" s="2" t="s">
        <v>85</v>
      </c>
      <c r="AK98" s="2" t="s">
        <v>335</v>
      </c>
      <c r="AL98" s="2" t="s">
        <v>257</v>
      </c>
      <c r="AM98" s="2" t="s">
        <v>363</v>
      </c>
      <c r="AN98" s="3"/>
      <c r="AO98" s="2" t="s">
        <v>664</v>
      </c>
    </row>
    <row r="99" spans="1:41" ht="22.5" customHeight="1" x14ac:dyDescent="0.2">
      <c r="A99" s="1">
        <v>45977.908884571763</v>
      </c>
      <c r="B99" s="2" t="s">
        <v>665</v>
      </c>
      <c r="C99" s="2">
        <v>22</v>
      </c>
      <c r="D99" s="2" t="s">
        <v>42</v>
      </c>
      <c r="E99" s="2" t="s">
        <v>58</v>
      </c>
      <c r="F99" s="2" t="s">
        <v>562</v>
      </c>
      <c r="G99" s="2" t="s">
        <v>182</v>
      </c>
      <c r="H99" s="2">
        <v>4</v>
      </c>
      <c r="I99" s="2">
        <v>1</v>
      </c>
      <c r="J99" s="2" t="s">
        <v>100</v>
      </c>
      <c r="K99" s="3"/>
      <c r="L99" s="2" t="s">
        <v>47</v>
      </c>
      <c r="M99" s="3"/>
      <c r="N99" s="3"/>
      <c r="O99" s="3"/>
      <c r="P99" s="3"/>
      <c r="Q99" s="3"/>
      <c r="R99" s="3"/>
      <c r="S99" s="2" t="s">
        <v>129</v>
      </c>
      <c r="T99" s="2" t="s">
        <v>142</v>
      </c>
      <c r="U99" s="2" t="s">
        <v>652</v>
      </c>
      <c r="V99" s="3"/>
      <c r="W99" s="3"/>
      <c r="X99" s="3"/>
      <c r="Y99" s="3"/>
      <c r="Z99" s="3"/>
      <c r="AA99" s="3"/>
      <c r="AB99" s="3"/>
      <c r="AC99" s="3"/>
      <c r="AD99" s="3"/>
      <c r="AE99" s="2" t="s">
        <v>616</v>
      </c>
      <c r="AF99" s="2" t="s">
        <v>323</v>
      </c>
      <c r="AG99" s="2" t="s">
        <v>295</v>
      </c>
      <c r="AH99" s="2" t="s">
        <v>523</v>
      </c>
      <c r="AI99" s="2" t="s">
        <v>285</v>
      </c>
      <c r="AJ99" s="2" t="s">
        <v>96</v>
      </c>
      <c r="AK99" s="2" t="s">
        <v>256</v>
      </c>
      <c r="AL99" s="2" t="s">
        <v>152</v>
      </c>
      <c r="AM99" s="2" t="s">
        <v>278</v>
      </c>
      <c r="AN99" s="3"/>
      <c r="AO99" s="2" t="s">
        <v>666</v>
      </c>
    </row>
    <row r="100" spans="1:41" ht="22.5" customHeight="1" x14ac:dyDescent="0.2">
      <c r="A100" s="1">
        <v>45977.914199108796</v>
      </c>
      <c r="B100" s="2" t="s">
        <v>667</v>
      </c>
      <c r="C100" s="2">
        <v>39</v>
      </c>
      <c r="D100" s="2" t="s">
        <v>73</v>
      </c>
      <c r="E100" s="2" t="s">
        <v>43</v>
      </c>
      <c r="F100" s="2" t="s">
        <v>172</v>
      </c>
      <c r="G100" s="2" t="s">
        <v>60</v>
      </c>
      <c r="H100" s="2">
        <v>5</v>
      </c>
      <c r="I100" s="2">
        <v>2</v>
      </c>
      <c r="J100" s="2" t="s">
        <v>668</v>
      </c>
      <c r="K100" s="3"/>
      <c r="L100" s="3"/>
      <c r="M100" s="2" t="s">
        <v>291</v>
      </c>
      <c r="N100" s="2" t="s">
        <v>47</v>
      </c>
      <c r="O100" s="3"/>
      <c r="P100" s="3"/>
      <c r="Q100" s="3"/>
      <c r="R100" s="3"/>
      <c r="S100" s="3"/>
      <c r="T100" s="3"/>
      <c r="U100" s="3"/>
      <c r="V100" s="2" t="s">
        <v>262</v>
      </c>
      <c r="W100" s="2" t="s">
        <v>538</v>
      </c>
      <c r="X100" s="2" t="s">
        <v>669</v>
      </c>
      <c r="Y100" s="2" t="s">
        <v>670</v>
      </c>
      <c r="Z100" s="2" t="s">
        <v>671</v>
      </c>
      <c r="AA100" s="2" t="s">
        <v>672</v>
      </c>
      <c r="AB100" s="3"/>
      <c r="AC100" s="3"/>
      <c r="AD100" s="3"/>
      <c r="AE100" s="2" t="s">
        <v>316</v>
      </c>
      <c r="AF100" s="2" t="s">
        <v>360</v>
      </c>
      <c r="AG100" s="2" t="s">
        <v>317</v>
      </c>
      <c r="AH100" s="2" t="s">
        <v>254</v>
      </c>
      <c r="AI100" s="2" t="s">
        <v>559</v>
      </c>
      <c r="AJ100" s="2" t="s">
        <v>362</v>
      </c>
      <c r="AK100" s="2" t="s">
        <v>307</v>
      </c>
      <c r="AL100" s="2" t="s">
        <v>68</v>
      </c>
      <c r="AM100" s="2" t="s">
        <v>258</v>
      </c>
      <c r="AN100" s="2" t="s">
        <v>373</v>
      </c>
      <c r="AO100" s="2" t="s">
        <v>673</v>
      </c>
    </row>
    <row r="101" spans="1:41" ht="22.5" customHeight="1" x14ac:dyDescent="0.2">
      <c r="A101" s="1">
        <v>45977.915592164354</v>
      </c>
      <c r="B101" s="2" t="s">
        <v>674</v>
      </c>
      <c r="C101" s="2">
        <v>28</v>
      </c>
      <c r="D101" s="2" t="s">
        <v>42</v>
      </c>
      <c r="E101" s="2" t="s">
        <v>58</v>
      </c>
      <c r="F101" s="2" t="s">
        <v>74</v>
      </c>
      <c r="G101" s="2" t="s">
        <v>45</v>
      </c>
      <c r="H101" s="2">
        <v>3</v>
      </c>
      <c r="I101" s="2">
        <v>1</v>
      </c>
      <c r="J101" s="2" t="s">
        <v>431</v>
      </c>
      <c r="K101" s="3"/>
      <c r="L101" s="3"/>
      <c r="M101" s="2" t="s">
        <v>47</v>
      </c>
      <c r="N101" s="3"/>
      <c r="O101" s="3"/>
      <c r="P101" s="3"/>
      <c r="Q101" s="3"/>
      <c r="R101" s="3"/>
      <c r="S101" s="3"/>
      <c r="T101" s="3"/>
      <c r="U101" s="3"/>
      <c r="V101" s="2" t="s">
        <v>675</v>
      </c>
      <c r="W101" s="2" t="s">
        <v>676</v>
      </c>
      <c r="X101" s="2" t="s">
        <v>677</v>
      </c>
      <c r="Y101" s="3"/>
      <c r="Z101" s="3"/>
      <c r="AA101" s="3"/>
      <c r="AB101" s="3"/>
      <c r="AC101" s="3"/>
      <c r="AD101" s="3"/>
      <c r="AE101" s="2" t="s">
        <v>678</v>
      </c>
      <c r="AF101" s="2" t="s">
        <v>252</v>
      </c>
      <c r="AG101" s="2" t="s">
        <v>361</v>
      </c>
      <c r="AH101" s="2" t="s">
        <v>679</v>
      </c>
      <c r="AI101" s="2" t="s">
        <v>255</v>
      </c>
      <c r="AJ101" s="2" t="s">
        <v>277</v>
      </c>
      <c r="AK101" s="2" t="s">
        <v>335</v>
      </c>
      <c r="AL101" s="2" t="s">
        <v>152</v>
      </c>
      <c r="AM101" s="2" t="s">
        <v>286</v>
      </c>
      <c r="AN101" s="3"/>
      <c r="AO101" s="2" t="s">
        <v>680</v>
      </c>
    </row>
    <row r="102" spans="1:41" ht="22.5" customHeight="1" x14ac:dyDescent="0.2">
      <c r="A102" s="1">
        <v>45977.919850150458</v>
      </c>
      <c r="B102" s="2" t="s">
        <v>681</v>
      </c>
      <c r="C102" s="2">
        <v>45</v>
      </c>
      <c r="D102" s="2" t="s">
        <v>73</v>
      </c>
      <c r="E102" s="2" t="s">
        <v>58</v>
      </c>
      <c r="F102" s="2" t="s">
        <v>339</v>
      </c>
      <c r="G102" s="2" t="s">
        <v>45</v>
      </c>
      <c r="H102" s="2">
        <v>4</v>
      </c>
      <c r="I102" s="2">
        <v>1</v>
      </c>
      <c r="J102" s="2" t="s">
        <v>46</v>
      </c>
      <c r="K102" s="2" t="s">
        <v>47</v>
      </c>
      <c r="L102" s="3"/>
      <c r="M102" s="3"/>
      <c r="N102" s="3"/>
      <c r="O102" s="3"/>
      <c r="P102" s="2" t="s">
        <v>641</v>
      </c>
      <c r="Q102" s="2" t="s">
        <v>101</v>
      </c>
      <c r="R102" s="2" t="s">
        <v>662</v>
      </c>
      <c r="S102" s="3"/>
      <c r="T102" s="3"/>
      <c r="U102" s="3"/>
      <c r="V102" s="3"/>
      <c r="W102" s="3"/>
      <c r="X102" s="3"/>
      <c r="Y102" s="3"/>
      <c r="Z102" s="3"/>
      <c r="AA102" s="3"/>
      <c r="AB102" s="3"/>
      <c r="AC102" s="3"/>
      <c r="AD102" s="3"/>
      <c r="AE102" s="2" t="s">
        <v>682</v>
      </c>
      <c r="AF102" s="2" t="s">
        <v>252</v>
      </c>
      <c r="AG102" s="2" t="s">
        <v>253</v>
      </c>
      <c r="AH102" s="2" t="s">
        <v>119</v>
      </c>
      <c r="AI102" s="2" t="s">
        <v>683</v>
      </c>
      <c r="AJ102" s="2" t="s">
        <v>277</v>
      </c>
      <c r="AK102" s="2" t="s">
        <v>256</v>
      </c>
      <c r="AL102" s="2" t="s">
        <v>68</v>
      </c>
      <c r="AM102" s="3"/>
      <c r="AN102" s="2" t="s">
        <v>684</v>
      </c>
      <c r="AO102" s="2" t="s">
        <v>685</v>
      </c>
    </row>
    <row r="103" spans="1:41" ht="22.5" customHeight="1" x14ac:dyDescent="0.2">
      <c r="A103" s="1">
        <v>45977.923342546295</v>
      </c>
      <c r="B103" s="2" t="s">
        <v>686</v>
      </c>
      <c r="C103" s="2">
        <v>23</v>
      </c>
      <c r="D103" s="2" t="s">
        <v>73</v>
      </c>
      <c r="E103" s="2" t="s">
        <v>58</v>
      </c>
      <c r="F103" s="2" t="s">
        <v>74</v>
      </c>
      <c r="G103" s="2" t="s">
        <v>45</v>
      </c>
      <c r="H103" s="2">
        <v>4</v>
      </c>
      <c r="I103" s="2">
        <v>2</v>
      </c>
      <c r="J103" s="2" t="s">
        <v>246</v>
      </c>
      <c r="K103" s="2" t="s">
        <v>47</v>
      </c>
      <c r="L103" s="3"/>
      <c r="M103" s="2" t="s">
        <v>47</v>
      </c>
      <c r="N103" s="3"/>
      <c r="O103" s="3"/>
      <c r="P103" s="2" t="s">
        <v>192</v>
      </c>
      <c r="Q103" s="2" t="s">
        <v>470</v>
      </c>
      <c r="R103" s="2" t="s">
        <v>111</v>
      </c>
      <c r="S103" s="3"/>
      <c r="T103" s="3"/>
      <c r="U103" s="3"/>
      <c r="V103" s="2" t="s">
        <v>178</v>
      </c>
      <c r="W103" s="2" t="s">
        <v>248</v>
      </c>
      <c r="X103" s="2" t="s">
        <v>687</v>
      </c>
      <c r="Y103" s="3"/>
      <c r="Z103" s="3"/>
      <c r="AA103" s="3"/>
      <c r="AB103" s="3"/>
      <c r="AC103" s="3"/>
      <c r="AD103" s="3"/>
      <c r="AE103" s="2" t="s">
        <v>688</v>
      </c>
      <c r="AF103" s="2" t="s">
        <v>252</v>
      </c>
      <c r="AG103" s="2" t="s">
        <v>253</v>
      </c>
      <c r="AH103" s="2" t="s">
        <v>451</v>
      </c>
      <c r="AI103" s="2" t="s">
        <v>255</v>
      </c>
      <c r="AJ103" s="2" t="s">
        <v>85</v>
      </c>
      <c r="AK103" s="2" t="s">
        <v>335</v>
      </c>
      <c r="AL103" s="2" t="s">
        <v>257</v>
      </c>
      <c r="AM103" s="2" t="s">
        <v>689</v>
      </c>
      <c r="AN103" s="3"/>
      <c r="AO103" s="2" t="s">
        <v>690</v>
      </c>
    </row>
    <row r="104" spans="1:41" ht="22.5" customHeight="1" x14ac:dyDescent="0.2">
      <c r="A104" s="1">
        <v>45977.924528043979</v>
      </c>
      <c r="B104" s="2" t="s">
        <v>691</v>
      </c>
      <c r="C104" s="2">
        <v>21</v>
      </c>
      <c r="D104" s="2" t="s">
        <v>42</v>
      </c>
      <c r="E104" s="2" t="s">
        <v>43</v>
      </c>
      <c r="F104" s="2" t="s">
        <v>562</v>
      </c>
      <c r="G104" s="2" t="s">
        <v>182</v>
      </c>
      <c r="H104" s="2">
        <v>5</v>
      </c>
      <c r="I104" s="2">
        <v>1</v>
      </c>
      <c r="J104" s="2" t="s">
        <v>100</v>
      </c>
      <c r="K104" s="3"/>
      <c r="L104" s="2" t="s">
        <v>47</v>
      </c>
      <c r="M104" s="3"/>
      <c r="N104" s="3"/>
      <c r="O104" s="3"/>
      <c r="P104" s="3"/>
      <c r="Q104" s="3"/>
      <c r="R104" s="3"/>
      <c r="S104" s="2" t="s">
        <v>262</v>
      </c>
      <c r="T104" s="2" t="s">
        <v>692</v>
      </c>
      <c r="U104" s="2" t="s">
        <v>693</v>
      </c>
      <c r="V104" s="3"/>
      <c r="W104" s="3"/>
      <c r="X104" s="3"/>
      <c r="Y104" s="3"/>
      <c r="Z104" s="3"/>
      <c r="AA104" s="3"/>
      <c r="AB104" s="3"/>
      <c r="AC104" s="3"/>
      <c r="AD104" s="3"/>
      <c r="AE104" s="2" t="s">
        <v>694</v>
      </c>
      <c r="AF104" s="2" t="s">
        <v>323</v>
      </c>
      <c r="AG104" s="2" t="s">
        <v>284</v>
      </c>
      <c r="AH104" s="2" t="s">
        <v>239</v>
      </c>
      <c r="AI104" s="2" t="s">
        <v>285</v>
      </c>
      <c r="AJ104" s="2" t="s">
        <v>96</v>
      </c>
      <c r="AK104" s="2" t="s">
        <v>256</v>
      </c>
      <c r="AL104" s="2" t="s">
        <v>152</v>
      </c>
      <c r="AM104" s="2" t="s">
        <v>258</v>
      </c>
      <c r="AN104" s="3"/>
      <c r="AO104" s="2" t="s">
        <v>695</v>
      </c>
    </row>
    <row r="105" spans="1:41" ht="22.5" customHeight="1" x14ac:dyDescent="0.2">
      <c r="A105" s="1">
        <v>45977.926179120375</v>
      </c>
      <c r="B105" s="2" t="s">
        <v>696</v>
      </c>
      <c r="C105" s="2">
        <v>34</v>
      </c>
      <c r="D105" s="2" t="s">
        <v>73</v>
      </c>
      <c r="E105" s="2" t="s">
        <v>43</v>
      </c>
      <c r="F105" s="2" t="s">
        <v>44</v>
      </c>
      <c r="G105" s="2" t="s">
        <v>89</v>
      </c>
      <c r="H105" s="2">
        <v>6</v>
      </c>
      <c r="I105" s="2">
        <v>2</v>
      </c>
      <c r="J105" s="2" t="s">
        <v>290</v>
      </c>
      <c r="K105" s="2" t="s">
        <v>47</v>
      </c>
      <c r="L105" s="3"/>
      <c r="M105" s="3"/>
      <c r="N105" s="2" t="s">
        <v>291</v>
      </c>
      <c r="O105" s="3"/>
      <c r="P105" s="2" t="s">
        <v>514</v>
      </c>
      <c r="Q105" s="2" t="s">
        <v>254</v>
      </c>
      <c r="R105" s="2" t="s">
        <v>697</v>
      </c>
      <c r="S105" s="3"/>
      <c r="T105" s="3"/>
      <c r="U105" s="3"/>
      <c r="V105" s="3"/>
      <c r="W105" s="3"/>
      <c r="X105" s="3"/>
      <c r="Y105" s="2" t="s">
        <v>698</v>
      </c>
      <c r="Z105" s="2" t="s">
        <v>273</v>
      </c>
      <c r="AA105" s="2" t="s">
        <v>699</v>
      </c>
      <c r="AB105" s="3"/>
      <c r="AC105" s="3"/>
      <c r="AD105" s="3"/>
      <c r="AE105" s="2" t="s">
        <v>700</v>
      </c>
      <c r="AF105" s="2" t="s">
        <v>159</v>
      </c>
      <c r="AG105" s="2" t="s">
        <v>361</v>
      </c>
      <c r="AH105" s="2" t="s">
        <v>234</v>
      </c>
      <c r="AI105" s="2" t="s">
        <v>296</v>
      </c>
      <c r="AJ105" s="2" t="s">
        <v>85</v>
      </c>
      <c r="AK105" s="2" t="s">
        <v>335</v>
      </c>
      <c r="AL105" s="2" t="s">
        <v>68</v>
      </c>
      <c r="AM105" s="3"/>
      <c r="AN105" s="2" t="s">
        <v>259</v>
      </c>
      <c r="AO105" s="2" t="s">
        <v>701</v>
      </c>
    </row>
    <row r="106" spans="1:41" ht="22.5" customHeight="1" x14ac:dyDescent="0.2">
      <c r="A106" s="1">
        <v>45977.927662638889</v>
      </c>
      <c r="B106" s="2" t="s">
        <v>702</v>
      </c>
      <c r="C106" s="2">
        <v>25</v>
      </c>
      <c r="D106" s="2" t="s">
        <v>42</v>
      </c>
      <c r="E106" s="2" t="s">
        <v>58</v>
      </c>
      <c r="F106" s="2" t="s">
        <v>138</v>
      </c>
      <c r="G106" s="2" t="s">
        <v>60</v>
      </c>
      <c r="H106" s="2">
        <v>3</v>
      </c>
      <c r="I106" s="2">
        <v>2</v>
      </c>
      <c r="J106" s="2" t="s">
        <v>269</v>
      </c>
      <c r="K106" s="3"/>
      <c r="L106" s="2" t="s">
        <v>47</v>
      </c>
      <c r="M106" s="2" t="s">
        <v>47</v>
      </c>
      <c r="N106" s="3"/>
      <c r="O106" s="3"/>
      <c r="P106" s="3"/>
      <c r="Q106" s="3"/>
      <c r="R106" s="3"/>
      <c r="S106" s="2" t="s">
        <v>270</v>
      </c>
      <c r="T106" s="2" t="s">
        <v>367</v>
      </c>
      <c r="U106" s="2" t="s">
        <v>703</v>
      </c>
      <c r="V106" s="2" t="s">
        <v>704</v>
      </c>
      <c r="W106" s="2" t="s">
        <v>705</v>
      </c>
      <c r="X106" s="2" t="s">
        <v>706</v>
      </c>
      <c r="Y106" s="3"/>
      <c r="Z106" s="3"/>
      <c r="AA106" s="3"/>
      <c r="AB106" s="3"/>
      <c r="AC106" s="3"/>
      <c r="AD106" s="3"/>
      <c r="AE106" s="2" t="s">
        <v>707</v>
      </c>
      <c r="AF106" s="2" t="s">
        <v>252</v>
      </c>
      <c r="AG106" s="2" t="s">
        <v>317</v>
      </c>
      <c r="AH106" s="2" t="s">
        <v>708</v>
      </c>
      <c r="AI106" s="2" t="s">
        <v>255</v>
      </c>
      <c r="AJ106" s="2" t="s">
        <v>85</v>
      </c>
      <c r="AK106" s="2" t="s">
        <v>449</v>
      </c>
      <c r="AL106" s="2" t="s">
        <v>257</v>
      </c>
      <c r="AM106" s="2" t="s">
        <v>286</v>
      </c>
      <c r="AN106" s="3"/>
      <c r="AO106" s="2" t="s">
        <v>709</v>
      </c>
    </row>
    <row r="107" spans="1:41" ht="22.5" customHeight="1" x14ac:dyDescent="0.2">
      <c r="A107" s="1">
        <v>45977.929844918981</v>
      </c>
      <c r="B107" s="2" t="s">
        <v>710</v>
      </c>
      <c r="C107" s="2">
        <v>29</v>
      </c>
      <c r="D107" s="2" t="s">
        <v>73</v>
      </c>
      <c r="E107" s="3"/>
      <c r="F107" s="2" t="s">
        <v>172</v>
      </c>
      <c r="G107" s="2" t="s">
        <v>155</v>
      </c>
      <c r="H107" s="2">
        <v>4</v>
      </c>
      <c r="I107" s="2">
        <v>3</v>
      </c>
      <c r="J107" s="3"/>
      <c r="K107" s="2" t="s">
        <v>47</v>
      </c>
      <c r="L107" s="3"/>
      <c r="M107" s="2" t="s">
        <v>47</v>
      </c>
      <c r="N107" s="2" t="s">
        <v>291</v>
      </c>
      <c r="O107" s="3"/>
      <c r="P107" s="2" t="s">
        <v>516</v>
      </c>
      <c r="Q107" s="2" t="s">
        <v>146</v>
      </c>
      <c r="R107" s="2" t="s">
        <v>311</v>
      </c>
      <c r="S107" s="3"/>
      <c r="T107" s="3"/>
      <c r="U107" s="3"/>
      <c r="V107" s="2" t="s">
        <v>300</v>
      </c>
      <c r="W107" s="2" t="s">
        <v>177</v>
      </c>
      <c r="X107" s="2" t="s">
        <v>711</v>
      </c>
      <c r="Y107" s="2" t="s">
        <v>270</v>
      </c>
      <c r="Z107" s="2" t="s">
        <v>140</v>
      </c>
      <c r="AA107" s="2" t="s">
        <v>712</v>
      </c>
      <c r="AB107" s="3"/>
      <c r="AC107" s="3"/>
      <c r="AD107" s="3"/>
      <c r="AE107" s="2" t="s">
        <v>713</v>
      </c>
      <c r="AF107" s="2" t="s">
        <v>276</v>
      </c>
      <c r="AG107" s="2" t="s">
        <v>253</v>
      </c>
      <c r="AH107" s="2" t="s">
        <v>142</v>
      </c>
      <c r="AI107" s="2" t="s">
        <v>559</v>
      </c>
      <c r="AJ107" s="2" t="s">
        <v>362</v>
      </c>
      <c r="AK107" s="3"/>
      <c r="AL107" s="2" t="s">
        <v>68</v>
      </c>
      <c r="AM107" s="3"/>
      <c r="AN107" s="2" t="s">
        <v>460</v>
      </c>
      <c r="AO107" s="2" t="s">
        <v>714</v>
      </c>
    </row>
    <row r="108" spans="1:41" ht="22.5" customHeight="1" x14ac:dyDescent="0.2">
      <c r="A108" s="1">
        <v>45977.93711835648</v>
      </c>
      <c r="B108" s="2" t="s">
        <v>715</v>
      </c>
      <c r="C108" s="2">
        <v>22</v>
      </c>
      <c r="D108" s="2" t="s">
        <v>42</v>
      </c>
      <c r="E108" s="2" t="s">
        <v>43</v>
      </c>
      <c r="F108" s="2" t="s">
        <v>144</v>
      </c>
      <c r="G108" s="2" t="s">
        <v>89</v>
      </c>
      <c r="H108" s="2">
        <v>5</v>
      </c>
      <c r="I108" s="2">
        <v>1</v>
      </c>
      <c r="J108" s="2" t="s">
        <v>46</v>
      </c>
      <c r="K108" s="2" t="s">
        <v>47</v>
      </c>
      <c r="L108" s="3"/>
      <c r="M108" s="3"/>
      <c r="N108" s="3"/>
      <c r="O108" s="3"/>
      <c r="P108" s="2" t="s">
        <v>472</v>
      </c>
      <c r="Q108" s="2" t="s">
        <v>234</v>
      </c>
      <c r="R108" s="2" t="s">
        <v>652</v>
      </c>
      <c r="S108" s="3"/>
      <c r="T108" s="3"/>
      <c r="U108" s="3"/>
      <c r="V108" s="3"/>
      <c r="W108" s="3"/>
      <c r="X108" s="3"/>
      <c r="Y108" s="3"/>
      <c r="Z108" s="3"/>
      <c r="AA108" s="3"/>
      <c r="AB108" s="3"/>
      <c r="AC108" s="3"/>
      <c r="AD108" s="3"/>
      <c r="AE108" s="2" t="s">
        <v>550</v>
      </c>
      <c r="AF108" s="2" t="s">
        <v>252</v>
      </c>
      <c r="AG108" s="2" t="s">
        <v>295</v>
      </c>
      <c r="AH108" s="2" t="s">
        <v>324</v>
      </c>
      <c r="AI108" s="2" t="s">
        <v>344</v>
      </c>
      <c r="AJ108" s="2" t="s">
        <v>277</v>
      </c>
      <c r="AK108" s="2" t="s">
        <v>335</v>
      </c>
      <c r="AL108" s="2" t="s">
        <v>257</v>
      </c>
      <c r="AM108" s="2" t="s">
        <v>278</v>
      </c>
      <c r="AN108" s="3"/>
      <c r="AO108" s="2" t="s">
        <v>716</v>
      </c>
    </row>
    <row r="109" spans="1:41" ht="22.5" customHeight="1" x14ac:dyDescent="0.2">
      <c r="A109" s="1">
        <v>45977.938455763884</v>
      </c>
      <c r="B109" s="2" t="s">
        <v>717</v>
      </c>
      <c r="C109" s="2">
        <v>20</v>
      </c>
      <c r="D109" s="2" t="s">
        <v>73</v>
      </c>
      <c r="E109" s="2" t="s">
        <v>58</v>
      </c>
      <c r="F109" s="2" t="s">
        <v>562</v>
      </c>
      <c r="G109" s="2" t="s">
        <v>182</v>
      </c>
      <c r="H109" s="2">
        <v>3</v>
      </c>
      <c r="I109" s="2">
        <v>1</v>
      </c>
      <c r="J109" s="2" t="s">
        <v>46</v>
      </c>
      <c r="K109" s="2" t="s">
        <v>47</v>
      </c>
      <c r="L109" s="3"/>
      <c r="M109" s="3"/>
      <c r="N109" s="3"/>
      <c r="O109" s="3"/>
      <c r="P109" s="2" t="s">
        <v>129</v>
      </c>
      <c r="Q109" s="2" t="s">
        <v>412</v>
      </c>
      <c r="R109" s="2" t="s">
        <v>718</v>
      </c>
      <c r="S109" s="3"/>
      <c r="T109" s="3"/>
      <c r="U109" s="3"/>
      <c r="V109" s="3"/>
      <c r="W109" s="3"/>
      <c r="X109" s="3"/>
      <c r="Y109" s="3"/>
      <c r="Z109" s="3"/>
      <c r="AA109" s="3"/>
      <c r="AB109" s="3"/>
      <c r="AC109" s="3"/>
      <c r="AD109" s="3"/>
      <c r="AE109" s="2" t="s">
        <v>682</v>
      </c>
      <c r="AF109" s="2" t="s">
        <v>323</v>
      </c>
      <c r="AG109" s="2" t="s">
        <v>284</v>
      </c>
      <c r="AH109" s="2" t="s">
        <v>719</v>
      </c>
      <c r="AI109" s="2" t="s">
        <v>285</v>
      </c>
      <c r="AJ109" s="2" t="s">
        <v>96</v>
      </c>
      <c r="AK109" s="2" t="s">
        <v>325</v>
      </c>
      <c r="AL109" s="2" t="s">
        <v>152</v>
      </c>
      <c r="AM109" s="2" t="s">
        <v>720</v>
      </c>
      <c r="AN109" s="3"/>
      <c r="AO109" s="2" t="s">
        <v>721</v>
      </c>
    </row>
    <row r="110" spans="1:41" ht="22.5" customHeight="1" x14ac:dyDescent="0.2">
      <c r="A110" s="1">
        <v>45977.93953668981</v>
      </c>
      <c r="B110" s="2" t="s">
        <v>722</v>
      </c>
      <c r="C110" s="2">
        <v>32</v>
      </c>
      <c r="D110" s="2" t="s">
        <v>73</v>
      </c>
      <c r="E110" s="2" t="s">
        <v>43</v>
      </c>
      <c r="F110" s="2" t="s">
        <v>339</v>
      </c>
      <c r="G110" s="2" t="s">
        <v>182</v>
      </c>
      <c r="H110" s="2">
        <v>4</v>
      </c>
      <c r="I110" s="2">
        <v>1</v>
      </c>
      <c r="J110" s="2" t="s">
        <v>100</v>
      </c>
      <c r="K110" s="3"/>
      <c r="L110" s="2" t="s">
        <v>47</v>
      </c>
      <c r="M110" s="3"/>
      <c r="N110" s="3"/>
      <c r="O110" s="3"/>
      <c r="P110" s="3"/>
      <c r="Q110" s="3"/>
      <c r="R110" s="3"/>
      <c r="S110" s="2" t="s">
        <v>537</v>
      </c>
      <c r="T110" s="2" t="s">
        <v>254</v>
      </c>
      <c r="U110" s="2" t="s">
        <v>723</v>
      </c>
      <c r="V110" s="3"/>
      <c r="W110" s="3"/>
      <c r="X110" s="3"/>
      <c r="Y110" s="3"/>
      <c r="Z110" s="3"/>
      <c r="AA110" s="3"/>
      <c r="AB110" s="3"/>
      <c r="AC110" s="3"/>
      <c r="AD110" s="3"/>
      <c r="AE110" s="2" t="s">
        <v>656</v>
      </c>
      <c r="AF110" s="2" t="s">
        <v>159</v>
      </c>
      <c r="AG110" s="2" t="s">
        <v>284</v>
      </c>
      <c r="AH110" s="2" t="s">
        <v>367</v>
      </c>
      <c r="AI110" s="2" t="s">
        <v>724</v>
      </c>
      <c r="AJ110" s="2" t="s">
        <v>96</v>
      </c>
      <c r="AK110" s="2" t="s">
        <v>256</v>
      </c>
      <c r="AL110" s="2" t="s">
        <v>68</v>
      </c>
      <c r="AM110" s="3"/>
      <c r="AN110" s="2" t="s">
        <v>460</v>
      </c>
      <c r="AO110" s="2" t="s">
        <v>725</v>
      </c>
    </row>
    <row r="111" spans="1:41" ht="22.5" customHeight="1" x14ac:dyDescent="0.2">
      <c r="A111" s="1">
        <v>45977.941479791669</v>
      </c>
      <c r="B111" s="2" t="s">
        <v>726</v>
      </c>
      <c r="C111" s="2">
        <v>37</v>
      </c>
      <c r="D111" s="2" t="s">
        <v>73</v>
      </c>
      <c r="E111" s="2" t="s">
        <v>58</v>
      </c>
      <c r="F111" s="2" t="s">
        <v>74</v>
      </c>
      <c r="G111" s="2" t="s">
        <v>60</v>
      </c>
      <c r="H111" s="2">
        <v>3</v>
      </c>
      <c r="I111" s="2">
        <v>2</v>
      </c>
      <c r="J111" s="2" t="s">
        <v>352</v>
      </c>
      <c r="K111" s="3"/>
      <c r="L111" s="3"/>
      <c r="M111" s="2" t="s">
        <v>47</v>
      </c>
      <c r="N111" s="3"/>
      <c r="O111" s="2" t="s">
        <v>353</v>
      </c>
      <c r="P111" s="3"/>
      <c r="Q111" s="3"/>
      <c r="R111" s="3"/>
      <c r="S111" s="3"/>
      <c r="T111" s="3"/>
      <c r="U111" s="3"/>
      <c r="V111" s="2" t="s">
        <v>262</v>
      </c>
      <c r="W111" s="2" t="s">
        <v>727</v>
      </c>
      <c r="X111" s="2" t="s">
        <v>728</v>
      </c>
      <c r="Y111" s="3"/>
      <c r="Z111" s="3"/>
      <c r="AA111" s="3"/>
      <c r="AB111" s="2" t="s">
        <v>440</v>
      </c>
      <c r="AC111" s="2" t="s">
        <v>150</v>
      </c>
      <c r="AD111" s="2" t="s">
        <v>196</v>
      </c>
      <c r="AE111" s="2" t="s">
        <v>574</v>
      </c>
      <c r="AF111" s="2" t="s">
        <v>252</v>
      </c>
      <c r="AG111" s="2" t="s">
        <v>361</v>
      </c>
      <c r="AH111" s="2" t="s">
        <v>692</v>
      </c>
      <c r="AI111" s="2" t="s">
        <v>255</v>
      </c>
      <c r="AJ111" s="2" t="s">
        <v>85</v>
      </c>
      <c r="AK111" s="2" t="s">
        <v>307</v>
      </c>
      <c r="AL111" s="2" t="s">
        <v>152</v>
      </c>
      <c r="AM111" s="2" t="s">
        <v>729</v>
      </c>
      <c r="AN111" s="3"/>
      <c r="AO111" s="2" t="s">
        <v>730</v>
      </c>
    </row>
    <row r="112" spans="1:41" ht="22.5" customHeight="1" x14ac:dyDescent="0.2">
      <c r="A112" s="1">
        <v>45977.942639421293</v>
      </c>
      <c r="B112" s="2" t="s">
        <v>731</v>
      </c>
      <c r="C112" s="2">
        <v>19</v>
      </c>
      <c r="D112" s="2" t="s">
        <v>42</v>
      </c>
      <c r="E112" s="2" t="s">
        <v>58</v>
      </c>
      <c r="F112" s="2" t="s">
        <v>562</v>
      </c>
      <c r="G112" s="2" t="s">
        <v>89</v>
      </c>
      <c r="H112" s="2">
        <v>6</v>
      </c>
      <c r="I112" s="2">
        <v>1</v>
      </c>
      <c r="J112" s="2" t="s">
        <v>100</v>
      </c>
      <c r="K112" s="3"/>
      <c r="L112" s="2" t="s">
        <v>47</v>
      </c>
      <c r="M112" s="3"/>
      <c r="N112" s="3"/>
      <c r="O112" s="3"/>
      <c r="P112" s="3"/>
      <c r="Q112" s="3"/>
      <c r="R112" s="3"/>
      <c r="S112" s="2" t="s">
        <v>270</v>
      </c>
      <c r="T112" s="2" t="s">
        <v>732</v>
      </c>
      <c r="U112" s="2" t="s">
        <v>733</v>
      </c>
      <c r="V112" s="3"/>
      <c r="W112" s="3"/>
      <c r="X112" s="3"/>
      <c r="Y112" s="3"/>
      <c r="Z112" s="3"/>
      <c r="AA112" s="3"/>
      <c r="AB112" s="3"/>
      <c r="AC112" s="3"/>
      <c r="AD112" s="3"/>
      <c r="AE112" s="2" t="s">
        <v>522</v>
      </c>
      <c r="AF112" s="2" t="s">
        <v>252</v>
      </c>
      <c r="AG112" s="2" t="s">
        <v>295</v>
      </c>
      <c r="AH112" s="2" t="s">
        <v>523</v>
      </c>
      <c r="AI112" s="2" t="s">
        <v>285</v>
      </c>
      <c r="AJ112" s="2" t="s">
        <v>54</v>
      </c>
      <c r="AK112" s="2" t="s">
        <v>256</v>
      </c>
      <c r="AL112" s="2" t="s">
        <v>152</v>
      </c>
      <c r="AM112" s="2" t="s">
        <v>286</v>
      </c>
      <c r="AN112" s="3"/>
      <c r="AO112" s="2" t="s">
        <v>734</v>
      </c>
    </row>
    <row r="113" spans="1:41" ht="22.5" customHeight="1" x14ac:dyDescent="0.2">
      <c r="A113" s="1">
        <v>45977.944098449079</v>
      </c>
      <c r="B113" s="2" t="s">
        <v>735</v>
      </c>
      <c r="C113" s="2" t="s">
        <v>736</v>
      </c>
      <c r="D113" s="2" t="s">
        <v>73</v>
      </c>
      <c r="E113" s="2" t="s">
        <v>43</v>
      </c>
      <c r="F113" s="2" t="s">
        <v>44</v>
      </c>
      <c r="G113" s="2" t="s">
        <v>45</v>
      </c>
      <c r="H113" s="2">
        <v>6</v>
      </c>
      <c r="I113" s="2">
        <v>2</v>
      </c>
      <c r="J113" s="2" t="s">
        <v>290</v>
      </c>
      <c r="K113" s="2" t="s">
        <v>47</v>
      </c>
      <c r="L113" s="3"/>
      <c r="M113" s="3"/>
      <c r="N113" s="2" t="s">
        <v>291</v>
      </c>
      <c r="O113" s="3"/>
      <c r="P113" s="2" t="s">
        <v>262</v>
      </c>
      <c r="Q113" s="2" t="s">
        <v>146</v>
      </c>
      <c r="R113" s="2" t="s">
        <v>737</v>
      </c>
      <c r="S113" s="3"/>
      <c r="T113" s="3"/>
      <c r="U113" s="3"/>
      <c r="V113" s="3"/>
      <c r="W113" s="3"/>
      <c r="X113" s="3"/>
      <c r="Y113" s="2" t="s">
        <v>738</v>
      </c>
      <c r="Z113" s="2" t="s">
        <v>739</v>
      </c>
      <c r="AA113" s="2" t="s">
        <v>740</v>
      </c>
      <c r="AB113" s="3"/>
      <c r="AC113" s="3"/>
      <c r="AD113" s="3"/>
      <c r="AE113" s="2" t="s">
        <v>541</v>
      </c>
      <c r="AF113" s="2" t="s">
        <v>159</v>
      </c>
      <c r="AG113" s="2" t="s">
        <v>253</v>
      </c>
      <c r="AH113" s="2" t="s">
        <v>324</v>
      </c>
      <c r="AI113" s="2" t="s">
        <v>296</v>
      </c>
      <c r="AJ113" s="2" t="s">
        <v>85</v>
      </c>
      <c r="AK113" s="2" t="s">
        <v>449</v>
      </c>
      <c r="AL113" s="2" t="s">
        <v>68</v>
      </c>
      <c r="AM113" s="3"/>
      <c r="AN113" s="2" t="s">
        <v>259</v>
      </c>
      <c r="AO113" s="2" t="s">
        <v>741</v>
      </c>
    </row>
    <row r="114" spans="1:41" ht="22.5" customHeight="1" x14ac:dyDescent="0.2">
      <c r="A114" s="1">
        <v>45978.351810567125</v>
      </c>
      <c r="B114" s="2" t="s">
        <v>742</v>
      </c>
      <c r="C114" s="2">
        <v>18</v>
      </c>
      <c r="D114" s="2" t="s">
        <v>42</v>
      </c>
      <c r="E114" s="2" t="s">
        <v>43</v>
      </c>
      <c r="F114" s="2" t="s">
        <v>562</v>
      </c>
      <c r="G114" s="2" t="s">
        <v>60</v>
      </c>
      <c r="H114" s="2">
        <v>6</v>
      </c>
      <c r="I114" s="2">
        <v>2</v>
      </c>
      <c r="J114" s="2" t="s">
        <v>46</v>
      </c>
      <c r="K114" s="2" t="s">
        <v>47</v>
      </c>
      <c r="L114" s="3"/>
      <c r="M114" s="3"/>
      <c r="N114" s="3"/>
      <c r="O114" s="3"/>
      <c r="P114" s="2">
        <v>6</v>
      </c>
      <c r="Q114" s="2" t="s">
        <v>142</v>
      </c>
      <c r="R114" s="2">
        <v>2000</v>
      </c>
      <c r="S114" s="3"/>
      <c r="T114" s="3"/>
      <c r="U114" s="3"/>
      <c r="V114" s="3"/>
      <c r="W114" s="3"/>
      <c r="X114" s="3"/>
      <c r="Y114" s="3"/>
      <c r="Z114" s="3"/>
      <c r="AA114" s="3"/>
      <c r="AB114" s="3"/>
      <c r="AC114" s="3"/>
      <c r="AD114" s="3"/>
      <c r="AE114" s="3"/>
      <c r="AF114" s="2" t="s">
        <v>252</v>
      </c>
      <c r="AG114" s="2" t="s">
        <v>253</v>
      </c>
      <c r="AH114" s="2">
        <v>10</v>
      </c>
      <c r="AI114" s="2" t="s">
        <v>255</v>
      </c>
      <c r="AJ114" s="2" t="s">
        <v>96</v>
      </c>
      <c r="AK114" s="2" t="s">
        <v>256</v>
      </c>
      <c r="AL114" s="2" t="s">
        <v>152</v>
      </c>
      <c r="AM114" s="2" t="s">
        <v>729</v>
      </c>
      <c r="AN114" s="3"/>
      <c r="AO114" s="3"/>
    </row>
    <row r="115" spans="1:41" ht="22.5" customHeight="1" x14ac:dyDescent="0.2">
      <c r="A115" s="1">
        <v>45978.41016162037</v>
      </c>
      <c r="B115" s="2" t="s">
        <v>743</v>
      </c>
      <c r="C115" s="2">
        <v>36</v>
      </c>
      <c r="D115" s="2" t="s">
        <v>73</v>
      </c>
      <c r="E115" s="2" t="s">
        <v>43</v>
      </c>
      <c r="F115" s="2" t="s">
        <v>172</v>
      </c>
      <c r="G115" s="2" t="s">
        <v>45</v>
      </c>
      <c r="H115" s="2">
        <v>5</v>
      </c>
      <c r="I115" s="2">
        <v>2</v>
      </c>
      <c r="J115" s="2" t="s">
        <v>246</v>
      </c>
      <c r="K115" s="2" t="s">
        <v>47</v>
      </c>
      <c r="L115" s="3"/>
      <c r="M115" s="2" t="s">
        <v>47</v>
      </c>
      <c r="N115" s="3"/>
      <c r="O115" s="3"/>
      <c r="P115" s="2" t="s">
        <v>698</v>
      </c>
      <c r="Q115" s="2" t="s">
        <v>254</v>
      </c>
      <c r="R115" s="2" t="s">
        <v>744</v>
      </c>
      <c r="S115" s="3"/>
      <c r="T115" s="3"/>
      <c r="U115" s="3"/>
      <c r="V115" s="2" t="s">
        <v>516</v>
      </c>
      <c r="W115" s="2" t="s">
        <v>231</v>
      </c>
      <c r="X115" s="2" t="s">
        <v>745</v>
      </c>
      <c r="Y115" s="3"/>
      <c r="Z115" s="3"/>
      <c r="AA115" s="3"/>
      <c r="AB115" s="3"/>
      <c r="AC115" s="3"/>
      <c r="AD115" s="3"/>
      <c r="AE115" s="2" t="s">
        <v>746</v>
      </c>
      <c r="AF115" s="2" t="s">
        <v>323</v>
      </c>
      <c r="AG115" s="2" t="s">
        <v>317</v>
      </c>
      <c r="AH115" s="2" t="s">
        <v>747</v>
      </c>
      <c r="AI115" s="2" t="s">
        <v>559</v>
      </c>
      <c r="AJ115" s="2" t="s">
        <v>362</v>
      </c>
      <c r="AK115" s="2" t="s">
        <v>307</v>
      </c>
      <c r="AL115" s="2" t="s">
        <v>257</v>
      </c>
      <c r="AM115" s="2" t="s">
        <v>278</v>
      </c>
      <c r="AN115" s="3"/>
      <c r="AO115" s="2" t="s">
        <v>748</v>
      </c>
    </row>
    <row r="116" spans="1:41" ht="22.5" customHeight="1" x14ac:dyDescent="0.2">
      <c r="A116" s="1">
        <v>45978.411588391202</v>
      </c>
      <c r="B116" s="2" t="s">
        <v>749</v>
      </c>
      <c r="C116" s="2">
        <v>28</v>
      </c>
      <c r="D116" s="2" t="s">
        <v>42</v>
      </c>
      <c r="E116" s="2" t="s">
        <v>58</v>
      </c>
      <c r="F116" s="2" t="s">
        <v>138</v>
      </c>
      <c r="G116" s="2" t="s">
        <v>60</v>
      </c>
      <c r="H116" s="2">
        <v>3</v>
      </c>
      <c r="I116" s="2">
        <v>1</v>
      </c>
      <c r="J116" s="2" t="s">
        <v>431</v>
      </c>
      <c r="K116" s="3"/>
      <c r="L116" s="3"/>
      <c r="M116" s="2" t="s">
        <v>47</v>
      </c>
      <c r="N116" s="3"/>
      <c r="O116" s="3"/>
      <c r="P116" s="3"/>
      <c r="Q116" s="3"/>
      <c r="R116" s="3"/>
      <c r="S116" s="3"/>
      <c r="T116" s="3"/>
      <c r="U116" s="3"/>
      <c r="V116" s="2" t="s">
        <v>270</v>
      </c>
      <c r="W116" s="2" t="s">
        <v>509</v>
      </c>
      <c r="X116" s="2" t="s">
        <v>750</v>
      </c>
      <c r="Y116" s="3"/>
      <c r="Z116" s="3"/>
      <c r="AA116" s="3"/>
      <c r="AB116" s="3"/>
      <c r="AC116" s="3"/>
      <c r="AD116" s="3"/>
      <c r="AE116" s="2" t="s">
        <v>751</v>
      </c>
      <c r="AF116" s="2" t="s">
        <v>252</v>
      </c>
      <c r="AG116" s="2" t="s">
        <v>361</v>
      </c>
      <c r="AH116" s="2" t="s">
        <v>501</v>
      </c>
      <c r="AI116" s="2" t="s">
        <v>255</v>
      </c>
      <c r="AJ116" s="2" t="s">
        <v>277</v>
      </c>
      <c r="AK116" s="2" t="s">
        <v>335</v>
      </c>
      <c r="AL116" s="2" t="s">
        <v>152</v>
      </c>
      <c r="AM116" s="2" t="s">
        <v>258</v>
      </c>
      <c r="AN116" s="3"/>
      <c r="AO116" s="2" t="s">
        <v>752</v>
      </c>
    </row>
    <row r="117" spans="1:41" ht="22.5" customHeight="1" x14ac:dyDescent="0.2">
      <c r="A117" s="1">
        <v>45978.412795335651</v>
      </c>
      <c r="B117" s="2" t="s">
        <v>753</v>
      </c>
      <c r="C117" s="2">
        <v>42</v>
      </c>
      <c r="D117" s="2" t="s">
        <v>73</v>
      </c>
      <c r="E117" s="2" t="s">
        <v>43</v>
      </c>
      <c r="F117" s="2" t="s">
        <v>44</v>
      </c>
      <c r="G117" s="2" t="s">
        <v>89</v>
      </c>
      <c r="H117" s="2">
        <v>6</v>
      </c>
      <c r="I117" s="2">
        <v>1</v>
      </c>
      <c r="J117" s="2" t="s">
        <v>46</v>
      </c>
      <c r="K117" s="2" t="s">
        <v>47</v>
      </c>
      <c r="L117" s="3"/>
      <c r="M117" s="3"/>
      <c r="N117" s="3"/>
      <c r="O117" s="3"/>
      <c r="P117" s="2" t="s">
        <v>754</v>
      </c>
      <c r="Q117" s="2" t="s">
        <v>592</v>
      </c>
      <c r="R117" s="2" t="s">
        <v>755</v>
      </c>
      <c r="S117" s="3"/>
      <c r="T117" s="3"/>
      <c r="U117" s="3"/>
      <c r="V117" s="3"/>
      <c r="W117" s="3"/>
      <c r="X117" s="3"/>
      <c r="Y117" s="3"/>
      <c r="Z117" s="3"/>
      <c r="AA117" s="3"/>
      <c r="AB117" s="3"/>
      <c r="AC117" s="3"/>
      <c r="AD117" s="3"/>
      <c r="AE117" s="2" t="s">
        <v>756</v>
      </c>
      <c r="AF117" s="2" t="s">
        <v>159</v>
      </c>
      <c r="AG117" s="2" t="s">
        <v>284</v>
      </c>
      <c r="AH117" s="2" t="s">
        <v>367</v>
      </c>
      <c r="AI117" s="2" t="s">
        <v>296</v>
      </c>
      <c r="AJ117" s="2" t="s">
        <v>85</v>
      </c>
      <c r="AK117" s="2" t="s">
        <v>467</v>
      </c>
      <c r="AL117" s="2" t="s">
        <v>68</v>
      </c>
      <c r="AM117" s="3"/>
      <c r="AN117" s="2" t="s">
        <v>259</v>
      </c>
      <c r="AO117" s="2" t="s">
        <v>757</v>
      </c>
    </row>
    <row r="118" spans="1:41" ht="22.5" customHeight="1" x14ac:dyDescent="0.2">
      <c r="A118" s="1">
        <v>45978.414060173614</v>
      </c>
      <c r="B118" s="2" t="s">
        <v>758</v>
      </c>
      <c r="C118" s="2">
        <v>24</v>
      </c>
      <c r="D118" s="2" t="s">
        <v>42</v>
      </c>
      <c r="E118" s="2" t="s">
        <v>58</v>
      </c>
      <c r="F118" s="2" t="s">
        <v>562</v>
      </c>
      <c r="G118" s="2" t="s">
        <v>182</v>
      </c>
      <c r="H118" s="2">
        <v>4</v>
      </c>
      <c r="I118" s="2">
        <v>1</v>
      </c>
      <c r="J118" s="2" t="s">
        <v>100</v>
      </c>
      <c r="K118" s="3"/>
      <c r="L118" s="2" t="s">
        <v>47</v>
      </c>
      <c r="M118" s="3"/>
      <c r="N118" s="3"/>
      <c r="O118" s="3"/>
      <c r="P118" s="3"/>
      <c r="Q118" s="3"/>
      <c r="R118" s="3"/>
      <c r="S118" s="2" t="s">
        <v>704</v>
      </c>
      <c r="T118" s="2" t="s">
        <v>234</v>
      </c>
      <c r="U118" s="2" t="s">
        <v>759</v>
      </c>
      <c r="V118" s="3"/>
      <c r="W118" s="3"/>
      <c r="X118" s="3"/>
      <c r="Y118" s="3"/>
      <c r="Z118" s="3"/>
      <c r="AA118" s="3"/>
      <c r="AB118" s="3"/>
      <c r="AC118" s="3"/>
      <c r="AD118" s="3"/>
      <c r="AE118" s="2" t="s">
        <v>532</v>
      </c>
      <c r="AF118" s="2" t="s">
        <v>276</v>
      </c>
      <c r="AG118" s="2" t="s">
        <v>253</v>
      </c>
      <c r="AH118" s="2" t="s">
        <v>523</v>
      </c>
      <c r="AI118" s="2" t="s">
        <v>285</v>
      </c>
      <c r="AJ118" s="2" t="s">
        <v>96</v>
      </c>
      <c r="AK118" s="2" t="s">
        <v>760</v>
      </c>
      <c r="AL118" s="2" t="s">
        <v>152</v>
      </c>
      <c r="AM118" s="2" t="s">
        <v>286</v>
      </c>
      <c r="AN118" s="3"/>
      <c r="AO118" s="2" t="s">
        <v>761</v>
      </c>
    </row>
    <row r="119" spans="1:41" ht="22.5" customHeight="1" x14ac:dyDescent="0.2">
      <c r="A119" s="1">
        <v>45978.415337013888</v>
      </c>
      <c r="B119" s="2" t="s">
        <v>762</v>
      </c>
      <c r="C119" s="2">
        <v>29</v>
      </c>
      <c r="D119" s="2" t="s">
        <v>73</v>
      </c>
      <c r="E119" s="2" t="s">
        <v>58</v>
      </c>
      <c r="F119" s="2" t="s">
        <v>74</v>
      </c>
      <c r="G119" s="2" t="s">
        <v>45</v>
      </c>
      <c r="H119" s="2">
        <v>3</v>
      </c>
      <c r="I119" s="2">
        <v>2</v>
      </c>
      <c r="J119" s="2" t="s">
        <v>246</v>
      </c>
      <c r="K119" s="2" t="s">
        <v>47</v>
      </c>
      <c r="L119" s="3"/>
      <c r="M119" s="2" t="s">
        <v>47</v>
      </c>
      <c r="N119" s="3"/>
      <c r="O119" s="3"/>
      <c r="P119" s="2" t="s">
        <v>516</v>
      </c>
      <c r="Q119" s="2" t="s">
        <v>692</v>
      </c>
      <c r="R119" s="2" t="s">
        <v>763</v>
      </c>
      <c r="S119" s="3"/>
      <c r="T119" s="3"/>
      <c r="U119" s="3"/>
      <c r="V119" s="2" t="s">
        <v>272</v>
      </c>
      <c r="W119" s="2" t="s">
        <v>302</v>
      </c>
      <c r="X119" s="2" t="s">
        <v>764</v>
      </c>
      <c r="Y119" s="3"/>
      <c r="Z119" s="3"/>
      <c r="AA119" s="3"/>
      <c r="AB119" s="3"/>
      <c r="AC119" s="3"/>
      <c r="AD119" s="3"/>
      <c r="AE119" s="2" t="s">
        <v>765</v>
      </c>
      <c r="AF119" s="2" t="s">
        <v>323</v>
      </c>
      <c r="AG119" s="2" t="s">
        <v>295</v>
      </c>
      <c r="AH119" s="2" t="s">
        <v>679</v>
      </c>
      <c r="AI119" s="2" t="s">
        <v>255</v>
      </c>
      <c r="AJ119" s="2" t="s">
        <v>85</v>
      </c>
      <c r="AK119" s="2" t="s">
        <v>335</v>
      </c>
      <c r="AL119" s="2" t="s">
        <v>257</v>
      </c>
      <c r="AM119" s="2" t="s">
        <v>363</v>
      </c>
      <c r="AN119" s="3"/>
      <c r="AO119" s="2" t="s">
        <v>766</v>
      </c>
    </row>
    <row r="120" spans="1:41" ht="22.5" customHeight="1" x14ac:dyDescent="0.2">
      <c r="A120" s="1">
        <v>45978.421101145832</v>
      </c>
      <c r="B120" s="2" t="s">
        <v>767</v>
      </c>
      <c r="C120" s="2">
        <v>32</v>
      </c>
      <c r="D120" s="2" t="s">
        <v>73</v>
      </c>
      <c r="E120" s="2" t="s">
        <v>43</v>
      </c>
      <c r="F120" s="2" t="s">
        <v>44</v>
      </c>
      <c r="G120" s="2" t="s">
        <v>89</v>
      </c>
      <c r="H120" s="2">
        <v>5</v>
      </c>
      <c r="I120" s="2">
        <v>1</v>
      </c>
      <c r="J120" s="2" t="s">
        <v>46</v>
      </c>
      <c r="K120" s="2" t="s">
        <v>47</v>
      </c>
      <c r="L120" s="3"/>
      <c r="M120" s="3"/>
      <c r="N120" s="3"/>
      <c r="O120" s="3"/>
      <c r="P120" s="2" t="s">
        <v>514</v>
      </c>
      <c r="Q120" s="2" t="s">
        <v>146</v>
      </c>
      <c r="R120" s="2" t="s">
        <v>768</v>
      </c>
      <c r="S120" s="3"/>
      <c r="T120" s="3"/>
      <c r="U120" s="3"/>
      <c r="V120" s="3"/>
      <c r="W120" s="3"/>
      <c r="X120" s="3"/>
      <c r="Y120" s="3"/>
      <c r="Z120" s="3"/>
      <c r="AA120" s="3"/>
      <c r="AB120" s="3"/>
      <c r="AC120" s="3"/>
      <c r="AD120" s="3"/>
      <c r="AE120" s="2" t="s">
        <v>769</v>
      </c>
      <c r="AF120" s="2" t="s">
        <v>159</v>
      </c>
      <c r="AG120" s="2" t="s">
        <v>284</v>
      </c>
      <c r="AH120" s="2" t="s">
        <v>324</v>
      </c>
      <c r="AI120" s="2" t="s">
        <v>296</v>
      </c>
      <c r="AJ120" s="2" t="s">
        <v>85</v>
      </c>
      <c r="AK120" s="2" t="s">
        <v>256</v>
      </c>
      <c r="AL120" s="2" t="s">
        <v>68</v>
      </c>
      <c r="AM120" s="3"/>
      <c r="AN120" s="2" t="s">
        <v>460</v>
      </c>
      <c r="AO120" s="2" t="s">
        <v>770</v>
      </c>
    </row>
    <row r="121" spans="1:41" ht="22.5" customHeight="1" x14ac:dyDescent="0.2">
      <c r="A121" s="1">
        <v>45978.423610416663</v>
      </c>
      <c r="B121" s="2" t="s">
        <v>771</v>
      </c>
      <c r="C121" s="2">
        <v>23</v>
      </c>
      <c r="D121" s="2" t="s">
        <v>42</v>
      </c>
      <c r="E121" s="2" t="s">
        <v>58</v>
      </c>
      <c r="F121" s="2" t="s">
        <v>562</v>
      </c>
      <c r="G121" s="3"/>
      <c r="H121" s="2">
        <v>4</v>
      </c>
      <c r="I121" s="2">
        <v>1</v>
      </c>
      <c r="J121" s="2" t="s">
        <v>100</v>
      </c>
      <c r="K121" s="3"/>
      <c r="L121" s="2" t="s">
        <v>47</v>
      </c>
      <c r="M121" s="3"/>
      <c r="N121" s="3"/>
      <c r="O121" s="3"/>
      <c r="P121" s="3"/>
      <c r="Q121" s="3"/>
      <c r="R121" s="3"/>
      <c r="S121" s="2">
        <v>2</v>
      </c>
      <c r="T121" s="2" t="s">
        <v>406</v>
      </c>
      <c r="U121" s="2" t="s">
        <v>772</v>
      </c>
      <c r="V121" s="3"/>
      <c r="W121" s="3"/>
      <c r="X121" s="3"/>
      <c r="Y121" s="3"/>
      <c r="Z121" s="3"/>
      <c r="AA121" s="3"/>
      <c r="AB121" s="3"/>
      <c r="AC121" s="3"/>
      <c r="AD121" s="3"/>
      <c r="AE121" s="2" t="s">
        <v>532</v>
      </c>
      <c r="AF121" s="2" t="s">
        <v>252</v>
      </c>
      <c r="AG121" s="2" t="s">
        <v>361</v>
      </c>
      <c r="AH121" s="2" t="s">
        <v>587</v>
      </c>
      <c r="AI121" s="2" t="s">
        <v>285</v>
      </c>
      <c r="AJ121" s="2" t="s">
        <v>96</v>
      </c>
      <c r="AK121" s="2" t="s">
        <v>335</v>
      </c>
      <c r="AL121" s="2" t="s">
        <v>152</v>
      </c>
      <c r="AM121" s="2" t="s">
        <v>258</v>
      </c>
      <c r="AN121" s="3"/>
      <c r="AO121" s="3"/>
    </row>
    <row r="122" spans="1:41" ht="22.5" customHeight="1" x14ac:dyDescent="0.2">
      <c r="A122" s="1">
        <v>45978.426529861114</v>
      </c>
      <c r="B122" s="2" t="s">
        <v>773</v>
      </c>
      <c r="C122" s="2">
        <v>27</v>
      </c>
      <c r="D122" s="2" t="s">
        <v>73</v>
      </c>
      <c r="E122" s="2" t="s">
        <v>58</v>
      </c>
      <c r="F122" s="2" t="s">
        <v>74</v>
      </c>
      <c r="G122" s="2" t="s">
        <v>45</v>
      </c>
      <c r="H122" s="2">
        <v>3</v>
      </c>
      <c r="I122" s="2">
        <v>2</v>
      </c>
      <c r="J122" s="2" t="s">
        <v>246</v>
      </c>
      <c r="K122" s="2" t="s">
        <v>47</v>
      </c>
      <c r="L122" s="3"/>
      <c r="M122" s="2" t="s">
        <v>47</v>
      </c>
      <c r="N122" s="3"/>
      <c r="O122" s="3"/>
      <c r="P122" s="2">
        <v>4</v>
      </c>
      <c r="Q122" s="2" t="s">
        <v>393</v>
      </c>
      <c r="R122" s="2" t="s">
        <v>394</v>
      </c>
      <c r="S122" s="3"/>
      <c r="T122" s="3"/>
      <c r="U122" s="3"/>
      <c r="V122" s="2">
        <v>2</v>
      </c>
      <c r="W122" s="2" t="s">
        <v>302</v>
      </c>
      <c r="X122" s="2" t="s">
        <v>774</v>
      </c>
      <c r="Y122" s="3"/>
      <c r="Z122" s="3"/>
      <c r="AA122" s="3"/>
      <c r="AB122" s="3"/>
      <c r="AC122" s="3"/>
      <c r="AD122" s="3"/>
      <c r="AE122" s="2" t="s">
        <v>775</v>
      </c>
      <c r="AF122" s="2" t="s">
        <v>323</v>
      </c>
      <c r="AG122" s="2" t="s">
        <v>253</v>
      </c>
      <c r="AH122" s="2" t="s">
        <v>50</v>
      </c>
      <c r="AI122" s="2" t="s">
        <v>255</v>
      </c>
      <c r="AJ122" s="2" t="s">
        <v>85</v>
      </c>
      <c r="AK122" s="2" t="s">
        <v>256</v>
      </c>
      <c r="AL122" s="2" t="s">
        <v>257</v>
      </c>
      <c r="AM122" s="2" t="s">
        <v>286</v>
      </c>
      <c r="AN122" s="3"/>
      <c r="AO122" s="2" t="s">
        <v>776</v>
      </c>
    </row>
    <row r="123" spans="1:41" ht="22.5" customHeight="1" x14ac:dyDescent="0.2">
      <c r="A123" s="1">
        <v>45978.42688846065</v>
      </c>
      <c r="B123" s="2" t="s">
        <v>777</v>
      </c>
      <c r="C123" s="2">
        <v>24</v>
      </c>
      <c r="D123" s="2" t="s">
        <v>42</v>
      </c>
      <c r="E123" s="2" t="s">
        <v>58</v>
      </c>
      <c r="F123" s="2" t="s">
        <v>74</v>
      </c>
      <c r="G123" s="2" t="s">
        <v>89</v>
      </c>
      <c r="H123" s="2">
        <v>4</v>
      </c>
      <c r="I123" s="2">
        <v>1</v>
      </c>
      <c r="J123" s="2" t="s">
        <v>100</v>
      </c>
      <c r="K123" s="3"/>
      <c r="L123" s="2" t="s">
        <v>47</v>
      </c>
      <c r="M123" s="3"/>
      <c r="N123" s="3"/>
      <c r="O123" s="3"/>
      <c r="P123" s="3"/>
      <c r="Q123" s="3"/>
      <c r="R123" s="3"/>
      <c r="S123" s="2" t="s">
        <v>347</v>
      </c>
      <c r="T123" s="2" t="s">
        <v>409</v>
      </c>
      <c r="U123" s="2" t="s">
        <v>493</v>
      </c>
      <c r="V123" s="3"/>
      <c r="W123" s="3"/>
      <c r="X123" s="3"/>
      <c r="Y123" s="3"/>
      <c r="Z123" s="3"/>
      <c r="AA123" s="3"/>
      <c r="AB123" s="3"/>
      <c r="AC123" s="3"/>
      <c r="AD123" s="3"/>
      <c r="AE123" s="2">
        <v>720</v>
      </c>
      <c r="AF123" s="2" t="s">
        <v>323</v>
      </c>
      <c r="AG123" s="2" t="s">
        <v>253</v>
      </c>
      <c r="AH123" s="2" t="s">
        <v>349</v>
      </c>
      <c r="AI123" s="2" t="s">
        <v>255</v>
      </c>
      <c r="AJ123" s="2" t="s">
        <v>96</v>
      </c>
      <c r="AK123" s="2" t="s">
        <v>256</v>
      </c>
      <c r="AL123" s="2" t="s">
        <v>152</v>
      </c>
      <c r="AM123" s="2" t="s">
        <v>286</v>
      </c>
      <c r="AN123" s="3"/>
      <c r="AO123" s="2" t="s">
        <v>778</v>
      </c>
    </row>
    <row r="124" spans="1:41" ht="22.5" customHeight="1" x14ac:dyDescent="0.2">
      <c r="A124" s="1">
        <v>45978.428423680554</v>
      </c>
      <c r="B124" s="2" t="s">
        <v>779</v>
      </c>
      <c r="C124" s="2">
        <v>29</v>
      </c>
      <c r="D124" s="2" t="s">
        <v>42</v>
      </c>
      <c r="E124" s="2" t="s">
        <v>58</v>
      </c>
      <c r="F124" s="2" t="s">
        <v>74</v>
      </c>
      <c r="G124" s="2" t="s">
        <v>45</v>
      </c>
      <c r="H124" s="2">
        <v>3</v>
      </c>
      <c r="I124" s="2">
        <v>1</v>
      </c>
      <c r="J124" s="2" t="s">
        <v>431</v>
      </c>
      <c r="K124" s="3"/>
      <c r="L124" s="3"/>
      <c r="M124" s="2" t="s">
        <v>47</v>
      </c>
      <c r="N124" s="3"/>
      <c r="O124" s="3"/>
      <c r="P124" s="3"/>
      <c r="Q124" s="3"/>
      <c r="R124" s="3"/>
      <c r="S124" s="3"/>
      <c r="T124" s="3"/>
      <c r="U124" s="3"/>
      <c r="V124" s="2" t="s">
        <v>149</v>
      </c>
      <c r="W124" s="2" t="s">
        <v>145</v>
      </c>
      <c r="X124" s="2" t="s">
        <v>597</v>
      </c>
      <c r="Y124" s="3"/>
      <c r="Z124" s="3"/>
      <c r="AA124" s="3"/>
      <c r="AB124" s="3"/>
      <c r="AC124" s="3"/>
      <c r="AD124" s="3"/>
      <c r="AE124" s="2" t="s">
        <v>780</v>
      </c>
      <c r="AF124" s="2" t="s">
        <v>252</v>
      </c>
      <c r="AG124" s="2" t="s">
        <v>317</v>
      </c>
      <c r="AH124" s="2" t="s">
        <v>409</v>
      </c>
      <c r="AI124" s="2" t="s">
        <v>255</v>
      </c>
      <c r="AJ124" s="2" t="s">
        <v>277</v>
      </c>
      <c r="AK124" s="2" t="s">
        <v>335</v>
      </c>
      <c r="AL124" s="2" t="s">
        <v>152</v>
      </c>
      <c r="AM124" s="2" t="s">
        <v>278</v>
      </c>
      <c r="AN124" s="3"/>
      <c r="AO124" s="2" t="s">
        <v>781</v>
      </c>
    </row>
    <row r="125" spans="1:41" ht="22.5" customHeight="1" x14ac:dyDescent="0.2">
      <c r="A125" s="1">
        <v>45978.428452928245</v>
      </c>
      <c r="B125" s="2" t="s">
        <v>782</v>
      </c>
      <c r="C125" s="2">
        <v>31</v>
      </c>
      <c r="D125" s="2" t="s">
        <v>73</v>
      </c>
      <c r="E125" s="2" t="s">
        <v>43</v>
      </c>
      <c r="F125" s="2" t="s">
        <v>44</v>
      </c>
      <c r="G125" s="2" t="s">
        <v>89</v>
      </c>
      <c r="H125" s="2">
        <v>5</v>
      </c>
      <c r="I125" s="2">
        <v>1</v>
      </c>
      <c r="J125" s="2" t="s">
        <v>46</v>
      </c>
      <c r="K125" s="2" t="s">
        <v>47</v>
      </c>
      <c r="L125" s="3"/>
      <c r="M125" s="3"/>
      <c r="N125" s="3"/>
      <c r="O125" s="3"/>
      <c r="P125" s="2" t="s">
        <v>227</v>
      </c>
      <c r="Q125" s="2" t="s">
        <v>783</v>
      </c>
      <c r="R125" s="2" t="s">
        <v>425</v>
      </c>
      <c r="S125" s="3"/>
      <c r="T125" s="3"/>
      <c r="U125" s="3"/>
      <c r="V125" s="3"/>
      <c r="W125" s="3"/>
      <c r="X125" s="3"/>
      <c r="Y125" s="3"/>
      <c r="Z125" s="3"/>
      <c r="AA125" s="3"/>
      <c r="AB125" s="3"/>
      <c r="AC125" s="3"/>
      <c r="AD125" s="3"/>
      <c r="AE125" s="2">
        <v>1200</v>
      </c>
      <c r="AF125" s="2" t="s">
        <v>252</v>
      </c>
      <c r="AG125" s="2" t="s">
        <v>284</v>
      </c>
      <c r="AH125" s="2" t="s">
        <v>220</v>
      </c>
      <c r="AI125" s="2" t="s">
        <v>724</v>
      </c>
      <c r="AJ125" s="2" t="s">
        <v>85</v>
      </c>
      <c r="AK125" s="2" t="s">
        <v>256</v>
      </c>
      <c r="AL125" s="2" t="s">
        <v>68</v>
      </c>
      <c r="AM125" s="3"/>
      <c r="AN125" s="2" t="s">
        <v>259</v>
      </c>
      <c r="AO125" s="3"/>
    </row>
    <row r="126" spans="1:41" ht="22.5" customHeight="1" x14ac:dyDescent="0.2">
      <c r="A126" s="1">
        <v>45978.42988851852</v>
      </c>
      <c r="B126" s="2" t="s">
        <v>784</v>
      </c>
      <c r="C126" s="2">
        <v>22</v>
      </c>
      <c r="D126" s="2" t="s">
        <v>42</v>
      </c>
      <c r="E126" s="2" t="s">
        <v>58</v>
      </c>
      <c r="F126" s="2" t="s">
        <v>562</v>
      </c>
      <c r="G126" s="2" t="s">
        <v>182</v>
      </c>
      <c r="H126" s="2">
        <v>4</v>
      </c>
      <c r="I126" s="2">
        <v>1</v>
      </c>
      <c r="J126" s="2" t="s">
        <v>100</v>
      </c>
      <c r="K126" s="3"/>
      <c r="L126" s="2" t="s">
        <v>47</v>
      </c>
      <c r="M126" s="3"/>
      <c r="N126" s="3"/>
      <c r="O126" s="3"/>
      <c r="P126" s="3"/>
      <c r="Q126" s="3"/>
      <c r="R126" s="3"/>
      <c r="S126" s="2" t="s">
        <v>400</v>
      </c>
      <c r="T126" s="2" t="s">
        <v>349</v>
      </c>
      <c r="U126" s="2" t="s">
        <v>785</v>
      </c>
      <c r="V126" s="3"/>
      <c r="W126" s="3"/>
      <c r="X126" s="3"/>
      <c r="Y126" s="3"/>
      <c r="Z126" s="3"/>
      <c r="AA126" s="3"/>
      <c r="AB126" s="3"/>
      <c r="AC126" s="3"/>
      <c r="AD126" s="3"/>
      <c r="AE126" s="2">
        <v>600</v>
      </c>
      <c r="AF126" s="2" t="s">
        <v>252</v>
      </c>
      <c r="AG126" s="2" t="s">
        <v>361</v>
      </c>
      <c r="AH126" s="2" t="s">
        <v>404</v>
      </c>
      <c r="AI126" s="2" t="s">
        <v>285</v>
      </c>
      <c r="AJ126" s="2" t="s">
        <v>277</v>
      </c>
      <c r="AK126" s="2" t="s">
        <v>335</v>
      </c>
      <c r="AL126" s="2" t="s">
        <v>152</v>
      </c>
      <c r="AM126" s="2" t="s">
        <v>258</v>
      </c>
      <c r="AN126" s="3"/>
      <c r="AO126" s="3"/>
    </row>
    <row r="127" spans="1:41" ht="22.5" customHeight="1" x14ac:dyDescent="0.2">
      <c r="A127" s="1">
        <v>45978.432024606482</v>
      </c>
      <c r="B127" s="2" t="s">
        <v>786</v>
      </c>
      <c r="C127" s="2">
        <v>40</v>
      </c>
      <c r="D127" s="2" t="s">
        <v>73</v>
      </c>
      <c r="E127" s="2" t="s">
        <v>43</v>
      </c>
      <c r="F127" s="2" t="s">
        <v>44</v>
      </c>
      <c r="G127" s="2" t="s">
        <v>45</v>
      </c>
      <c r="H127" s="2">
        <v>6</v>
      </c>
      <c r="I127" s="2">
        <v>2</v>
      </c>
      <c r="J127" s="2" t="s">
        <v>290</v>
      </c>
      <c r="K127" s="2" t="s">
        <v>47</v>
      </c>
      <c r="L127" s="3"/>
      <c r="M127" s="3"/>
      <c r="N127" s="2" t="s">
        <v>291</v>
      </c>
      <c r="O127" s="3"/>
      <c r="P127" s="2" t="s">
        <v>424</v>
      </c>
      <c r="Q127" s="2" t="s">
        <v>448</v>
      </c>
      <c r="R127" s="2" t="s">
        <v>787</v>
      </c>
      <c r="S127" s="3"/>
      <c r="T127" s="3"/>
      <c r="U127" s="3"/>
      <c r="V127" s="3"/>
      <c r="W127" s="3"/>
      <c r="X127" s="3"/>
      <c r="Y127" s="2" t="s">
        <v>788</v>
      </c>
      <c r="Z127" s="2" t="s">
        <v>789</v>
      </c>
      <c r="AA127" s="2" t="s">
        <v>495</v>
      </c>
      <c r="AB127" s="3"/>
      <c r="AC127" s="3"/>
      <c r="AD127" s="3"/>
      <c r="AE127" s="2">
        <v>8200</v>
      </c>
      <c r="AF127" s="2" t="s">
        <v>159</v>
      </c>
      <c r="AG127" s="2" t="s">
        <v>295</v>
      </c>
      <c r="AH127" s="2" t="s">
        <v>587</v>
      </c>
      <c r="AI127" s="2" t="s">
        <v>296</v>
      </c>
      <c r="AJ127" s="2" t="s">
        <v>85</v>
      </c>
      <c r="AK127" s="2" t="s">
        <v>256</v>
      </c>
      <c r="AL127" s="2" t="s">
        <v>68</v>
      </c>
      <c r="AM127" s="3"/>
      <c r="AN127" s="2" t="s">
        <v>460</v>
      </c>
      <c r="AO127" s="3"/>
    </row>
    <row r="128" spans="1:41" ht="22.5" customHeight="1" x14ac:dyDescent="0.2">
      <c r="A128" s="1">
        <v>45978.432244189811</v>
      </c>
      <c r="B128" s="2" t="s">
        <v>790</v>
      </c>
      <c r="C128" s="2">
        <v>45</v>
      </c>
      <c r="D128" s="2" t="s">
        <v>73</v>
      </c>
      <c r="E128" s="2" t="s">
        <v>43</v>
      </c>
      <c r="F128" s="2" t="s">
        <v>172</v>
      </c>
      <c r="G128" s="2" t="s">
        <v>60</v>
      </c>
      <c r="H128" s="2">
        <v>6</v>
      </c>
      <c r="I128" s="2">
        <v>2</v>
      </c>
      <c r="J128" s="2" t="s">
        <v>290</v>
      </c>
      <c r="K128" s="2" t="s">
        <v>47</v>
      </c>
      <c r="L128" s="3"/>
      <c r="M128" s="3"/>
      <c r="N128" s="2" t="s">
        <v>291</v>
      </c>
      <c r="O128" s="3"/>
      <c r="P128" s="2" t="s">
        <v>670</v>
      </c>
      <c r="Q128" s="2" t="s">
        <v>387</v>
      </c>
      <c r="R128" s="2" t="s">
        <v>791</v>
      </c>
      <c r="S128" s="3"/>
      <c r="T128" s="3"/>
      <c r="U128" s="3"/>
      <c r="V128" s="3"/>
      <c r="W128" s="3"/>
      <c r="X128" s="3"/>
      <c r="Y128" s="2" t="s">
        <v>792</v>
      </c>
      <c r="Z128" s="2" t="s">
        <v>64</v>
      </c>
      <c r="AA128" s="2" t="s">
        <v>371</v>
      </c>
      <c r="AB128" s="3"/>
      <c r="AC128" s="3"/>
      <c r="AD128" s="3"/>
      <c r="AE128" s="2" t="s">
        <v>793</v>
      </c>
      <c r="AF128" s="2" t="s">
        <v>159</v>
      </c>
      <c r="AG128" s="2" t="s">
        <v>295</v>
      </c>
      <c r="AH128" s="2" t="s">
        <v>406</v>
      </c>
      <c r="AI128" s="2" t="s">
        <v>559</v>
      </c>
      <c r="AJ128" s="2" t="s">
        <v>362</v>
      </c>
      <c r="AK128" s="3"/>
      <c r="AL128" s="2" t="s">
        <v>68</v>
      </c>
      <c r="AM128" s="3"/>
      <c r="AN128" s="2" t="s">
        <v>373</v>
      </c>
      <c r="AO128" s="2" t="s">
        <v>794</v>
      </c>
    </row>
    <row r="129" spans="1:41" ht="22.5" customHeight="1" x14ac:dyDescent="0.2">
      <c r="A129" s="1">
        <v>45978.433917037037</v>
      </c>
      <c r="B129" s="2" t="s">
        <v>795</v>
      </c>
      <c r="C129" s="2">
        <v>26</v>
      </c>
      <c r="D129" s="2" t="s">
        <v>42</v>
      </c>
      <c r="E129" s="2" t="s">
        <v>58</v>
      </c>
      <c r="F129" s="2" t="s">
        <v>74</v>
      </c>
      <c r="G129" s="2" t="s">
        <v>45</v>
      </c>
      <c r="H129" s="2">
        <v>3</v>
      </c>
      <c r="I129" s="2">
        <v>1</v>
      </c>
      <c r="J129" s="2" t="s">
        <v>431</v>
      </c>
      <c r="K129" s="3"/>
      <c r="L129" s="3"/>
      <c r="M129" s="2" t="s">
        <v>47</v>
      </c>
      <c r="N129" s="3"/>
      <c r="O129" s="3"/>
      <c r="P129" s="3"/>
      <c r="Q129" s="3"/>
      <c r="R129" s="3"/>
      <c r="S129" s="3"/>
      <c r="T129" s="3"/>
      <c r="U129" s="3"/>
      <c r="V129" s="2" t="s">
        <v>347</v>
      </c>
      <c r="W129" s="2" t="s">
        <v>796</v>
      </c>
      <c r="X129" s="2" t="s">
        <v>797</v>
      </c>
      <c r="Y129" s="3"/>
      <c r="Z129" s="3"/>
      <c r="AA129" s="3"/>
      <c r="AB129" s="3"/>
      <c r="AC129" s="3"/>
      <c r="AD129" s="3"/>
      <c r="AE129" s="2">
        <v>2400</v>
      </c>
      <c r="AF129" s="2" t="s">
        <v>252</v>
      </c>
      <c r="AG129" s="2" t="s">
        <v>253</v>
      </c>
      <c r="AH129" s="2" t="s">
        <v>406</v>
      </c>
      <c r="AI129" s="2" t="s">
        <v>255</v>
      </c>
      <c r="AJ129" s="2" t="s">
        <v>277</v>
      </c>
      <c r="AK129" s="2" t="s">
        <v>256</v>
      </c>
      <c r="AL129" s="2" t="s">
        <v>257</v>
      </c>
      <c r="AM129" s="2" t="s">
        <v>258</v>
      </c>
      <c r="AN129" s="3"/>
      <c r="AO129" s="3"/>
    </row>
    <row r="130" spans="1:41" ht="22.5" customHeight="1" x14ac:dyDescent="0.2">
      <c r="A130" s="1">
        <v>45978.440831967593</v>
      </c>
      <c r="B130" s="2" t="s">
        <v>798</v>
      </c>
      <c r="C130" s="2">
        <v>41</v>
      </c>
      <c r="D130" s="2" t="s">
        <v>73</v>
      </c>
      <c r="E130" s="2" t="s">
        <v>43</v>
      </c>
      <c r="F130" s="2" t="s">
        <v>44</v>
      </c>
      <c r="G130" s="2" t="s">
        <v>89</v>
      </c>
      <c r="H130" s="2">
        <v>6</v>
      </c>
      <c r="I130" s="2">
        <v>2</v>
      </c>
      <c r="J130" s="2" t="s">
        <v>290</v>
      </c>
      <c r="K130" s="2" t="s">
        <v>47</v>
      </c>
      <c r="L130" s="3"/>
      <c r="M130" s="3"/>
      <c r="N130" s="2" t="s">
        <v>291</v>
      </c>
      <c r="O130" s="3"/>
      <c r="P130" s="2" t="s">
        <v>426</v>
      </c>
      <c r="Q130" s="2" t="s">
        <v>796</v>
      </c>
      <c r="R130" s="2" t="s">
        <v>425</v>
      </c>
      <c r="S130" s="3"/>
      <c r="T130" s="3"/>
      <c r="U130" s="3"/>
      <c r="V130" s="3"/>
      <c r="W130" s="3"/>
      <c r="X130" s="3"/>
      <c r="Y130" s="2" t="s">
        <v>799</v>
      </c>
      <c r="Z130" s="2" t="s">
        <v>800</v>
      </c>
      <c r="AA130" s="2" t="s">
        <v>801</v>
      </c>
      <c r="AB130" s="3"/>
      <c r="AC130" s="3"/>
      <c r="AD130" s="3"/>
      <c r="AE130" s="2">
        <v>7000</v>
      </c>
      <c r="AF130" s="2" t="s">
        <v>159</v>
      </c>
      <c r="AG130" s="2" t="s">
        <v>284</v>
      </c>
      <c r="AH130" s="2" t="s">
        <v>220</v>
      </c>
      <c r="AI130" s="2" t="s">
        <v>296</v>
      </c>
      <c r="AJ130" s="2" t="s">
        <v>85</v>
      </c>
      <c r="AK130" s="2" t="s">
        <v>256</v>
      </c>
      <c r="AL130" s="2" t="s">
        <v>68</v>
      </c>
      <c r="AM130" s="3"/>
      <c r="AN130" s="2" t="s">
        <v>259</v>
      </c>
      <c r="AO130" s="2" t="s">
        <v>802</v>
      </c>
    </row>
    <row r="131" spans="1:41" ht="22.5" customHeight="1" x14ac:dyDescent="0.2">
      <c r="A131" s="1">
        <v>45978.443411666667</v>
      </c>
      <c r="B131" s="2" t="s">
        <v>803</v>
      </c>
      <c r="C131" s="2">
        <v>22</v>
      </c>
      <c r="D131" s="2" t="s">
        <v>42</v>
      </c>
      <c r="E131" s="2" t="s">
        <v>58</v>
      </c>
      <c r="F131" s="2" t="s">
        <v>562</v>
      </c>
      <c r="G131" s="2" t="s">
        <v>182</v>
      </c>
      <c r="H131" s="2">
        <v>4</v>
      </c>
      <c r="I131" s="2">
        <v>1</v>
      </c>
      <c r="J131" s="2" t="s">
        <v>100</v>
      </c>
      <c r="K131" s="3"/>
      <c r="L131" s="2" t="s">
        <v>47</v>
      </c>
      <c r="M131" s="3"/>
      <c r="N131" s="3"/>
      <c r="O131" s="3"/>
      <c r="P131" s="3"/>
      <c r="Q131" s="3"/>
      <c r="R131" s="3"/>
      <c r="S131" s="2" t="s">
        <v>804</v>
      </c>
      <c r="T131" s="2" t="s">
        <v>805</v>
      </c>
      <c r="U131" s="2" t="s">
        <v>493</v>
      </c>
      <c r="V131" s="3"/>
      <c r="W131" s="3"/>
      <c r="X131" s="3"/>
      <c r="Y131" s="3"/>
      <c r="Z131" s="3"/>
      <c r="AA131" s="3"/>
      <c r="AB131" s="3"/>
      <c r="AC131" s="3"/>
      <c r="AD131" s="3"/>
      <c r="AE131" s="2">
        <v>700</v>
      </c>
      <c r="AF131" s="2" t="s">
        <v>252</v>
      </c>
      <c r="AG131" s="2" t="s">
        <v>361</v>
      </c>
      <c r="AH131" s="2" t="s">
        <v>587</v>
      </c>
      <c r="AI131" s="2" t="s">
        <v>285</v>
      </c>
      <c r="AJ131" s="2" t="s">
        <v>277</v>
      </c>
      <c r="AK131" s="2" t="s">
        <v>256</v>
      </c>
      <c r="AL131" s="2" t="s">
        <v>152</v>
      </c>
      <c r="AM131" s="2" t="s">
        <v>258</v>
      </c>
      <c r="AN131" s="3"/>
      <c r="AO131" s="3"/>
    </row>
    <row r="132" spans="1:41" ht="22.5" customHeight="1" x14ac:dyDescent="0.2">
      <c r="A132" s="1">
        <v>45978.445837939813</v>
      </c>
      <c r="B132" s="2" t="s">
        <v>806</v>
      </c>
      <c r="C132" s="2">
        <v>29</v>
      </c>
      <c r="D132" s="2" t="s">
        <v>73</v>
      </c>
      <c r="E132" s="2" t="s">
        <v>58</v>
      </c>
      <c r="F132" s="2" t="s">
        <v>74</v>
      </c>
      <c r="G132" s="2" t="s">
        <v>45</v>
      </c>
      <c r="H132" s="2">
        <v>3</v>
      </c>
      <c r="I132" s="2">
        <v>2</v>
      </c>
      <c r="J132" s="2" t="s">
        <v>246</v>
      </c>
      <c r="K132" s="2" t="s">
        <v>47</v>
      </c>
      <c r="L132" s="3"/>
      <c r="M132" s="2" t="s">
        <v>47</v>
      </c>
      <c r="N132" s="3"/>
      <c r="O132" s="3"/>
      <c r="P132" s="2" t="s">
        <v>457</v>
      </c>
      <c r="Q132" s="2" t="s">
        <v>807</v>
      </c>
      <c r="R132" s="2" t="s">
        <v>458</v>
      </c>
      <c r="S132" s="3"/>
      <c r="T132" s="3"/>
      <c r="U132" s="3"/>
      <c r="V132" s="2" t="s">
        <v>808</v>
      </c>
      <c r="W132" s="2" t="s">
        <v>809</v>
      </c>
      <c r="X132" s="2" t="s">
        <v>810</v>
      </c>
      <c r="Y132" s="3"/>
      <c r="Z132" s="3"/>
      <c r="AA132" s="3"/>
      <c r="AB132" s="3"/>
      <c r="AC132" s="3"/>
      <c r="AD132" s="3"/>
      <c r="AE132" s="2">
        <v>4300</v>
      </c>
      <c r="AF132" s="2" t="s">
        <v>323</v>
      </c>
      <c r="AG132" s="2" t="s">
        <v>253</v>
      </c>
      <c r="AH132" s="2" t="s">
        <v>50</v>
      </c>
      <c r="AI132" s="2" t="s">
        <v>255</v>
      </c>
      <c r="AJ132" s="2" t="s">
        <v>85</v>
      </c>
      <c r="AK132" s="2" t="s">
        <v>467</v>
      </c>
      <c r="AL132" s="2" t="s">
        <v>257</v>
      </c>
      <c r="AM132" s="2" t="s">
        <v>286</v>
      </c>
      <c r="AN132" s="3"/>
      <c r="AO132" s="3"/>
    </row>
    <row r="133" spans="1:41" ht="22.5" customHeight="1" x14ac:dyDescent="0.2">
      <c r="A133" s="1">
        <v>45978.447144710648</v>
      </c>
      <c r="B133" s="2" t="s">
        <v>811</v>
      </c>
      <c r="C133" s="2">
        <v>21</v>
      </c>
      <c r="D133" s="2" t="s">
        <v>73</v>
      </c>
      <c r="E133" s="2" t="s">
        <v>58</v>
      </c>
      <c r="F133" s="2" t="s">
        <v>74</v>
      </c>
      <c r="G133" s="2" t="s">
        <v>45</v>
      </c>
      <c r="H133" s="2">
        <v>5</v>
      </c>
      <c r="I133" s="2">
        <v>2</v>
      </c>
      <c r="J133" s="2" t="s">
        <v>246</v>
      </c>
      <c r="K133" s="2" t="s">
        <v>47</v>
      </c>
      <c r="L133" s="3"/>
      <c r="M133" s="2" t="s">
        <v>47</v>
      </c>
      <c r="N133" s="3"/>
      <c r="O133" s="3"/>
      <c r="P133" s="2" t="s">
        <v>516</v>
      </c>
      <c r="Q133" s="2" t="s">
        <v>146</v>
      </c>
      <c r="R133" s="2" t="s">
        <v>737</v>
      </c>
      <c r="S133" s="3"/>
      <c r="T133" s="3"/>
      <c r="U133" s="3"/>
      <c r="V133" s="2" t="s">
        <v>537</v>
      </c>
      <c r="W133" s="2" t="s">
        <v>150</v>
      </c>
      <c r="X133" s="2" t="s">
        <v>812</v>
      </c>
      <c r="Y133" s="3"/>
      <c r="Z133" s="3"/>
      <c r="AA133" s="3"/>
      <c r="AB133" s="3"/>
      <c r="AC133" s="3"/>
      <c r="AD133" s="3"/>
      <c r="AE133" s="2">
        <v>3400</v>
      </c>
      <c r="AF133" s="2" t="s">
        <v>159</v>
      </c>
      <c r="AG133" s="2" t="s">
        <v>317</v>
      </c>
      <c r="AH133" s="2" t="s">
        <v>393</v>
      </c>
      <c r="AI133" s="2" t="s">
        <v>255</v>
      </c>
      <c r="AJ133" s="2" t="s">
        <v>85</v>
      </c>
      <c r="AK133" s="2" t="s">
        <v>335</v>
      </c>
      <c r="AL133" s="2" t="s">
        <v>257</v>
      </c>
      <c r="AM133" s="2" t="s">
        <v>278</v>
      </c>
      <c r="AN133" s="3"/>
      <c r="AO133" s="2" t="s">
        <v>813</v>
      </c>
    </row>
    <row r="134" spans="1:41" ht="22.5" customHeight="1" x14ac:dyDescent="0.2">
      <c r="A134" s="1">
        <v>45978.447280995373</v>
      </c>
      <c r="B134" s="2" t="s">
        <v>814</v>
      </c>
      <c r="C134" s="2">
        <v>28</v>
      </c>
      <c r="D134" s="2" t="s">
        <v>42</v>
      </c>
      <c r="E134" s="2" t="s">
        <v>43</v>
      </c>
      <c r="F134" s="2" t="s">
        <v>144</v>
      </c>
      <c r="G134" s="2" t="s">
        <v>89</v>
      </c>
      <c r="H134" s="2">
        <v>4</v>
      </c>
      <c r="I134" s="2">
        <v>1</v>
      </c>
      <c r="J134" s="2" t="s">
        <v>46</v>
      </c>
      <c r="K134" s="2" t="s">
        <v>47</v>
      </c>
      <c r="L134" s="3"/>
      <c r="M134" s="3"/>
      <c r="N134" s="3"/>
      <c r="O134" s="3"/>
      <c r="P134" s="2" t="s">
        <v>292</v>
      </c>
      <c r="Q134" s="2" t="s">
        <v>815</v>
      </c>
      <c r="R134" s="2" t="s">
        <v>785</v>
      </c>
      <c r="S134" s="3"/>
      <c r="T134" s="3"/>
      <c r="U134" s="3"/>
      <c r="V134" s="3"/>
      <c r="W134" s="3"/>
      <c r="X134" s="3"/>
      <c r="Y134" s="3"/>
      <c r="Z134" s="3"/>
      <c r="AA134" s="3"/>
      <c r="AB134" s="3"/>
      <c r="AC134" s="3"/>
      <c r="AD134" s="3"/>
      <c r="AE134" s="2">
        <v>600</v>
      </c>
      <c r="AF134" s="2" t="s">
        <v>159</v>
      </c>
      <c r="AG134" s="2" t="s">
        <v>295</v>
      </c>
      <c r="AH134" s="2" t="s">
        <v>404</v>
      </c>
      <c r="AI134" s="2" t="s">
        <v>344</v>
      </c>
      <c r="AJ134" s="2" t="s">
        <v>96</v>
      </c>
      <c r="AK134" s="2" t="s">
        <v>335</v>
      </c>
      <c r="AL134" s="2" t="s">
        <v>68</v>
      </c>
      <c r="AM134" s="3"/>
      <c r="AN134" s="2" t="s">
        <v>259</v>
      </c>
      <c r="AO134" s="3"/>
    </row>
    <row r="135" spans="1:41" ht="22.5" customHeight="1" x14ac:dyDescent="0.2">
      <c r="A135" s="1">
        <v>45978.450057071765</v>
      </c>
      <c r="B135" s="2" t="s">
        <v>816</v>
      </c>
      <c r="C135" s="2">
        <v>37</v>
      </c>
      <c r="D135" s="2" t="s">
        <v>73</v>
      </c>
      <c r="E135" s="2" t="s">
        <v>43</v>
      </c>
      <c r="F135" s="2" t="s">
        <v>172</v>
      </c>
      <c r="G135" s="2" t="s">
        <v>45</v>
      </c>
      <c r="H135" s="2">
        <v>5</v>
      </c>
      <c r="I135" s="2">
        <v>2</v>
      </c>
      <c r="J135" s="2" t="s">
        <v>246</v>
      </c>
      <c r="K135" s="2" t="s">
        <v>47</v>
      </c>
      <c r="L135" s="3"/>
      <c r="M135" s="2" t="s">
        <v>47</v>
      </c>
      <c r="N135" s="3"/>
      <c r="O135" s="3"/>
      <c r="P135" s="2" t="s">
        <v>817</v>
      </c>
      <c r="Q135" s="2" t="s">
        <v>145</v>
      </c>
      <c r="R135" s="2" t="s">
        <v>787</v>
      </c>
      <c r="S135" s="3"/>
      <c r="T135" s="3"/>
      <c r="U135" s="3"/>
      <c r="V135" s="2" t="s">
        <v>227</v>
      </c>
      <c r="W135" s="2" t="s">
        <v>387</v>
      </c>
      <c r="X135" s="2" t="s">
        <v>818</v>
      </c>
      <c r="Y135" s="3"/>
      <c r="Z135" s="3"/>
      <c r="AA135" s="3"/>
      <c r="AB135" s="3"/>
      <c r="AC135" s="3"/>
      <c r="AD135" s="3"/>
      <c r="AE135" s="2">
        <v>4800</v>
      </c>
      <c r="AF135" s="2" t="s">
        <v>252</v>
      </c>
      <c r="AG135" s="2" t="s">
        <v>361</v>
      </c>
      <c r="AH135" s="2" t="s">
        <v>349</v>
      </c>
      <c r="AI135" s="2" t="s">
        <v>559</v>
      </c>
      <c r="AJ135" s="2" t="s">
        <v>85</v>
      </c>
      <c r="AK135" s="2" t="s">
        <v>318</v>
      </c>
      <c r="AL135" s="2" t="s">
        <v>257</v>
      </c>
      <c r="AM135" s="2" t="s">
        <v>286</v>
      </c>
      <c r="AN135" s="3"/>
      <c r="AO135" s="3"/>
    </row>
    <row r="136" spans="1:41" ht="22.5" customHeight="1" x14ac:dyDescent="0.2">
      <c r="A136" s="1">
        <v>45978.450447812502</v>
      </c>
      <c r="B136" s="2" t="s">
        <v>819</v>
      </c>
      <c r="C136" s="2">
        <v>33</v>
      </c>
      <c r="D136" s="2" t="s">
        <v>73</v>
      </c>
      <c r="E136" s="2" t="s">
        <v>43</v>
      </c>
      <c r="F136" s="2" t="s">
        <v>44</v>
      </c>
      <c r="G136" s="2" t="s">
        <v>89</v>
      </c>
      <c r="H136" s="2">
        <v>5</v>
      </c>
      <c r="I136" s="2">
        <v>2</v>
      </c>
      <c r="J136" s="2" t="s">
        <v>290</v>
      </c>
      <c r="K136" s="2" t="s">
        <v>47</v>
      </c>
      <c r="L136" s="3"/>
      <c r="M136" s="3"/>
      <c r="N136" s="2" t="s">
        <v>291</v>
      </c>
      <c r="O136" s="3"/>
      <c r="P136" s="2" t="s">
        <v>262</v>
      </c>
      <c r="Q136" s="2" t="s">
        <v>142</v>
      </c>
      <c r="R136" s="2" t="s">
        <v>820</v>
      </c>
      <c r="S136" s="3"/>
      <c r="T136" s="3"/>
      <c r="U136" s="3"/>
      <c r="V136" s="3"/>
      <c r="W136" s="3"/>
      <c r="X136" s="3"/>
      <c r="Y136" s="2" t="s">
        <v>670</v>
      </c>
      <c r="Z136" s="2" t="s">
        <v>146</v>
      </c>
      <c r="AA136" s="2" t="s">
        <v>821</v>
      </c>
      <c r="AB136" s="3"/>
      <c r="AC136" s="3"/>
      <c r="AD136" s="3"/>
      <c r="AE136" s="2">
        <v>5800</v>
      </c>
      <c r="AF136" s="2" t="s">
        <v>252</v>
      </c>
      <c r="AG136" s="2" t="s">
        <v>253</v>
      </c>
      <c r="AH136" s="2" t="s">
        <v>501</v>
      </c>
      <c r="AI136" s="2" t="s">
        <v>296</v>
      </c>
      <c r="AJ136" s="2" t="s">
        <v>85</v>
      </c>
      <c r="AK136" s="2" t="s">
        <v>256</v>
      </c>
      <c r="AL136" s="2" t="s">
        <v>68</v>
      </c>
      <c r="AM136" s="3"/>
      <c r="AN136" s="2" t="s">
        <v>373</v>
      </c>
      <c r="AO136" s="2" t="s">
        <v>822</v>
      </c>
    </row>
    <row r="137" spans="1:41" ht="22.5" customHeight="1" x14ac:dyDescent="0.2">
      <c r="A137" s="1">
        <v>45978.451432326387</v>
      </c>
      <c r="B137" s="2" t="s">
        <v>823</v>
      </c>
      <c r="C137" s="2">
        <v>33</v>
      </c>
      <c r="D137" s="2" t="s">
        <v>42</v>
      </c>
      <c r="E137" s="2" t="s">
        <v>58</v>
      </c>
      <c r="F137" s="2" t="s">
        <v>74</v>
      </c>
      <c r="G137" s="2" t="s">
        <v>45</v>
      </c>
      <c r="H137" s="2">
        <v>4</v>
      </c>
      <c r="I137" s="2">
        <v>1</v>
      </c>
      <c r="J137" s="2" t="s">
        <v>100</v>
      </c>
      <c r="K137" s="3"/>
      <c r="L137" s="2" t="s">
        <v>47</v>
      </c>
      <c r="M137" s="3"/>
      <c r="N137" s="3"/>
      <c r="O137" s="3"/>
      <c r="P137" s="3"/>
      <c r="Q137" s="3"/>
      <c r="R137" s="2" t="s">
        <v>347</v>
      </c>
      <c r="S137" s="2" t="s">
        <v>824</v>
      </c>
      <c r="T137" s="2" t="s">
        <v>493</v>
      </c>
      <c r="U137" s="3"/>
      <c r="V137" s="3"/>
      <c r="W137" s="3"/>
      <c r="X137" s="3"/>
      <c r="Y137" s="3"/>
      <c r="Z137" s="3"/>
      <c r="AA137" s="3"/>
      <c r="AB137" s="3"/>
      <c r="AC137" s="3"/>
      <c r="AD137" s="3"/>
      <c r="AE137" s="2">
        <v>750</v>
      </c>
      <c r="AF137" s="2" t="s">
        <v>323</v>
      </c>
      <c r="AG137" s="2" t="s">
        <v>317</v>
      </c>
      <c r="AH137" s="2" t="s">
        <v>220</v>
      </c>
      <c r="AI137" s="2" t="s">
        <v>255</v>
      </c>
      <c r="AJ137" s="2" t="s">
        <v>96</v>
      </c>
      <c r="AK137" s="2" t="s">
        <v>467</v>
      </c>
      <c r="AL137" s="2" t="s">
        <v>257</v>
      </c>
      <c r="AM137" s="2" t="s">
        <v>278</v>
      </c>
      <c r="AN137" s="3"/>
      <c r="AO137" s="3"/>
    </row>
    <row r="138" spans="1:41" ht="22.5" customHeight="1" x14ac:dyDescent="0.2">
      <c r="A138" s="1">
        <v>45978.453031666664</v>
      </c>
      <c r="B138" s="2" t="s">
        <v>825</v>
      </c>
      <c r="C138" s="2">
        <v>24</v>
      </c>
      <c r="D138" s="2" t="s">
        <v>42</v>
      </c>
      <c r="E138" s="2" t="s">
        <v>58</v>
      </c>
      <c r="F138" s="2" t="s">
        <v>74</v>
      </c>
      <c r="G138" s="2" t="s">
        <v>45</v>
      </c>
      <c r="H138" s="2">
        <v>3</v>
      </c>
      <c r="I138" s="2">
        <v>1</v>
      </c>
      <c r="J138" s="2" t="s">
        <v>100</v>
      </c>
      <c r="K138" s="3"/>
      <c r="L138" s="2" t="s">
        <v>47</v>
      </c>
      <c r="M138" s="3"/>
      <c r="N138" s="3"/>
      <c r="O138" s="3"/>
      <c r="P138" s="3"/>
      <c r="Q138" s="3"/>
      <c r="R138" s="3"/>
      <c r="S138" s="2" t="s">
        <v>272</v>
      </c>
      <c r="T138" s="2" t="s">
        <v>343</v>
      </c>
      <c r="U138" s="2" t="s">
        <v>755</v>
      </c>
      <c r="V138" s="3"/>
      <c r="W138" s="3"/>
      <c r="X138" s="3"/>
      <c r="Y138" s="3"/>
      <c r="Z138" s="3"/>
      <c r="AA138" s="3"/>
      <c r="AB138" s="3"/>
      <c r="AC138" s="3"/>
      <c r="AD138" s="3"/>
      <c r="AE138" s="2" t="s">
        <v>826</v>
      </c>
      <c r="AF138" s="2" t="s">
        <v>323</v>
      </c>
      <c r="AG138" s="2" t="s">
        <v>284</v>
      </c>
      <c r="AH138" s="2" t="s">
        <v>234</v>
      </c>
      <c r="AI138" s="2" t="s">
        <v>255</v>
      </c>
      <c r="AJ138" s="2" t="s">
        <v>96</v>
      </c>
      <c r="AK138" s="2" t="s">
        <v>325</v>
      </c>
      <c r="AL138" s="2" t="s">
        <v>152</v>
      </c>
      <c r="AM138" s="2" t="s">
        <v>258</v>
      </c>
      <c r="AN138" s="3"/>
      <c r="AO138" s="2" t="s">
        <v>827</v>
      </c>
    </row>
    <row r="139" spans="1:41" ht="22.5" customHeight="1" x14ac:dyDescent="0.2">
      <c r="A139" s="1">
        <v>45978.455374212965</v>
      </c>
      <c r="B139" s="2" t="s">
        <v>828</v>
      </c>
      <c r="C139" s="2">
        <v>43</v>
      </c>
      <c r="D139" s="2" t="s">
        <v>73</v>
      </c>
      <c r="E139" s="2" t="s">
        <v>43</v>
      </c>
      <c r="F139" s="2" t="s">
        <v>44</v>
      </c>
      <c r="G139" s="2" t="s">
        <v>89</v>
      </c>
      <c r="H139" s="2">
        <v>6</v>
      </c>
      <c r="I139" s="2">
        <v>2</v>
      </c>
      <c r="J139" s="2" t="s">
        <v>290</v>
      </c>
      <c r="K139" s="2" t="s">
        <v>47</v>
      </c>
      <c r="L139" s="3"/>
      <c r="M139" s="3"/>
      <c r="N139" s="2" t="s">
        <v>291</v>
      </c>
      <c r="O139" s="3"/>
      <c r="P139" s="2" t="s">
        <v>792</v>
      </c>
      <c r="Q139" s="2" t="s">
        <v>829</v>
      </c>
      <c r="R139" s="2" t="s">
        <v>787</v>
      </c>
      <c r="S139" s="3"/>
      <c r="T139" s="3"/>
      <c r="U139" s="3"/>
      <c r="V139" s="3"/>
      <c r="W139" s="3"/>
      <c r="X139" s="3"/>
      <c r="Y139" s="2" t="s">
        <v>330</v>
      </c>
      <c r="Z139" s="2" t="s">
        <v>64</v>
      </c>
      <c r="AA139" s="2" t="s">
        <v>504</v>
      </c>
      <c r="AB139" s="3"/>
      <c r="AC139" s="3"/>
      <c r="AD139" s="3"/>
      <c r="AE139" s="2">
        <v>8500</v>
      </c>
      <c r="AF139" s="2" t="s">
        <v>159</v>
      </c>
      <c r="AG139" s="2" t="s">
        <v>284</v>
      </c>
      <c r="AH139" s="2" t="s">
        <v>815</v>
      </c>
      <c r="AI139" s="2" t="s">
        <v>296</v>
      </c>
      <c r="AJ139" s="2" t="s">
        <v>96</v>
      </c>
      <c r="AK139" s="2" t="s">
        <v>335</v>
      </c>
      <c r="AL139" s="2" t="s">
        <v>68</v>
      </c>
      <c r="AM139" s="3"/>
      <c r="AN139" s="2" t="s">
        <v>684</v>
      </c>
      <c r="AO139" s="3"/>
    </row>
    <row r="140" spans="1:41" ht="22.5" customHeight="1" x14ac:dyDescent="0.2">
      <c r="A140" s="1">
        <v>45978.455881967588</v>
      </c>
      <c r="B140" s="2" t="s">
        <v>830</v>
      </c>
      <c r="C140" s="2">
        <v>28</v>
      </c>
      <c r="D140" s="2" t="s">
        <v>73</v>
      </c>
      <c r="E140" s="2" t="s">
        <v>43</v>
      </c>
      <c r="F140" s="2" t="s">
        <v>172</v>
      </c>
      <c r="G140" s="2" t="s">
        <v>60</v>
      </c>
      <c r="H140" s="2">
        <v>6</v>
      </c>
      <c r="I140" s="2">
        <v>3</v>
      </c>
      <c r="J140" s="2" t="s">
        <v>309</v>
      </c>
      <c r="K140" s="2" t="s">
        <v>47</v>
      </c>
      <c r="L140" s="3"/>
      <c r="M140" s="2" t="s">
        <v>47</v>
      </c>
      <c r="N140" s="2" t="s">
        <v>291</v>
      </c>
      <c r="O140" s="3"/>
      <c r="P140" s="2" t="s">
        <v>497</v>
      </c>
      <c r="Q140" s="2" t="s">
        <v>393</v>
      </c>
      <c r="R140" s="2" t="s">
        <v>831</v>
      </c>
      <c r="S140" s="3"/>
      <c r="T140" s="3"/>
      <c r="U140" s="3"/>
      <c r="V140" s="2" t="s">
        <v>579</v>
      </c>
      <c r="W140" s="2" t="s">
        <v>832</v>
      </c>
      <c r="X140" s="2" t="s">
        <v>833</v>
      </c>
      <c r="Y140" s="2">
        <v>9</v>
      </c>
      <c r="Z140" s="2">
        <v>45</v>
      </c>
      <c r="AA140" s="2">
        <v>58</v>
      </c>
      <c r="AB140" s="3"/>
      <c r="AC140" s="3"/>
      <c r="AD140" s="3"/>
      <c r="AE140" s="2" t="s">
        <v>834</v>
      </c>
      <c r="AF140" s="2" t="s">
        <v>159</v>
      </c>
      <c r="AG140" s="2" t="s">
        <v>361</v>
      </c>
      <c r="AH140" s="2" t="s">
        <v>145</v>
      </c>
      <c r="AI140" s="2" t="s">
        <v>559</v>
      </c>
      <c r="AJ140" s="2" t="s">
        <v>85</v>
      </c>
      <c r="AK140" s="2" t="s">
        <v>307</v>
      </c>
      <c r="AL140" s="2" t="s">
        <v>257</v>
      </c>
      <c r="AM140" s="2" t="s">
        <v>401</v>
      </c>
      <c r="AN140" s="3"/>
      <c r="AO140" s="3"/>
    </row>
    <row r="141" spans="1:41" ht="22.5" customHeight="1" x14ac:dyDescent="0.2">
      <c r="A141" s="1">
        <v>45978.456969004634</v>
      </c>
      <c r="B141" s="2" t="s">
        <v>835</v>
      </c>
      <c r="C141" s="2">
        <v>26</v>
      </c>
      <c r="D141" s="2" t="s">
        <v>42</v>
      </c>
      <c r="E141" s="2" t="s">
        <v>58</v>
      </c>
      <c r="F141" s="2" t="s">
        <v>74</v>
      </c>
      <c r="G141" s="2" t="s">
        <v>45</v>
      </c>
      <c r="H141" s="2">
        <v>3</v>
      </c>
      <c r="I141" s="2">
        <v>1</v>
      </c>
      <c r="J141" s="2" t="s">
        <v>431</v>
      </c>
      <c r="K141" s="3"/>
      <c r="L141" s="3"/>
      <c r="M141" s="2" t="s">
        <v>47</v>
      </c>
      <c r="N141" s="3"/>
      <c r="O141" s="3"/>
      <c r="P141" s="3"/>
      <c r="Q141" s="3"/>
      <c r="R141" s="3"/>
      <c r="S141" s="3"/>
      <c r="T141" s="3"/>
      <c r="U141" s="3"/>
      <c r="V141" s="2" t="s">
        <v>836</v>
      </c>
      <c r="W141" s="2" t="s">
        <v>837</v>
      </c>
      <c r="X141" s="2" t="s">
        <v>838</v>
      </c>
      <c r="Y141" s="3"/>
      <c r="Z141" s="3"/>
      <c r="AA141" s="3"/>
      <c r="AB141" s="3"/>
      <c r="AC141" s="3"/>
      <c r="AD141" s="3"/>
      <c r="AE141" s="2">
        <v>2500</v>
      </c>
      <c r="AF141" s="2" t="s">
        <v>252</v>
      </c>
      <c r="AG141" s="2" t="s">
        <v>253</v>
      </c>
      <c r="AH141" s="2" t="s">
        <v>815</v>
      </c>
      <c r="AI141" s="2" t="s">
        <v>255</v>
      </c>
      <c r="AJ141" s="2" t="s">
        <v>96</v>
      </c>
      <c r="AK141" s="2" t="s">
        <v>256</v>
      </c>
      <c r="AL141" s="2" t="s">
        <v>152</v>
      </c>
      <c r="AM141" s="2" t="s">
        <v>286</v>
      </c>
      <c r="AN141" s="3"/>
      <c r="AO141" s="3"/>
    </row>
    <row r="142" spans="1:41" ht="22.5" customHeight="1" x14ac:dyDescent="0.2">
      <c r="A142" s="1">
        <v>45978.457408831018</v>
      </c>
      <c r="B142" s="2" t="s">
        <v>839</v>
      </c>
      <c r="C142" s="2">
        <v>22</v>
      </c>
      <c r="D142" s="2" t="s">
        <v>42</v>
      </c>
      <c r="E142" s="2" t="s">
        <v>58</v>
      </c>
      <c r="F142" s="2" t="s">
        <v>562</v>
      </c>
      <c r="G142" s="2" t="s">
        <v>182</v>
      </c>
      <c r="H142" s="2">
        <v>4</v>
      </c>
      <c r="I142" s="2">
        <v>1</v>
      </c>
      <c r="J142" s="2" t="s">
        <v>100</v>
      </c>
      <c r="K142" s="3"/>
      <c r="L142" s="2" t="s">
        <v>47</v>
      </c>
      <c r="M142" s="3"/>
      <c r="N142" s="3"/>
      <c r="O142" s="3"/>
      <c r="P142" s="3"/>
      <c r="Q142" s="3"/>
      <c r="R142" s="3"/>
      <c r="S142" s="2">
        <v>1</v>
      </c>
      <c r="T142" s="2">
        <v>10</v>
      </c>
      <c r="U142" s="2">
        <v>6</v>
      </c>
      <c r="V142" s="3"/>
      <c r="W142" s="3"/>
      <c r="X142" s="3"/>
      <c r="Y142" s="3"/>
      <c r="Z142" s="3"/>
      <c r="AA142" s="3"/>
      <c r="AB142" s="3"/>
      <c r="AC142" s="3"/>
      <c r="AD142" s="3"/>
      <c r="AE142" s="2" t="s">
        <v>840</v>
      </c>
      <c r="AF142" s="2" t="s">
        <v>276</v>
      </c>
      <c r="AG142" s="2" t="s">
        <v>253</v>
      </c>
      <c r="AH142" s="2" t="s">
        <v>815</v>
      </c>
      <c r="AI142" s="2" t="s">
        <v>285</v>
      </c>
      <c r="AJ142" s="2" t="s">
        <v>277</v>
      </c>
      <c r="AK142" s="2" t="s">
        <v>256</v>
      </c>
      <c r="AL142" s="2" t="s">
        <v>152</v>
      </c>
      <c r="AM142" s="2" t="s">
        <v>286</v>
      </c>
      <c r="AN142" s="3"/>
      <c r="AO142" s="2" t="s">
        <v>841</v>
      </c>
    </row>
    <row r="143" spans="1:41" ht="22.5" customHeight="1" x14ac:dyDescent="0.2">
      <c r="A143" s="1">
        <v>45978.460189999998</v>
      </c>
      <c r="B143" s="2" t="s">
        <v>842</v>
      </c>
      <c r="C143" s="2">
        <v>30</v>
      </c>
      <c r="D143" s="2" t="s">
        <v>73</v>
      </c>
      <c r="E143" s="2" t="s">
        <v>58</v>
      </c>
      <c r="F143" s="2" t="s">
        <v>172</v>
      </c>
      <c r="G143" s="2" t="s">
        <v>60</v>
      </c>
      <c r="H143" s="2">
        <v>4</v>
      </c>
      <c r="I143" s="2">
        <v>3</v>
      </c>
      <c r="J143" s="2" t="s">
        <v>435</v>
      </c>
      <c r="K143" s="2" t="s">
        <v>47</v>
      </c>
      <c r="L143" s="3"/>
      <c r="M143" s="2" t="s">
        <v>47</v>
      </c>
      <c r="N143" s="3"/>
      <c r="O143" s="2" t="s">
        <v>353</v>
      </c>
      <c r="P143" s="2" t="s">
        <v>843</v>
      </c>
      <c r="Q143" s="2" t="s">
        <v>50</v>
      </c>
      <c r="R143" s="2" t="s">
        <v>383</v>
      </c>
      <c r="S143" s="3"/>
      <c r="T143" s="3"/>
      <c r="U143" s="3"/>
      <c r="V143" s="2" t="s">
        <v>844</v>
      </c>
      <c r="W143" s="2" t="s">
        <v>845</v>
      </c>
      <c r="X143" s="2" t="s">
        <v>846</v>
      </c>
      <c r="Y143" s="3"/>
      <c r="Z143" s="3"/>
      <c r="AA143" s="3"/>
      <c r="AB143" s="2" t="s">
        <v>847</v>
      </c>
      <c r="AC143" s="2" t="s">
        <v>145</v>
      </c>
      <c r="AD143" s="2" t="s">
        <v>400</v>
      </c>
      <c r="AE143" s="2">
        <v>5500</v>
      </c>
      <c r="AF143" s="2" t="s">
        <v>276</v>
      </c>
      <c r="AG143" s="2" t="s">
        <v>253</v>
      </c>
      <c r="AH143" s="2" t="s">
        <v>50</v>
      </c>
      <c r="AI143" s="2" t="s">
        <v>559</v>
      </c>
      <c r="AJ143" s="2" t="s">
        <v>362</v>
      </c>
      <c r="AK143" s="2" t="s">
        <v>307</v>
      </c>
      <c r="AL143" s="3"/>
      <c r="AM143" s="3"/>
      <c r="AN143" s="3"/>
      <c r="AO143" s="3"/>
    </row>
    <row r="144" spans="1:41" ht="22.5" customHeight="1" x14ac:dyDescent="0.2">
      <c r="A144" s="1">
        <v>45978.461552997687</v>
      </c>
      <c r="B144" s="2" t="s">
        <v>848</v>
      </c>
      <c r="C144" s="2">
        <v>27</v>
      </c>
      <c r="D144" s="2" t="s">
        <v>42</v>
      </c>
      <c r="E144" s="2" t="s">
        <v>58</v>
      </c>
      <c r="F144" s="2" t="s">
        <v>74</v>
      </c>
      <c r="G144" s="2" t="s">
        <v>89</v>
      </c>
      <c r="H144" s="2">
        <v>3</v>
      </c>
      <c r="I144" s="2">
        <v>1</v>
      </c>
      <c r="J144" s="2" t="s">
        <v>100</v>
      </c>
      <c r="K144" s="3"/>
      <c r="L144" s="2" t="s">
        <v>47</v>
      </c>
      <c r="M144" s="3"/>
      <c r="N144" s="3"/>
      <c r="O144" s="3"/>
      <c r="P144" s="3"/>
      <c r="Q144" s="3"/>
      <c r="R144" s="3"/>
      <c r="S144" s="2" t="s">
        <v>849</v>
      </c>
      <c r="T144" s="2" t="s">
        <v>850</v>
      </c>
      <c r="U144" s="2" t="s">
        <v>785</v>
      </c>
      <c r="V144" s="3"/>
      <c r="W144" s="3"/>
      <c r="X144" s="3"/>
      <c r="Y144" s="3"/>
      <c r="Z144" s="3"/>
      <c r="AA144" s="3"/>
      <c r="AB144" s="3"/>
      <c r="AC144" s="3"/>
      <c r="AD144" s="3"/>
      <c r="AE144" s="2">
        <v>650</v>
      </c>
      <c r="AF144" s="2" t="s">
        <v>252</v>
      </c>
      <c r="AG144" s="2" t="s">
        <v>284</v>
      </c>
      <c r="AH144" s="2" t="s">
        <v>587</v>
      </c>
      <c r="AI144" s="2" t="s">
        <v>255</v>
      </c>
      <c r="AJ144" s="2" t="s">
        <v>277</v>
      </c>
      <c r="AK144" s="2" t="s">
        <v>256</v>
      </c>
      <c r="AL144" s="2" t="s">
        <v>152</v>
      </c>
      <c r="AM144" s="2" t="s">
        <v>286</v>
      </c>
      <c r="AN144" s="3"/>
      <c r="AO144" s="3"/>
    </row>
    <row r="145" spans="1:41" ht="22.5" customHeight="1" x14ac:dyDescent="0.2">
      <c r="A145" s="1">
        <v>45978.465352800922</v>
      </c>
      <c r="B145" s="2" t="s">
        <v>851</v>
      </c>
      <c r="C145" s="2">
        <v>40</v>
      </c>
      <c r="D145" s="2" t="s">
        <v>73</v>
      </c>
      <c r="E145" s="2" t="s">
        <v>43</v>
      </c>
      <c r="F145" s="2" t="s">
        <v>138</v>
      </c>
      <c r="G145" s="2" t="s">
        <v>109</v>
      </c>
      <c r="H145" s="2">
        <v>5</v>
      </c>
      <c r="I145" s="2">
        <v>2</v>
      </c>
      <c r="J145" s="2" t="s">
        <v>246</v>
      </c>
      <c r="K145" s="2" t="s">
        <v>47</v>
      </c>
      <c r="L145" s="3"/>
      <c r="M145" s="2" t="s">
        <v>291</v>
      </c>
      <c r="N145" s="3"/>
      <c r="O145" s="3"/>
      <c r="P145" s="2" t="s">
        <v>577</v>
      </c>
      <c r="Q145" s="2" t="s">
        <v>406</v>
      </c>
      <c r="R145" s="2" t="s">
        <v>852</v>
      </c>
      <c r="S145" s="3"/>
      <c r="T145" s="3"/>
      <c r="U145" s="3"/>
      <c r="V145" s="2" t="s">
        <v>584</v>
      </c>
      <c r="W145" s="2" t="s">
        <v>248</v>
      </c>
      <c r="X145" s="2" t="s">
        <v>853</v>
      </c>
      <c r="Y145" s="3"/>
      <c r="Z145" s="3"/>
      <c r="AA145" s="3"/>
      <c r="AB145" s="3"/>
      <c r="AC145" s="3"/>
      <c r="AD145" s="3"/>
      <c r="AE145" s="2" t="s">
        <v>854</v>
      </c>
      <c r="AF145" s="2" t="s">
        <v>252</v>
      </c>
      <c r="AG145" s="2" t="s">
        <v>361</v>
      </c>
      <c r="AH145" s="2" t="s">
        <v>387</v>
      </c>
      <c r="AI145" s="2" t="s">
        <v>255</v>
      </c>
      <c r="AJ145" s="2" t="s">
        <v>362</v>
      </c>
      <c r="AK145" s="2" t="s">
        <v>307</v>
      </c>
      <c r="AL145" s="2" t="s">
        <v>68</v>
      </c>
      <c r="AM145" s="3"/>
      <c r="AN145" s="2" t="s">
        <v>259</v>
      </c>
      <c r="AO145" s="2" t="s">
        <v>855</v>
      </c>
    </row>
    <row r="146" spans="1:41" ht="22.5" customHeight="1" x14ac:dyDescent="0.2">
      <c r="A146" s="1">
        <v>45978.467214861113</v>
      </c>
      <c r="B146" s="2" t="s">
        <v>856</v>
      </c>
      <c r="C146" s="2">
        <v>19</v>
      </c>
      <c r="D146" s="2" t="s">
        <v>42</v>
      </c>
      <c r="E146" s="2" t="s">
        <v>43</v>
      </c>
      <c r="F146" s="2" t="s">
        <v>562</v>
      </c>
      <c r="G146" s="3"/>
      <c r="H146" s="2">
        <v>6</v>
      </c>
      <c r="I146" s="2">
        <v>1</v>
      </c>
      <c r="J146" s="2" t="s">
        <v>46</v>
      </c>
      <c r="K146" s="2" t="s">
        <v>47</v>
      </c>
      <c r="L146" s="3"/>
      <c r="M146" s="3"/>
      <c r="N146" s="3"/>
      <c r="O146" s="3"/>
      <c r="P146" s="2">
        <v>5</v>
      </c>
      <c r="Q146" s="2">
        <v>9</v>
      </c>
      <c r="R146" s="2">
        <v>6</v>
      </c>
      <c r="S146" s="3"/>
      <c r="T146" s="3"/>
      <c r="U146" s="3"/>
      <c r="V146" s="3"/>
      <c r="W146" s="3"/>
      <c r="X146" s="3"/>
      <c r="Y146" s="3"/>
      <c r="Z146" s="3"/>
      <c r="AA146" s="3"/>
      <c r="AB146" s="3"/>
      <c r="AC146" s="3"/>
      <c r="AD146" s="3"/>
      <c r="AE146" s="2" t="s">
        <v>532</v>
      </c>
      <c r="AF146" s="2" t="s">
        <v>857</v>
      </c>
      <c r="AG146" s="2" t="s">
        <v>295</v>
      </c>
      <c r="AH146" s="2" t="s">
        <v>349</v>
      </c>
      <c r="AI146" s="2" t="s">
        <v>285</v>
      </c>
      <c r="AJ146" s="2" t="s">
        <v>96</v>
      </c>
      <c r="AK146" s="2" t="s">
        <v>325</v>
      </c>
      <c r="AL146" s="2" t="s">
        <v>257</v>
      </c>
      <c r="AM146" s="2" t="s">
        <v>258</v>
      </c>
      <c r="AN146" s="3"/>
      <c r="AO146" s="2" t="s">
        <v>858</v>
      </c>
    </row>
    <row r="147" spans="1:41" ht="22.5" customHeight="1" x14ac:dyDescent="0.2">
      <c r="A147" s="1">
        <v>45978.469997060187</v>
      </c>
      <c r="B147" s="2" t="s">
        <v>859</v>
      </c>
      <c r="C147" s="2">
        <v>27</v>
      </c>
      <c r="D147" s="2" t="s">
        <v>73</v>
      </c>
      <c r="E147" s="2" t="s">
        <v>58</v>
      </c>
      <c r="F147" s="2" t="s">
        <v>172</v>
      </c>
      <c r="G147" s="2" t="s">
        <v>155</v>
      </c>
      <c r="H147" s="2">
        <v>4</v>
      </c>
      <c r="I147" s="2">
        <v>3</v>
      </c>
      <c r="J147" s="2" t="s">
        <v>435</v>
      </c>
      <c r="K147" s="2" t="s">
        <v>47</v>
      </c>
      <c r="L147" s="3"/>
      <c r="M147" s="2" t="s">
        <v>47</v>
      </c>
      <c r="N147" s="3"/>
      <c r="O147" s="2" t="s">
        <v>353</v>
      </c>
      <c r="P147" s="2">
        <v>2</v>
      </c>
      <c r="Q147" s="2">
        <v>10</v>
      </c>
      <c r="R147" s="2">
        <v>6</v>
      </c>
      <c r="S147" s="3"/>
      <c r="T147" s="3"/>
      <c r="U147" s="3"/>
      <c r="V147" s="2">
        <v>3</v>
      </c>
      <c r="W147" s="2">
        <v>30</v>
      </c>
      <c r="X147" s="2">
        <v>35</v>
      </c>
      <c r="Y147" s="3"/>
      <c r="Z147" s="3"/>
      <c r="AA147" s="3"/>
      <c r="AB147" s="2" t="s">
        <v>860</v>
      </c>
      <c r="AC147" s="2">
        <v>12</v>
      </c>
      <c r="AD147" s="2">
        <v>1</v>
      </c>
      <c r="AE147" s="2" t="s">
        <v>475</v>
      </c>
      <c r="AF147" s="2" t="s">
        <v>276</v>
      </c>
      <c r="AG147" s="2" t="s">
        <v>253</v>
      </c>
      <c r="AH147" s="2" t="s">
        <v>50</v>
      </c>
      <c r="AI147" s="2" t="s">
        <v>559</v>
      </c>
      <c r="AJ147" s="2" t="s">
        <v>362</v>
      </c>
      <c r="AK147" s="2" t="s">
        <v>307</v>
      </c>
      <c r="AL147" s="2" t="s">
        <v>152</v>
      </c>
      <c r="AM147" s="2" t="s">
        <v>363</v>
      </c>
      <c r="AN147" s="3"/>
      <c r="AO147" s="2" t="s">
        <v>861</v>
      </c>
    </row>
    <row r="148" spans="1:41" ht="22.5" customHeight="1" x14ac:dyDescent="0.2">
      <c r="A148" s="1">
        <v>45978.471796770835</v>
      </c>
      <c r="B148" s="2" t="s">
        <v>862</v>
      </c>
      <c r="C148" s="2">
        <v>31</v>
      </c>
      <c r="D148" s="2" t="s">
        <v>73</v>
      </c>
      <c r="E148" s="2" t="s">
        <v>58</v>
      </c>
      <c r="F148" s="2" t="s">
        <v>74</v>
      </c>
      <c r="G148" s="2" t="s">
        <v>45</v>
      </c>
      <c r="H148" s="2">
        <v>3</v>
      </c>
      <c r="I148" s="2">
        <v>1</v>
      </c>
      <c r="J148" s="2" t="s">
        <v>46</v>
      </c>
      <c r="K148" s="2" t="s">
        <v>47</v>
      </c>
      <c r="L148" s="3"/>
      <c r="M148" s="3"/>
      <c r="N148" s="3"/>
      <c r="O148" s="3"/>
      <c r="P148" s="2">
        <v>4</v>
      </c>
      <c r="Q148" s="2" t="s">
        <v>65</v>
      </c>
      <c r="R148" s="2" t="s">
        <v>237</v>
      </c>
      <c r="S148" s="3"/>
      <c r="T148" s="3"/>
      <c r="U148" s="3"/>
      <c r="V148" s="3"/>
      <c r="W148" s="3"/>
      <c r="X148" s="3"/>
      <c r="Y148" s="3"/>
      <c r="Z148" s="3"/>
      <c r="AA148" s="3"/>
      <c r="AB148" s="3"/>
      <c r="AC148" s="3"/>
      <c r="AD148" s="3"/>
      <c r="AE148" s="2" t="s">
        <v>863</v>
      </c>
      <c r="AF148" s="2" t="s">
        <v>323</v>
      </c>
      <c r="AG148" s="2" t="s">
        <v>295</v>
      </c>
      <c r="AH148" s="2" t="s">
        <v>302</v>
      </c>
      <c r="AI148" s="2" t="s">
        <v>255</v>
      </c>
      <c r="AJ148" s="2" t="s">
        <v>85</v>
      </c>
      <c r="AK148" s="2" t="s">
        <v>256</v>
      </c>
      <c r="AL148" s="2" t="s">
        <v>257</v>
      </c>
      <c r="AM148" s="3"/>
      <c r="AN148" s="2" t="s">
        <v>460</v>
      </c>
      <c r="AO148" s="2" t="s">
        <v>864</v>
      </c>
    </row>
    <row r="149" spans="1:41" ht="22.5" customHeight="1" x14ac:dyDescent="0.2">
      <c r="A149" s="1">
        <v>45978.473506562499</v>
      </c>
      <c r="B149" s="2" t="s">
        <v>865</v>
      </c>
      <c r="C149" s="2">
        <v>26</v>
      </c>
      <c r="D149" s="2" t="s">
        <v>42</v>
      </c>
      <c r="E149" s="2" t="s">
        <v>58</v>
      </c>
      <c r="F149" s="2" t="s">
        <v>562</v>
      </c>
      <c r="G149" s="2" t="s">
        <v>89</v>
      </c>
      <c r="H149" s="2">
        <v>4</v>
      </c>
      <c r="I149" s="2">
        <v>1</v>
      </c>
      <c r="J149" s="2" t="s">
        <v>100</v>
      </c>
      <c r="K149" s="3"/>
      <c r="L149" s="2" t="s">
        <v>47</v>
      </c>
      <c r="M149" s="3"/>
      <c r="N149" s="3"/>
      <c r="O149" s="3"/>
      <c r="P149" s="3"/>
      <c r="Q149" s="3"/>
      <c r="R149" s="3"/>
      <c r="S149" s="2">
        <v>3</v>
      </c>
      <c r="T149" s="2">
        <v>8</v>
      </c>
      <c r="U149" s="2">
        <v>5</v>
      </c>
      <c r="V149" s="3"/>
      <c r="W149" s="3"/>
      <c r="X149" s="3"/>
      <c r="Y149" s="3"/>
      <c r="Z149" s="3"/>
      <c r="AA149" s="3"/>
      <c r="AB149" s="3"/>
      <c r="AC149" s="3"/>
      <c r="AD149" s="3"/>
      <c r="AE149" s="2" t="s">
        <v>866</v>
      </c>
      <c r="AF149" s="2" t="s">
        <v>159</v>
      </c>
      <c r="AG149" s="2" t="s">
        <v>284</v>
      </c>
      <c r="AH149" s="2" t="s">
        <v>587</v>
      </c>
      <c r="AI149" s="2" t="s">
        <v>344</v>
      </c>
      <c r="AJ149" s="2" t="s">
        <v>277</v>
      </c>
      <c r="AK149" s="2" t="s">
        <v>335</v>
      </c>
      <c r="AL149" s="2" t="s">
        <v>152</v>
      </c>
      <c r="AM149" s="2" t="s">
        <v>286</v>
      </c>
      <c r="AN149" s="3"/>
      <c r="AO149" s="2" t="s">
        <v>867</v>
      </c>
    </row>
    <row r="150" spans="1:41" ht="22.5" customHeight="1" x14ac:dyDescent="0.2">
      <c r="A150" s="1">
        <v>45978.485816805551</v>
      </c>
      <c r="B150" s="2" t="s">
        <v>868</v>
      </c>
      <c r="C150" s="2">
        <v>31</v>
      </c>
      <c r="D150" s="2" t="s">
        <v>42</v>
      </c>
      <c r="E150" s="2" t="s">
        <v>43</v>
      </c>
      <c r="F150" s="2" t="s">
        <v>144</v>
      </c>
      <c r="G150" s="2" t="s">
        <v>89</v>
      </c>
      <c r="H150" s="2">
        <v>5</v>
      </c>
      <c r="I150" s="2">
        <v>1</v>
      </c>
      <c r="J150" s="2" t="s">
        <v>46</v>
      </c>
      <c r="K150" s="2" t="s">
        <v>47</v>
      </c>
      <c r="L150" s="3"/>
      <c r="M150" s="3"/>
      <c r="N150" s="3"/>
      <c r="O150" s="3"/>
      <c r="P150" s="2" t="s">
        <v>869</v>
      </c>
      <c r="Q150" s="2" t="s">
        <v>113</v>
      </c>
      <c r="R150" s="2" t="s">
        <v>652</v>
      </c>
      <c r="S150" s="3"/>
      <c r="T150" s="3"/>
      <c r="U150" s="3"/>
      <c r="V150" s="3"/>
      <c r="W150" s="3"/>
      <c r="X150" s="3"/>
      <c r="Y150" s="3"/>
      <c r="Z150" s="3"/>
      <c r="AA150" s="3"/>
      <c r="AB150" s="3"/>
      <c r="AC150" s="3"/>
      <c r="AD150" s="3"/>
      <c r="AE150" s="2" t="s">
        <v>870</v>
      </c>
      <c r="AF150" s="2" t="s">
        <v>159</v>
      </c>
      <c r="AG150" s="2" t="s">
        <v>284</v>
      </c>
      <c r="AH150" s="2" t="s">
        <v>103</v>
      </c>
      <c r="AI150" s="2" t="s">
        <v>344</v>
      </c>
      <c r="AJ150" s="2" t="s">
        <v>96</v>
      </c>
      <c r="AK150" s="2" t="s">
        <v>256</v>
      </c>
      <c r="AL150" s="2" t="s">
        <v>68</v>
      </c>
      <c r="AM150" s="3"/>
      <c r="AN150" s="2" t="s">
        <v>460</v>
      </c>
      <c r="AO150" s="2" t="s">
        <v>871</v>
      </c>
    </row>
    <row r="151" spans="1:41" ht="22.5" customHeight="1" x14ac:dyDescent="0.2">
      <c r="A151" s="6">
        <v>45978.748421006945</v>
      </c>
      <c r="B151" s="7" t="s">
        <v>872</v>
      </c>
      <c r="C151" s="7">
        <v>25</v>
      </c>
      <c r="D151" s="7" t="s">
        <v>73</v>
      </c>
      <c r="E151" s="7" t="s">
        <v>43</v>
      </c>
      <c r="F151" s="7" t="s">
        <v>172</v>
      </c>
      <c r="G151" s="7" t="s">
        <v>89</v>
      </c>
      <c r="H151" s="7">
        <v>5</v>
      </c>
      <c r="J151" s="7" t="s">
        <v>46</v>
      </c>
      <c r="K151" s="7" t="s">
        <v>47</v>
      </c>
      <c r="P151" s="7">
        <v>10</v>
      </c>
      <c r="Q151" s="7">
        <v>50</v>
      </c>
      <c r="R151" s="7">
        <v>3000</v>
      </c>
      <c r="S151" s="7">
        <v>1</v>
      </c>
      <c r="T151" s="7">
        <v>20</v>
      </c>
      <c r="U151" s="7">
        <v>1500</v>
      </c>
      <c r="V151" s="7">
        <v>1</v>
      </c>
      <c r="W151" s="7">
        <v>100</v>
      </c>
      <c r="X151" s="7">
        <v>5000</v>
      </c>
      <c r="Y151" s="7">
        <v>1</v>
      </c>
      <c r="Z151" s="7">
        <v>50</v>
      </c>
      <c r="AA151" s="7">
        <v>5000</v>
      </c>
      <c r="AE151" s="7">
        <v>20000</v>
      </c>
      <c r="AF151" s="7" t="s">
        <v>252</v>
      </c>
      <c r="AG151" s="7" t="s">
        <v>253</v>
      </c>
      <c r="AH151" s="7">
        <v>10</v>
      </c>
      <c r="AI151" s="7" t="s">
        <v>559</v>
      </c>
      <c r="AJ151" s="7" t="s">
        <v>54</v>
      </c>
      <c r="AK151" s="7" t="s">
        <v>265</v>
      </c>
      <c r="AL151" s="7" t="s">
        <v>68</v>
      </c>
      <c r="AM151" s="7" t="s">
        <v>258</v>
      </c>
      <c r="AN151" s="7" t="s">
        <v>460</v>
      </c>
      <c r="AO151" s="7" t="s">
        <v>68</v>
      </c>
    </row>
    <row r="152" spans="1:41" ht="22.5" customHeight="1" x14ac:dyDescent="0.2">
      <c r="A152" s="6">
        <v>45978.771607372684</v>
      </c>
      <c r="B152" s="7" t="s">
        <v>873</v>
      </c>
      <c r="C152" s="7">
        <v>50</v>
      </c>
      <c r="D152" s="7" t="s">
        <v>73</v>
      </c>
      <c r="E152" s="7" t="s">
        <v>43</v>
      </c>
      <c r="F152" s="7" t="s">
        <v>172</v>
      </c>
      <c r="G152" s="7" t="s">
        <v>182</v>
      </c>
      <c r="H152" s="7">
        <v>4</v>
      </c>
      <c r="I152" s="7">
        <v>1</v>
      </c>
      <c r="J152" s="7" t="s">
        <v>46</v>
      </c>
      <c r="K152" s="7" t="s">
        <v>47</v>
      </c>
      <c r="P152" s="7" t="s">
        <v>874</v>
      </c>
      <c r="Q152" s="7">
        <v>50</v>
      </c>
      <c r="R152" s="7" t="s">
        <v>301</v>
      </c>
      <c r="AE152" s="7">
        <v>3000</v>
      </c>
      <c r="AF152" s="7" t="s">
        <v>252</v>
      </c>
      <c r="AG152" s="7" t="s">
        <v>253</v>
      </c>
      <c r="AH152" s="7" t="s">
        <v>248</v>
      </c>
      <c r="AI152" s="7" t="s">
        <v>559</v>
      </c>
      <c r="AJ152" s="7" t="s">
        <v>54</v>
      </c>
      <c r="AK152" s="7" t="s">
        <v>256</v>
      </c>
      <c r="AL152" s="7" t="s">
        <v>68</v>
      </c>
      <c r="AN152" s="7" t="s">
        <v>259</v>
      </c>
      <c r="AO152" s="7" t="s">
        <v>875</v>
      </c>
    </row>
    <row r="153" spans="1:41" ht="22.5" customHeight="1" x14ac:dyDescent="0.2">
      <c r="A153" s="6">
        <v>45978.931192766206</v>
      </c>
      <c r="B153" s="7" t="s">
        <v>876</v>
      </c>
      <c r="C153" s="7">
        <v>34</v>
      </c>
      <c r="D153" s="7" t="s">
        <v>73</v>
      </c>
      <c r="E153" s="7" t="s">
        <v>43</v>
      </c>
      <c r="F153" s="7" t="s">
        <v>877</v>
      </c>
      <c r="G153" s="7" t="s">
        <v>89</v>
      </c>
      <c r="H153" s="7">
        <v>4</v>
      </c>
      <c r="I153" s="7">
        <v>1</v>
      </c>
      <c r="J153" s="7" t="s">
        <v>46</v>
      </c>
      <c r="K153" s="7" t="s">
        <v>47</v>
      </c>
      <c r="P153" s="7">
        <v>12</v>
      </c>
      <c r="Q153" s="7">
        <v>14</v>
      </c>
      <c r="R153" s="7">
        <v>3000</v>
      </c>
      <c r="AF153" s="7" t="s">
        <v>159</v>
      </c>
      <c r="AG153" s="7" t="s">
        <v>284</v>
      </c>
      <c r="AK153" s="7" t="s">
        <v>307</v>
      </c>
    </row>
    <row r="154" spans="1:41" ht="22.5" customHeight="1" x14ac:dyDescent="0.2">
      <c r="A154" s="6">
        <v>45983.775726458334</v>
      </c>
      <c r="B154" s="7" t="s">
        <v>878</v>
      </c>
      <c r="C154" s="7">
        <v>27</v>
      </c>
      <c r="D154" s="7" t="s">
        <v>73</v>
      </c>
      <c r="E154" s="7" t="s">
        <v>43</v>
      </c>
      <c r="F154" s="7" t="s">
        <v>172</v>
      </c>
      <c r="G154" s="7" t="s">
        <v>45</v>
      </c>
      <c r="H154" s="7">
        <v>6</v>
      </c>
      <c r="I154" s="7">
        <v>2</v>
      </c>
      <c r="J154" s="7" t="s">
        <v>246</v>
      </c>
      <c r="K154" s="7" t="s">
        <v>47</v>
      </c>
      <c r="M154" s="7" t="s">
        <v>291</v>
      </c>
      <c r="P154" s="7" t="s">
        <v>457</v>
      </c>
      <c r="Q154" s="7" t="s">
        <v>879</v>
      </c>
      <c r="R154" s="7" t="s">
        <v>425</v>
      </c>
      <c r="V154" s="7" t="s">
        <v>227</v>
      </c>
      <c r="W154" s="7" t="s">
        <v>880</v>
      </c>
      <c r="X154" s="7" t="s">
        <v>881</v>
      </c>
      <c r="AE154" s="7">
        <v>5600</v>
      </c>
      <c r="AF154" s="7" t="s">
        <v>252</v>
      </c>
      <c r="AG154" s="7" t="s">
        <v>253</v>
      </c>
      <c r="AH154" s="7" t="s">
        <v>448</v>
      </c>
      <c r="AI154" s="7" t="s">
        <v>559</v>
      </c>
      <c r="AJ154" s="7" t="s">
        <v>85</v>
      </c>
      <c r="AK154" s="7" t="s">
        <v>256</v>
      </c>
      <c r="AL154" s="7" t="s">
        <v>257</v>
      </c>
      <c r="AM154" s="7" t="s">
        <v>278</v>
      </c>
    </row>
    <row r="155" spans="1:41" ht="22.5" customHeight="1" x14ac:dyDescent="0.2">
      <c r="A155" s="6">
        <v>45983.777633321763</v>
      </c>
      <c r="B155" s="7" t="s">
        <v>882</v>
      </c>
      <c r="C155" s="7">
        <v>23</v>
      </c>
      <c r="D155" s="7" t="s">
        <v>42</v>
      </c>
      <c r="E155" s="7" t="s">
        <v>58</v>
      </c>
      <c r="F155" s="7" t="s">
        <v>562</v>
      </c>
      <c r="G155" s="7" t="s">
        <v>182</v>
      </c>
      <c r="H155" s="7">
        <v>3</v>
      </c>
      <c r="I155" s="7">
        <v>1</v>
      </c>
      <c r="J155" s="7" t="s">
        <v>100</v>
      </c>
      <c r="L155" s="7" t="s">
        <v>47</v>
      </c>
      <c r="S155" s="7" t="s">
        <v>400</v>
      </c>
      <c r="T155" s="7" t="s">
        <v>850</v>
      </c>
      <c r="U155" s="7" t="s">
        <v>883</v>
      </c>
      <c r="AE155" s="7">
        <v>580</v>
      </c>
      <c r="AF155" s="7" t="s">
        <v>159</v>
      </c>
      <c r="AG155" s="7" t="s">
        <v>284</v>
      </c>
      <c r="AH155" s="7" t="s">
        <v>884</v>
      </c>
      <c r="AI155" s="7" t="s">
        <v>285</v>
      </c>
      <c r="AJ155" s="7" t="s">
        <v>96</v>
      </c>
      <c r="AK155" s="7" t="s">
        <v>325</v>
      </c>
      <c r="AL155" s="7" t="s">
        <v>152</v>
      </c>
      <c r="AM155" s="7" t="s">
        <v>258</v>
      </c>
    </row>
    <row r="156" spans="1:41" ht="22.5" customHeight="1" x14ac:dyDescent="0.2">
      <c r="A156" s="6">
        <v>45983.779903634262</v>
      </c>
      <c r="B156" s="7" t="s">
        <v>885</v>
      </c>
      <c r="C156" s="7">
        <v>31</v>
      </c>
      <c r="D156" s="7" t="s">
        <v>73</v>
      </c>
      <c r="E156" s="7" t="s">
        <v>58</v>
      </c>
      <c r="F156" s="7" t="s">
        <v>74</v>
      </c>
      <c r="G156" s="7" t="s">
        <v>60</v>
      </c>
      <c r="H156" s="7">
        <v>4</v>
      </c>
      <c r="I156" s="7">
        <v>2</v>
      </c>
      <c r="J156" s="7" t="s">
        <v>246</v>
      </c>
      <c r="K156" s="7" t="s">
        <v>47</v>
      </c>
      <c r="M156" s="7" t="s">
        <v>47</v>
      </c>
      <c r="P156" s="7" t="s">
        <v>347</v>
      </c>
      <c r="Q156" s="7" t="s">
        <v>832</v>
      </c>
      <c r="R156" s="7" t="s">
        <v>886</v>
      </c>
      <c r="V156" s="7" t="s">
        <v>384</v>
      </c>
      <c r="W156" s="7" t="s">
        <v>887</v>
      </c>
      <c r="X156" s="7" t="s">
        <v>888</v>
      </c>
      <c r="AE156" s="7">
        <v>7100</v>
      </c>
      <c r="AF156" s="7" t="s">
        <v>323</v>
      </c>
      <c r="AG156" s="7" t="s">
        <v>317</v>
      </c>
      <c r="AH156" s="7" t="s">
        <v>889</v>
      </c>
      <c r="AI156" s="7" t="s">
        <v>255</v>
      </c>
      <c r="AJ156" s="7" t="s">
        <v>85</v>
      </c>
      <c r="AK156" s="7" t="s">
        <v>256</v>
      </c>
      <c r="AL156" s="7" t="s">
        <v>68</v>
      </c>
      <c r="AN156" s="7" t="s">
        <v>259</v>
      </c>
    </row>
    <row r="157" spans="1:41" ht="22.5" customHeight="1" x14ac:dyDescent="0.2">
      <c r="A157" s="6">
        <v>45983.781205451392</v>
      </c>
      <c r="B157" s="7" t="s">
        <v>890</v>
      </c>
      <c r="C157" s="7">
        <v>25</v>
      </c>
      <c r="D157" s="7" t="s">
        <v>42</v>
      </c>
      <c r="E157" s="7" t="s">
        <v>43</v>
      </c>
      <c r="F157" s="7" t="s">
        <v>74</v>
      </c>
      <c r="G157" s="7" t="s">
        <v>89</v>
      </c>
      <c r="H157" s="7">
        <v>5</v>
      </c>
      <c r="I157" s="7">
        <v>1</v>
      </c>
      <c r="J157" s="7" t="s">
        <v>100</v>
      </c>
      <c r="L157" s="7" t="s">
        <v>47</v>
      </c>
      <c r="S157" s="7" t="s">
        <v>491</v>
      </c>
      <c r="T157" s="7" t="s">
        <v>409</v>
      </c>
      <c r="U157" s="7" t="s">
        <v>493</v>
      </c>
      <c r="AE157" s="7">
        <v>650</v>
      </c>
      <c r="AF157" s="7" t="s">
        <v>252</v>
      </c>
      <c r="AG157" s="7" t="s">
        <v>361</v>
      </c>
      <c r="AH157" s="7" t="s">
        <v>349</v>
      </c>
      <c r="AI157" s="7" t="s">
        <v>255</v>
      </c>
      <c r="AJ157" s="7" t="s">
        <v>277</v>
      </c>
      <c r="AK157" s="7" t="s">
        <v>335</v>
      </c>
      <c r="AL157" s="7" t="s">
        <v>152</v>
      </c>
      <c r="AM157" s="7" t="s">
        <v>286</v>
      </c>
    </row>
    <row r="158" spans="1:41" ht="22.5" customHeight="1" x14ac:dyDescent="0.2">
      <c r="A158" s="6">
        <v>45983.782723472221</v>
      </c>
      <c r="B158" s="7" t="s">
        <v>891</v>
      </c>
      <c r="C158" s="7">
        <v>48</v>
      </c>
      <c r="D158" s="7" t="s">
        <v>73</v>
      </c>
      <c r="E158" s="7" t="s">
        <v>43</v>
      </c>
      <c r="F158" s="7" t="s">
        <v>44</v>
      </c>
      <c r="G158" s="7" t="s">
        <v>89</v>
      </c>
      <c r="H158" s="7">
        <v>7</v>
      </c>
      <c r="I158" s="7">
        <v>2</v>
      </c>
      <c r="J158" s="7" t="s">
        <v>290</v>
      </c>
      <c r="K158" s="7" t="s">
        <v>47</v>
      </c>
      <c r="N158" s="7" t="s">
        <v>291</v>
      </c>
      <c r="P158" s="7" t="s">
        <v>227</v>
      </c>
      <c r="Q158" s="7" t="s">
        <v>406</v>
      </c>
      <c r="R158" s="7" t="s">
        <v>785</v>
      </c>
      <c r="Y158" s="7" t="s">
        <v>792</v>
      </c>
      <c r="Z158" s="7" t="s">
        <v>385</v>
      </c>
      <c r="AA158" s="7" t="s">
        <v>495</v>
      </c>
      <c r="AE158" s="7">
        <v>5200</v>
      </c>
      <c r="AF158" s="7" t="s">
        <v>252</v>
      </c>
      <c r="AG158" s="7" t="s">
        <v>295</v>
      </c>
      <c r="AH158" s="7" t="s">
        <v>50</v>
      </c>
      <c r="AI158" s="7" t="s">
        <v>296</v>
      </c>
      <c r="AJ158" s="7" t="s">
        <v>85</v>
      </c>
      <c r="AK158" s="7" t="s">
        <v>256</v>
      </c>
      <c r="AL158" s="7" t="s">
        <v>68</v>
      </c>
      <c r="AN158" s="7" t="s">
        <v>259</v>
      </c>
    </row>
    <row r="159" spans="1:41" ht="22.5" customHeight="1" x14ac:dyDescent="0.2">
      <c r="A159" s="6">
        <v>45983.783826354163</v>
      </c>
      <c r="B159" s="7" t="s">
        <v>892</v>
      </c>
      <c r="C159" s="7">
        <v>28</v>
      </c>
      <c r="D159" s="7" t="s">
        <v>42</v>
      </c>
      <c r="E159" s="7" t="s">
        <v>58</v>
      </c>
      <c r="F159" s="7" t="s">
        <v>144</v>
      </c>
      <c r="G159" s="7" t="s">
        <v>182</v>
      </c>
      <c r="H159" s="7">
        <v>4</v>
      </c>
      <c r="I159" s="7">
        <v>1</v>
      </c>
      <c r="J159" s="7" t="s">
        <v>100</v>
      </c>
      <c r="L159" s="7" t="s">
        <v>47</v>
      </c>
      <c r="S159" s="7" t="s">
        <v>384</v>
      </c>
      <c r="T159" s="7" t="s">
        <v>349</v>
      </c>
      <c r="U159" s="7" t="s">
        <v>893</v>
      </c>
      <c r="AE159" s="7">
        <v>500</v>
      </c>
      <c r="AF159" s="7" t="s">
        <v>159</v>
      </c>
      <c r="AG159" s="7" t="s">
        <v>284</v>
      </c>
      <c r="AH159" s="7" t="s">
        <v>587</v>
      </c>
      <c r="AI159" s="7" t="s">
        <v>344</v>
      </c>
      <c r="AJ159" s="7" t="s">
        <v>277</v>
      </c>
      <c r="AK159" s="7" t="s">
        <v>335</v>
      </c>
      <c r="AL159" s="7" t="s">
        <v>152</v>
      </c>
      <c r="AM159" s="7" t="s">
        <v>278</v>
      </c>
    </row>
    <row r="160" spans="1:41" ht="22.5" customHeight="1" x14ac:dyDescent="0.2">
      <c r="A160" s="6">
        <v>45983.788795868051</v>
      </c>
      <c r="B160" s="7" t="s">
        <v>894</v>
      </c>
      <c r="C160" s="7">
        <v>30</v>
      </c>
      <c r="D160" s="7" t="s">
        <v>73</v>
      </c>
      <c r="E160" s="7" t="s">
        <v>58</v>
      </c>
      <c r="F160" s="7" t="s">
        <v>172</v>
      </c>
      <c r="G160" s="7" t="s">
        <v>155</v>
      </c>
      <c r="H160" s="7">
        <v>3</v>
      </c>
      <c r="I160" s="7">
        <v>3</v>
      </c>
      <c r="J160" s="7" t="s">
        <v>435</v>
      </c>
      <c r="K160" s="7" t="s">
        <v>47</v>
      </c>
      <c r="M160" s="7" t="s">
        <v>47</v>
      </c>
      <c r="O160" s="7" t="s">
        <v>353</v>
      </c>
      <c r="P160" s="7" t="s">
        <v>384</v>
      </c>
      <c r="Q160" s="7" t="s">
        <v>65</v>
      </c>
      <c r="R160" s="7" t="s">
        <v>348</v>
      </c>
      <c r="V160" s="7" t="s">
        <v>347</v>
      </c>
      <c r="W160" s="7" t="s">
        <v>494</v>
      </c>
      <c r="X160" s="7" t="s">
        <v>895</v>
      </c>
      <c r="AB160" s="7" t="s">
        <v>896</v>
      </c>
      <c r="AC160" s="7" t="s">
        <v>145</v>
      </c>
      <c r="AD160" s="7" t="s">
        <v>384</v>
      </c>
      <c r="AE160" s="7">
        <v>10200</v>
      </c>
      <c r="AF160" s="7" t="s">
        <v>276</v>
      </c>
      <c r="AG160" s="7" t="s">
        <v>253</v>
      </c>
      <c r="AH160" s="7" t="s">
        <v>145</v>
      </c>
      <c r="AI160" s="7" t="s">
        <v>559</v>
      </c>
      <c r="AJ160" s="7" t="s">
        <v>362</v>
      </c>
      <c r="AK160" s="7" t="s">
        <v>307</v>
      </c>
      <c r="AL160" s="7" t="s">
        <v>152</v>
      </c>
      <c r="AM160" s="7" t="s">
        <v>363</v>
      </c>
    </row>
    <row r="161" spans="1:41" ht="22.5" customHeight="1" x14ac:dyDescent="0.2">
      <c r="A161" s="6">
        <v>45983.789895648151</v>
      </c>
      <c r="B161" s="7" t="s">
        <v>897</v>
      </c>
      <c r="C161" s="7">
        <v>19</v>
      </c>
      <c r="D161" s="7" t="s">
        <v>42</v>
      </c>
      <c r="E161" s="7" t="s">
        <v>58</v>
      </c>
      <c r="F161" s="7" t="s">
        <v>562</v>
      </c>
      <c r="G161" s="7" t="s">
        <v>182</v>
      </c>
      <c r="H161" s="7">
        <v>5</v>
      </c>
      <c r="I161" s="7">
        <v>1</v>
      </c>
      <c r="J161" s="7" t="s">
        <v>46</v>
      </c>
      <c r="K161" s="7" t="s">
        <v>47</v>
      </c>
      <c r="P161" s="7" t="s">
        <v>836</v>
      </c>
      <c r="Q161" s="7" t="s">
        <v>50</v>
      </c>
      <c r="R161" s="7" t="s">
        <v>383</v>
      </c>
      <c r="AE161" s="7">
        <v>720</v>
      </c>
      <c r="AF161" s="7" t="s">
        <v>323</v>
      </c>
      <c r="AG161" s="7" t="s">
        <v>295</v>
      </c>
      <c r="AH161" s="7" t="s">
        <v>815</v>
      </c>
      <c r="AI161" s="7" t="s">
        <v>285</v>
      </c>
      <c r="AJ161" s="7" t="s">
        <v>96</v>
      </c>
      <c r="AK161" s="7" t="s">
        <v>256</v>
      </c>
      <c r="AL161" s="7" t="s">
        <v>257</v>
      </c>
      <c r="AM161" s="7" t="s">
        <v>401</v>
      </c>
    </row>
    <row r="162" spans="1:41" ht="22.5" customHeight="1" x14ac:dyDescent="0.2">
      <c r="A162" s="6">
        <v>45983.791119953705</v>
      </c>
      <c r="B162" s="7" t="s">
        <v>898</v>
      </c>
      <c r="C162" s="7">
        <v>34</v>
      </c>
      <c r="D162" s="7" t="s">
        <v>73</v>
      </c>
      <c r="E162" s="7" t="s">
        <v>43</v>
      </c>
      <c r="F162" s="7" t="s">
        <v>339</v>
      </c>
      <c r="G162" s="7" t="s">
        <v>89</v>
      </c>
      <c r="H162" s="7">
        <v>6</v>
      </c>
      <c r="I162" s="7">
        <v>1</v>
      </c>
      <c r="J162" s="7" t="s">
        <v>46</v>
      </c>
      <c r="K162" s="7" t="s">
        <v>47</v>
      </c>
      <c r="P162" s="7" t="s">
        <v>426</v>
      </c>
      <c r="Q162" s="7" t="s">
        <v>393</v>
      </c>
      <c r="R162" s="7" t="s">
        <v>899</v>
      </c>
      <c r="AE162" s="7">
        <v>900</v>
      </c>
      <c r="AF162" s="7" t="s">
        <v>857</v>
      </c>
      <c r="AG162" s="7" t="s">
        <v>295</v>
      </c>
      <c r="AH162" s="7" t="s">
        <v>282</v>
      </c>
      <c r="AI162" s="7" t="s">
        <v>724</v>
      </c>
      <c r="AJ162" s="7" t="s">
        <v>277</v>
      </c>
      <c r="AK162" s="7" t="s">
        <v>256</v>
      </c>
      <c r="AL162" s="7" t="s">
        <v>68</v>
      </c>
      <c r="AN162" s="7" t="s">
        <v>460</v>
      </c>
    </row>
    <row r="163" spans="1:41" ht="22.5" customHeight="1" x14ac:dyDescent="0.2">
      <c r="A163" s="6">
        <v>45983.792570624995</v>
      </c>
      <c r="B163" s="7" t="s">
        <v>900</v>
      </c>
      <c r="C163" s="7">
        <v>26</v>
      </c>
      <c r="D163" s="7" t="s">
        <v>42</v>
      </c>
      <c r="E163" s="7" t="s">
        <v>58</v>
      </c>
      <c r="F163" s="7" t="s">
        <v>74</v>
      </c>
      <c r="G163" s="7" t="s">
        <v>45</v>
      </c>
      <c r="H163" s="7">
        <v>4</v>
      </c>
      <c r="I163" s="7">
        <v>1</v>
      </c>
      <c r="J163" s="7" t="s">
        <v>100</v>
      </c>
      <c r="L163" s="7" t="s">
        <v>47</v>
      </c>
      <c r="S163" s="7" t="s">
        <v>347</v>
      </c>
      <c r="T163" s="7" t="s">
        <v>393</v>
      </c>
      <c r="U163" s="7" t="s">
        <v>901</v>
      </c>
      <c r="AE163" s="7">
        <v>780</v>
      </c>
      <c r="AF163" s="7" t="s">
        <v>323</v>
      </c>
      <c r="AG163" s="7" t="s">
        <v>284</v>
      </c>
      <c r="AH163" s="7" t="s">
        <v>409</v>
      </c>
      <c r="AI163" s="7" t="s">
        <v>255</v>
      </c>
      <c r="AJ163" s="7" t="s">
        <v>85</v>
      </c>
      <c r="AK163" s="7" t="s">
        <v>335</v>
      </c>
      <c r="AL163" s="7" t="s">
        <v>152</v>
      </c>
      <c r="AM163" s="7" t="s">
        <v>286</v>
      </c>
      <c r="AO163" s="7" t="s">
        <v>902</v>
      </c>
    </row>
    <row r="164" spans="1:41" ht="22.5" customHeight="1" x14ac:dyDescent="0.2">
      <c r="A164" s="6">
        <v>45984.391850439817</v>
      </c>
      <c r="B164" s="7" t="s">
        <v>903</v>
      </c>
      <c r="C164" s="7">
        <v>29</v>
      </c>
      <c r="D164" s="7" t="s">
        <v>73</v>
      </c>
      <c r="E164" s="7" t="s">
        <v>58</v>
      </c>
      <c r="F164" s="7" t="s">
        <v>74</v>
      </c>
      <c r="G164" s="7" t="s">
        <v>45</v>
      </c>
      <c r="H164" s="7">
        <v>5</v>
      </c>
      <c r="I164" s="7">
        <v>2</v>
      </c>
      <c r="J164" s="7" t="s">
        <v>246</v>
      </c>
      <c r="K164" s="7" t="s">
        <v>47</v>
      </c>
      <c r="M164" s="7" t="s">
        <v>47</v>
      </c>
      <c r="P164" s="7" t="s">
        <v>149</v>
      </c>
      <c r="Q164" s="7" t="s">
        <v>889</v>
      </c>
      <c r="R164" s="7" t="s">
        <v>904</v>
      </c>
      <c r="V164" s="7" t="s">
        <v>192</v>
      </c>
      <c r="W164" s="7" t="s">
        <v>610</v>
      </c>
      <c r="X164" s="7" t="s">
        <v>905</v>
      </c>
      <c r="AE164" s="7" t="s">
        <v>663</v>
      </c>
      <c r="AF164" s="7" t="s">
        <v>323</v>
      </c>
      <c r="AG164" s="7" t="s">
        <v>253</v>
      </c>
      <c r="AH164" s="7" t="s">
        <v>592</v>
      </c>
      <c r="AI164" s="7" t="s">
        <v>255</v>
      </c>
      <c r="AJ164" s="7" t="s">
        <v>85</v>
      </c>
      <c r="AK164" s="7" t="s">
        <v>256</v>
      </c>
      <c r="AL164" s="7" t="s">
        <v>257</v>
      </c>
      <c r="AM164" s="7" t="s">
        <v>258</v>
      </c>
      <c r="AO164" s="7" t="s">
        <v>906</v>
      </c>
    </row>
    <row r="165" spans="1:41" ht="22.5" customHeight="1" x14ac:dyDescent="0.2">
      <c r="A165" s="6">
        <v>45984.395163275462</v>
      </c>
      <c r="B165" s="7" t="s">
        <v>907</v>
      </c>
      <c r="C165" s="7">
        <v>22</v>
      </c>
      <c r="D165" s="7" t="s">
        <v>42</v>
      </c>
      <c r="E165" s="7" t="s">
        <v>43</v>
      </c>
      <c r="F165" s="7" t="s">
        <v>562</v>
      </c>
      <c r="G165" s="7" t="s">
        <v>182</v>
      </c>
      <c r="H165" s="7">
        <v>4</v>
      </c>
      <c r="I165" s="7">
        <v>1</v>
      </c>
      <c r="J165" s="7" t="s">
        <v>100</v>
      </c>
      <c r="L165" s="7" t="s">
        <v>47</v>
      </c>
      <c r="S165" s="7" t="s">
        <v>908</v>
      </c>
      <c r="T165" s="7" t="s">
        <v>50</v>
      </c>
      <c r="U165" s="7" t="s">
        <v>493</v>
      </c>
      <c r="AE165" s="7" t="s">
        <v>563</v>
      </c>
      <c r="AF165" s="7" t="s">
        <v>159</v>
      </c>
      <c r="AG165" s="7" t="s">
        <v>284</v>
      </c>
      <c r="AH165" s="7" t="s">
        <v>815</v>
      </c>
      <c r="AI165" s="7" t="s">
        <v>285</v>
      </c>
      <c r="AJ165" s="7" t="s">
        <v>96</v>
      </c>
      <c r="AK165" s="7" t="s">
        <v>325</v>
      </c>
      <c r="AL165" s="7" t="s">
        <v>152</v>
      </c>
      <c r="AM165" s="7" t="s">
        <v>286</v>
      </c>
      <c r="AO165" s="7" t="s">
        <v>909</v>
      </c>
    </row>
    <row r="166" spans="1:41" ht="22.5" customHeight="1" x14ac:dyDescent="0.2">
      <c r="A166" s="6">
        <v>45984.483197754627</v>
      </c>
      <c r="B166" s="7" t="s">
        <v>910</v>
      </c>
      <c r="C166" s="7">
        <v>45</v>
      </c>
      <c r="D166" s="7" t="s">
        <v>73</v>
      </c>
      <c r="E166" s="7" t="s">
        <v>43</v>
      </c>
      <c r="F166" s="7" t="s">
        <v>44</v>
      </c>
      <c r="G166" s="7" t="s">
        <v>45</v>
      </c>
      <c r="H166" s="7">
        <v>6</v>
      </c>
      <c r="I166" s="7">
        <v>2</v>
      </c>
      <c r="J166" s="7" t="s">
        <v>290</v>
      </c>
      <c r="K166" s="7" t="s">
        <v>47</v>
      </c>
      <c r="N166" s="7" t="s">
        <v>291</v>
      </c>
      <c r="P166" s="7">
        <v>7</v>
      </c>
      <c r="Q166" s="7">
        <v>8</v>
      </c>
      <c r="R166" s="7">
        <v>5</v>
      </c>
      <c r="Y166" s="7">
        <v>10</v>
      </c>
      <c r="Z166" s="7">
        <v>55</v>
      </c>
      <c r="AA166" s="7">
        <v>70</v>
      </c>
      <c r="AE166" s="7" t="s">
        <v>911</v>
      </c>
      <c r="AF166" s="7" t="s">
        <v>252</v>
      </c>
      <c r="AG166" s="7" t="s">
        <v>361</v>
      </c>
      <c r="AH166" s="7">
        <v>8</v>
      </c>
      <c r="AI166" s="7" t="s">
        <v>296</v>
      </c>
      <c r="AJ166" s="7" t="s">
        <v>85</v>
      </c>
      <c r="AK166" s="7" t="s">
        <v>256</v>
      </c>
      <c r="AL166" s="7" t="s">
        <v>68</v>
      </c>
      <c r="AN166" s="7" t="s">
        <v>373</v>
      </c>
      <c r="AO166" s="7" t="s">
        <v>912</v>
      </c>
    </row>
    <row r="167" spans="1:41" ht="22.5" customHeight="1" x14ac:dyDescent="0.2">
      <c r="A167" s="6">
        <v>45984.78649510417</v>
      </c>
      <c r="B167" s="7" t="s">
        <v>913</v>
      </c>
      <c r="C167" s="7">
        <v>24</v>
      </c>
      <c r="D167" s="7" t="s">
        <v>42</v>
      </c>
      <c r="E167" s="7" t="s">
        <v>58</v>
      </c>
      <c r="F167" s="7" t="s">
        <v>74</v>
      </c>
      <c r="G167" s="7" t="s">
        <v>89</v>
      </c>
      <c r="H167" s="7">
        <v>3</v>
      </c>
      <c r="I167" s="7">
        <v>1</v>
      </c>
      <c r="J167" s="7" t="s">
        <v>100</v>
      </c>
      <c r="L167" s="7" t="s">
        <v>47</v>
      </c>
      <c r="S167" s="7" t="s">
        <v>497</v>
      </c>
      <c r="T167" s="7" t="s">
        <v>254</v>
      </c>
      <c r="U167" s="7" t="s">
        <v>831</v>
      </c>
      <c r="AE167" s="7" t="s">
        <v>914</v>
      </c>
      <c r="AF167" s="7" t="s">
        <v>276</v>
      </c>
      <c r="AG167" s="7" t="s">
        <v>253</v>
      </c>
      <c r="AH167" s="7" t="s">
        <v>142</v>
      </c>
      <c r="AI167" s="7" t="s">
        <v>255</v>
      </c>
      <c r="AJ167" s="7" t="s">
        <v>277</v>
      </c>
      <c r="AK167" s="7" t="s">
        <v>335</v>
      </c>
      <c r="AL167" s="7" t="s">
        <v>152</v>
      </c>
      <c r="AM167" s="7" t="s">
        <v>258</v>
      </c>
      <c r="AO167" s="7" t="s">
        <v>915</v>
      </c>
    </row>
    <row r="168" spans="1:41" ht="22.5" customHeight="1" x14ac:dyDescent="0.2">
      <c r="A168" s="6">
        <v>45984.791151458332</v>
      </c>
      <c r="B168" s="7" t="s">
        <v>916</v>
      </c>
      <c r="C168" s="7">
        <v>32</v>
      </c>
      <c r="D168" s="7" t="s">
        <v>73</v>
      </c>
      <c r="E168" s="7" t="s">
        <v>58</v>
      </c>
      <c r="F168" s="7" t="s">
        <v>138</v>
      </c>
      <c r="G168" s="7" t="s">
        <v>60</v>
      </c>
      <c r="H168" s="7">
        <v>5</v>
      </c>
      <c r="I168" s="7">
        <v>2</v>
      </c>
      <c r="J168" s="7" t="s">
        <v>246</v>
      </c>
      <c r="K168" s="7" t="s">
        <v>47</v>
      </c>
      <c r="M168" s="7" t="s">
        <v>291</v>
      </c>
      <c r="P168" s="7" t="s">
        <v>395</v>
      </c>
      <c r="Q168" s="7" t="s">
        <v>146</v>
      </c>
      <c r="R168" s="7" t="s">
        <v>917</v>
      </c>
      <c r="V168" s="7" t="s">
        <v>584</v>
      </c>
      <c r="W168" s="7" t="s">
        <v>248</v>
      </c>
      <c r="X168" s="7" t="s">
        <v>238</v>
      </c>
      <c r="AE168" s="7" t="s">
        <v>918</v>
      </c>
      <c r="AF168" s="7" t="s">
        <v>323</v>
      </c>
      <c r="AG168" s="7" t="s">
        <v>295</v>
      </c>
      <c r="AH168" s="7" t="s">
        <v>919</v>
      </c>
      <c r="AI168" s="7" t="s">
        <v>255</v>
      </c>
      <c r="AJ168" s="7" t="s">
        <v>362</v>
      </c>
      <c r="AK168" s="7" t="s">
        <v>307</v>
      </c>
      <c r="AL168" s="7" t="s">
        <v>257</v>
      </c>
      <c r="AM168" s="7" t="s">
        <v>278</v>
      </c>
      <c r="AO168" s="7" t="s">
        <v>920</v>
      </c>
    </row>
    <row r="169" spans="1:41" ht="22.5" customHeight="1" x14ac:dyDescent="0.2">
      <c r="A169" s="6">
        <v>45984.794052094905</v>
      </c>
      <c r="B169" s="7" t="s">
        <v>921</v>
      </c>
      <c r="C169" s="7">
        <v>20</v>
      </c>
      <c r="D169" s="7" t="s">
        <v>42</v>
      </c>
      <c r="E169" s="7" t="s">
        <v>43</v>
      </c>
      <c r="F169" s="7" t="s">
        <v>562</v>
      </c>
      <c r="G169" s="7" t="s">
        <v>182</v>
      </c>
      <c r="H169" s="7">
        <v>6</v>
      </c>
      <c r="I169" s="7">
        <v>1</v>
      </c>
      <c r="J169" s="7" t="s">
        <v>46</v>
      </c>
      <c r="K169" s="7" t="s">
        <v>47</v>
      </c>
      <c r="P169" s="7" t="s">
        <v>497</v>
      </c>
      <c r="Q169" s="7" t="s">
        <v>719</v>
      </c>
      <c r="R169" s="7" t="s">
        <v>831</v>
      </c>
      <c r="AE169" s="7" t="s">
        <v>922</v>
      </c>
      <c r="AF169" s="7" t="s">
        <v>857</v>
      </c>
      <c r="AG169" s="7" t="s">
        <v>295</v>
      </c>
      <c r="AH169" s="7" t="s">
        <v>501</v>
      </c>
      <c r="AI169" s="7" t="s">
        <v>285</v>
      </c>
      <c r="AJ169" s="7" t="s">
        <v>96</v>
      </c>
      <c r="AK169" s="7" t="s">
        <v>256</v>
      </c>
      <c r="AL169" s="7" t="s">
        <v>152</v>
      </c>
      <c r="AM169" s="7" t="s">
        <v>401</v>
      </c>
      <c r="AO169" s="7" t="s">
        <v>923</v>
      </c>
    </row>
    <row r="170" spans="1:41" ht="22.5" customHeight="1" x14ac:dyDescent="0.2">
      <c r="A170" s="6">
        <v>45984.951469930558</v>
      </c>
      <c r="B170" s="7" t="s">
        <v>924</v>
      </c>
      <c r="C170" s="7">
        <v>27</v>
      </c>
      <c r="D170" s="7" t="s">
        <v>73</v>
      </c>
      <c r="E170" s="7" t="s">
        <v>58</v>
      </c>
      <c r="F170" s="7" t="s">
        <v>172</v>
      </c>
      <c r="G170" s="7" t="s">
        <v>155</v>
      </c>
      <c r="H170" s="7">
        <v>4</v>
      </c>
      <c r="I170" s="7">
        <v>3</v>
      </c>
      <c r="J170" s="7" t="s">
        <v>435</v>
      </c>
      <c r="K170" s="7" t="s">
        <v>47</v>
      </c>
      <c r="M170" s="7" t="s">
        <v>47</v>
      </c>
      <c r="O170" s="7" t="s">
        <v>353</v>
      </c>
      <c r="P170" s="7" t="s">
        <v>478</v>
      </c>
      <c r="Q170" s="7" t="s">
        <v>150</v>
      </c>
      <c r="R170" s="7" t="s">
        <v>925</v>
      </c>
      <c r="V170" s="7" t="s">
        <v>478</v>
      </c>
      <c r="W170" s="7" t="s">
        <v>273</v>
      </c>
      <c r="X170" s="7" t="s">
        <v>926</v>
      </c>
      <c r="AB170" s="7" t="s">
        <v>927</v>
      </c>
      <c r="AC170" s="7" t="s">
        <v>142</v>
      </c>
      <c r="AD170" s="7" t="s">
        <v>928</v>
      </c>
      <c r="AE170" s="7" t="s">
        <v>929</v>
      </c>
      <c r="AF170" s="7" t="s">
        <v>276</v>
      </c>
      <c r="AG170" s="7" t="s">
        <v>559</v>
      </c>
      <c r="AH170" s="7" t="s">
        <v>254</v>
      </c>
      <c r="AI170" s="7" t="s">
        <v>559</v>
      </c>
      <c r="AJ170" s="7" t="s">
        <v>362</v>
      </c>
      <c r="AK170" s="7" t="s">
        <v>307</v>
      </c>
      <c r="AL170" s="7" t="s">
        <v>152</v>
      </c>
      <c r="AM170" s="7" t="s">
        <v>363</v>
      </c>
      <c r="AO170" s="7" t="s">
        <v>930</v>
      </c>
    </row>
    <row r="171" spans="1:41" ht="22.5" customHeight="1" x14ac:dyDescent="0.2">
      <c r="A171" s="6">
        <v>45984.95403868056</v>
      </c>
      <c r="B171" s="7" t="s">
        <v>931</v>
      </c>
      <c r="C171" s="7">
        <v>21</v>
      </c>
      <c r="D171" s="7" t="s">
        <v>42</v>
      </c>
      <c r="E171" s="7" t="s">
        <v>58</v>
      </c>
      <c r="F171" s="7" t="s">
        <v>562</v>
      </c>
      <c r="G171" s="7" t="s">
        <v>182</v>
      </c>
      <c r="H171" s="7">
        <v>3</v>
      </c>
      <c r="I171" s="7">
        <v>1</v>
      </c>
      <c r="J171" s="7" t="s">
        <v>100</v>
      </c>
      <c r="L171" s="7" t="s">
        <v>47</v>
      </c>
      <c r="S171" s="7" t="s">
        <v>928</v>
      </c>
      <c r="T171" s="7" t="s">
        <v>501</v>
      </c>
      <c r="U171" s="7" t="s">
        <v>437</v>
      </c>
      <c r="AE171" s="7" t="s">
        <v>532</v>
      </c>
      <c r="AF171" s="7" t="s">
        <v>159</v>
      </c>
      <c r="AG171" s="7" t="s">
        <v>284</v>
      </c>
      <c r="AH171" s="7" t="s">
        <v>239</v>
      </c>
      <c r="AI171" s="7" t="s">
        <v>285</v>
      </c>
      <c r="AJ171" s="7" t="s">
        <v>96</v>
      </c>
      <c r="AK171" s="7" t="s">
        <v>325</v>
      </c>
      <c r="AL171" s="7" t="s">
        <v>152</v>
      </c>
      <c r="AM171" s="7" t="s">
        <v>286</v>
      </c>
      <c r="AO171" s="7" t="s">
        <v>932</v>
      </c>
    </row>
    <row r="172" spans="1:41" ht="22.5" customHeight="1" x14ac:dyDescent="0.2">
      <c r="A172" s="6">
        <v>45984.957305416669</v>
      </c>
      <c r="B172" s="7" t="s">
        <v>933</v>
      </c>
      <c r="C172" s="7">
        <v>34</v>
      </c>
      <c r="D172" s="7" t="s">
        <v>73</v>
      </c>
      <c r="E172" s="7" t="s">
        <v>43</v>
      </c>
      <c r="F172" s="7" t="s">
        <v>339</v>
      </c>
      <c r="G172" s="7" t="s">
        <v>45</v>
      </c>
      <c r="H172" s="7">
        <v>5</v>
      </c>
      <c r="I172" s="7">
        <v>1</v>
      </c>
      <c r="J172" s="7" t="s">
        <v>46</v>
      </c>
      <c r="K172" s="7" t="s">
        <v>47</v>
      </c>
      <c r="P172" s="7" t="s">
        <v>934</v>
      </c>
      <c r="Q172" s="7" t="s">
        <v>254</v>
      </c>
      <c r="R172" s="7" t="s">
        <v>366</v>
      </c>
      <c r="AE172" s="7" t="s">
        <v>935</v>
      </c>
      <c r="AF172" s="7" t="s">
        <v>252</v>
      </c>
      <c r="AG172" s="7" t="s">
        <v>295</v>
      </c>
      <c r="AH172" s="7">
        <v>10</v>
      </c>
      <c r="AI172" s="7" t="s">
        <v>724</v>
      </c>
      <c r="AJ172" s="7" t="s">
        <v>277</v>
      </c>
      <c r="AK172" s="7" t="s">
        <v>256</v>
      </c>
      <c r="AL172" s="7" t="s">
        <v>68</v>
      </c>
      <c r="AN172" s="7" t="s">
        <v>460</v>
      </c>
      <c r="AO172" s="7" t="s">
        <v>936</v>
      </c>
    </row>
    <row r="173" spans="1:41" ht="22.5" customHeight="1" x14ac:dyDescent="0.2">
      <c r="A173" s="6">
        <v>45984.960041354163</v>
      </c>
      <c r="B173" s="7" t="s">
        <v>937</v>
      </c>
      <c r="C173" s="7">
        <v>38</v>
      </c>
      <c r="D173" s="7" t="s">
        <v>42</v>
      </c>
      <c r="E173" s="7" t="s">
        <v>58</v>
      </c>
      <c r="F173" s="7" t="s">
        <v>144</v>
      </c>
      <c r="G173" s="7" t="s">
        <v>89</v>
      </c>
      <c r="H173" s="7">
        <v>4</v>
      </c>
      <c r="I173" s="7">
        <v>1</v>
      </c>
      <c r="J173" s="7" t="s">
        <v>100</v>
      </c>
      <c r="L173" s="7" t="s">
        <v>47</v>
      </c>
      <c r="S173" s="7">
        <v>4</v>
      </c>
      <c r="T173" s="7">
        <v>8</v>
      </c>
      <c r="U173" s="7">
        <v>5</v>
      </c>
      <c r="AE173" s="7" t="s">
        <v>866</v>
      </c>
      <c r="AF173" s="7" t="s">
        <v>323</v>
      </c>
      <c r="AG173" s="7" t="s">
        <v>284</v>
      </c>
      <c r="AH173" s="7">
        <v>5</v>
      </c>
      <c r="AI173" s="7" t="s">
        <v>344</v>
      </c>
      <c r="AJ173" s="7" t="s">
        <v>277</v>
      </c>
      <c r="AK173" s="7" t="s">
        <v>335</v>
      </c>
      <c r="AL173" s="7" t="s">
        <v>152</v>
      </c>
      <c r="AM173" s="7" t="s">
        <v>258</v>
      </c>
      <c r="AO173" s="7" t="s">
        <v>938</v>
      </c>
    </row>
    <row r="174" spans="1:41" ht="22.5" customHeight="1" x14ac:dyDescent="0.2">
      <c r="A174" s="6">
        <v>45989.52165978009</v>
      </c>
      <c r="B174" s="7" t="s">
        <v>939</v>
      </c>
      <c r="C174" s="7">
        <v>25</v>
      </c>
      <c r="D174" s="7" t="s">
        <v>42</v>
      </c>
      <c r="E174" s="7" t="s">
        <v>43</v>
      </c>
      <c r="F174" s="7" t="s">
        <v>138</v>
      </c>
      <c r="G174" s="7" t="s">
        <v>45</v>
      </c>
      <c r="H174" s="7">
        <v>4</v>
      </c>
      <c r="I174" s="7">
        <v>3</v>
      </c>
      <c r="J174" s="7" t="s">
        <v>390</v>
      </c>
      <c r="K174" s="7" t="s">
        <v>47</v>
      </c>
      <c r="L174" s="7" t="s">
        <v>47</v>
      </c>
      <c r="M174" s="7" t="s">
        <v>157</v>
      </c>
      <c r="P174" s="7">
        <v>15</v>
      </c>
      <c r="Q174" s="7">
        <v>5</v>
      </c>
      <c r="R174" s="7" t="s">
        <v>785</v>
      </c>
      <c r="S174" s="7">
        <v>7</v>
      </c>
      <c r="T174" s="7">
        <v>10</v>
      </c>
      <c r="U174" s="7" t="s">
        <v>940</v>
      </c>
      <c r="V174" s="7">
        <v>5</v>
      </c>
      <c r="W174" s="7">
        <v>50</v>
      </c>
      <c r="X174" s="7">
        <v>2400</v>
      </c>
      <c r="AE174" s="7">
        <v>5000</v>
      </c>
      <c r="AF174" s="7" t="s">
        <v>252</v>
      </c>
      <c r="AG174" s="7" t="s">
        <v>631</v>
      </c>
      <c r="AH174" s="7">
        <v>10</v>
      </c>
      <c r="AI174" s="7" t="s">
        <v>285</v>
      </c>
      <c r="AJ174" s="7" t="s">
        <v>85</v>
      </c>
      <c r="AK174" s="7" t="s">
        <v>256</v>
      </c>
      <c r="AL174" s="7" t="s">
        <v>257</v>
      </c>
      <c r="AM174" s="7" t="s">
        <v>286</v>
      </c>
    </row>
    <row r="175" spans="1:41" ht="22.5" customHeight="1" x14ac:dyDescent="0.2">
      <c r="A175" s="6">
        <v>45989.530907638888</v>
      </c>
      <c r="B175" s="7" t="s">
        <v>941</v>
      </c>
      <c r="C175" s="7">
        <v>37</v>
      </c>
      <c r="D175" s="7" t="s">
        <v>42</v>
      </c>
      <c r="E175" s="7" t="s">
        <v>43</v>
      </c>
      <c r="F175" s="7" t="s">
        <v>138</v>
      </c>
      <c r="G175" s="7" t="s">
        <v>89</v>
      </c>
      <c r="H175" s="7">
        <v>4</v>
      </c>
      <c r="I175" s="7">
        <v>2</v>
      </c>
      <c r="J175" s="7" t="s">
        <v>61</v>
      </c>
      <c r="K175" s="7" t="s">
        <v>47</v>
      </c>
      <c r="L175" s="7" t="s">
        <v>47</v>
      </c>
      <c r="P175" s="7">
        <v>15</v>
      </c>
      <c r="Q175" s="7">
        <v>2</v>
      </c>
      <c r="R175" s="7">
        <v>5</v>
      </c>
      <c r="S175" s="7">
        <v>10</v>
      </c>
      <c r="T175" s="7">
        <v>2</v>
      </c>
      <c r="U175" s="7">
        <v>5</v>
      </c>
      <c r="AE175" s="7">
        <v>1000</v>
      </c>
      <c r="AF175" s="7" t="s">
        <v>159</v>
      </c>
      <c r="AG175" s="7" t="s">
        <v>295</v>
      </c>
      <c r="AH175" s="7">
        <v>1</v>
      </c>
      <c r="AI175" s="7" t="s">
        <v>724</v>
      </c>
      <c r="AJ175" s="7" t="s">
        <v>362</v>
      </c>
      <c r="AK175" s="7" t="s">
        <v>307</v>
      </c>
      <c r="AL175" s="7" t="s">
        <v>68</v>
      </c>
      <c r="AN175" s="7" t="s">
        <v>259</v>
      </c>
    </row>
    <row r="176" spans="1:41" ht="22.5" customHeight="1" x14ac:dyDescent="0.2">
      <c r="A176" s="6">
        <v>45989.538981678241</v>
      </c>
      <c r="B176" s="7" t="s">
        <v>942</v>
      </c>
      <c r="C176" s="7">
        <v>20</v>
      </c>
      <c r="D176" s="7" t="s">
        <v>42</v>
      </c>
      <c r="E176" s="7" t="s">
        <v>43</v>
      </c>
      <c r="F176" s="7" t="s">
        <v>44</v>
      </c>
      <c r="G176" s="7" t="s">
        <v>89</v>
      </c>
      <c r="H176" s="7">
        <v>6</v>
      </c>
      <c r="I176" s="7">
        <v>2</v>
      </c>
      <c r="J176" s="7" t="s">
        <v>61</v>
      </c>
      <c r="K176" s="7" t="s">
        <v>47</v>
      </c>
      <c r="P176" s="7">
        <v>15</v>
      </c>
      <c r="Q176" s="7">
        <v>30</v>
      </c>
      <c r="R176" s="7">
        <v>2</v>
      </c>
      <c r="AE176" s="7">
        <v>1000</v>
      </c>
      <c r="AF176" s="7" t="s">
        <v>252</v>
      </c>
      <c r="AG176" s="7" t="s">
        <v>253</v>
      </c>
      <c r="AH176" s="7">
        <v>20</v>
      </c>
      <c r="AI176" s="7" t="s">
        <v>724</v>
      </c>
      <c r="AJ176" s="7" t="s">
        <v>54</v>
      </c>
      <c r="AK176" s="7" t="s">
        <v>256</v>
      </c>
      <c r="AL176" s="7" t="s">
        <v>152</v>
      </c>
      <c r="AM176" s="7" t="s">
        <v>286</v>
      </c>
      <c r="AN176" s="7" t="s">
        <v>684</v>
      </c>
      <c r="AO176" s="7" t="s">
        <v>68</v>
      </c>
    </row>
    <row r="177" spans="1:40" ht="22.5" customHeight="1" x14ac:dyDescent="0.2">
      <c r="A177" s="6">
        <v>45989.792957164347</v>
      </c>
      <c r="B177" s="7" t="s">
        <v>943</v>
      </c>
      <c r="C177" s="7">
        <v>25</v>
      </c>
      <c r="D177" s="7" t="s">
        <v>42</v>
      </c>
      <c r="E177" s="7" t="s">
        <v>43</v>
      </c>
      <c r="F177" s="7" t="s">
        <v>944</v>
      </c>
      <c r="G177" s="7" t="s">
        <v>89</v>
      </c>
      <c r="H177" s="7">
        <v>4</v>
      </c>
      <c r="I177" s="7">
        <v>4</v>
      </c>
      <c r="J177" s="7" t="s">
        <v>390</v>
      </c>
      <c r="K177" s="7" t="s">
        <v>47</v>
      </c>
      <c r="L177" s="7" t="s">
        <v>47</v>
      </c>
      <c r="M177" s="7" t="s">
        <v>47</v>
      </c>
      <c r="P177" s="7" t="s">
        <v>472</v>
      </c>
      <c r="Q177" s="7" t="s">
        <v>945</v>
      </c>
      <c r="R177" s="7" t="s">
        <v>946</v>
      </c>
      <c r="S177" s="7" t="s">
        <v>102</v>
      </c>
      <c r="T177" s="7" t="s">
        <v>947</v>
      </c>
      <c r="U177" s="7" t="s">
        <v>948</v>
      </c>
      <c r="V177" s="7" t="s">
        <v>178</v>
      </c>
      <c r="W177" s="7" t="s">
        <v>949</v>
      </c>
      <c r="X177" s="7" t="s">
        <v>950</v>
      </c>
      <c r="AE177" s="7" t="s">
        <v>951</v>
      </c>
      <c r="AF177" s="7" t="s">
        <v>252</v>
      </c>
      <c r="AG177" s="7" t="s">
        <v>952</v>
      </c>
      <c r="AH177" s="7" t="s">
        <v>177</v>
      </c>
      <c r="AI177" s="7" t="s">
        <v>255</v>
      </c>
      <c r="AJ177" s="7" t="s">
        <v>85</v>
      </c>
      <c r="AK177" s="7" t="s">
        <v>953</v>
      </c>
      <c r="AL177" s="7" t="s">
        <v>152</v>
      </c>
      <c r="AM177" s="7" t="s">
        <v>286</v>
      </c>
    </row>
    <row r="178" spans="1:40" ht="22.5" customHeight="1" x14ac:dyDescent="0.2">
      <c r="A178" s="6">
        <v>45991.518623298616</v>
      </c>
      <c r="B178" s="7" t="s">
        <v>954</v>
      </c>
      <c r="C178" s="7">
        <v>23</v>
      </c>
      <c r="D178" s="7" t="s">
        <v>73</v>
      </c>
      <c r="E178" s="7" t="s">
        <v>43</v>
      </c>
      <c r="F178" s="7" t="s">
        <v>74</v>
      </c>
      <c r="G178" s="7" t="s">
        <v>89</v>
      </c>
      <c r="H178" s="7">
        <v>4</v>
      </c>
      <c r="I178" s="7">
        <v>2</v>
      </c>
      <c r="J178" s="7" t="s">
        <v>246</v>
      </c>
      <c r="K178" s="7" t="s">
        <v>47</v>
      </c>
      <c r="M178" s="7" t="s">
        <v>47</v>
      </c>
      <c r="P178" s="7">
        <v>4</v>
      </c>
      <c r="Q178" s="7">
        <v>22</v>
      </c>
      <c r="R178" s="7">
        <v>14</v>
      </c>
      <c r="V178" s="7">
        <v>6</v>
      </c>
      <c r="W178" s="7">
        <v>18</v>
      </c>
      <c r="X178" s="7">
        <v>22</v>
      </c>
      <c r="AE178" s="7" t="s">
        <v>955</v>
      </c>
      <c r="AF178" s="7" t="s">
        <v>159</v>
      </c>
      <c r="AG178" s="7" t="s">
        <v>284</v>
      </c>
      <c r="AH178" s="7">
        <v>11</v>
      </c>
      <c r="AI178" s="7" t="s">
        <v>255</v>
      </c>
      <c r="AJ178" s="7" t="s">
        <v>85</v>
      </c>
      <c r="AK178" s="7" t="s">
        <v>256</v>
      </c>
      <c r="AL178" s="7" t="s">
        <v>257</v>
      </c>
      <c r="AM178" s="7" t="s">
        <v>278</v>
      </c>
    </row>
    <row r="179" spans="1:40" ht="22.5" customHeight="1" x14ac:dyDescent="0.2">
      <c r="A179" s="6">
        <v>45991.52238855324</v>
      </c>
      <c r="B179" s="7" t="s">
        <v>956</v>
      </c>
      <c r="C179" s="7">
        <v>20</v>
      </c>
      <c r="D179" s="7" t="s">
        <v>42</v>
      </c>
      <c r="E179" s="7" t="s">
        <v>58</v>
      </c>
      <c r="F179" s="7" t="s">
        <v>562</v>
      </c>
      <c r="G179" s="7" t="s">
        <v>182</v>
      </c>
      <c r="H179" s="7">
        <v>3</v>
      </c>
      <c r="I179" s="7">
        <v>1</v>
      </c>
      <c r="J179" s="7" t="s">
        <v>100</v>
      </c>
      <c r="L179" s="7" t="s">
        <v>47</v>
      </c>
      <c r="S179" s="7">
        <v>2</v>
      </c>
      <c r="T179" s="7">
        <v>10</v>
      </c>
      <c r="U179" s="7">
        <v>7</v>
      </c>
      <c r="AE179" s="7">
        <v>700</v>
      </c>
      <c r="AF179" s="7" t="s">
        <v>252</v>
      </c>
      <c r="AG179" s="7" t="s">
        <v>361</v>
      </c>
      <c r="AH179" s="7">
        <v>6</v>
      </c>
      <c r="AI179" s="7" t="s">
        <v>285</v>
      </c>
      <c r="AJ179" s="7" t="s">
        <v>54</v>
      </c>
      <c r="AK179" s="7" t="s">
        <v>335</v>
      </c>
      <c r="AL179" s="7" t="s">
        <v>152</v>
      </c>
      <c r="AM179" s="7" t="s">
        <v>286</v>
      </c>
    </row>
    <row r="180" spans="1:40" ht="22.5" customHeight="1" x14ac:dyDescent="0.2">
      <c r="A180" s="6">
        <v>45991.525366250004</v>
      </c>
      <c r="B180" s="7" t="s">
        <v>957</v>
      </c>
      <c r="C180" s="7">
        <v>32</v>
      </c>
      <c r="D180" s="7" t="s">
        <v>73</v>
      </c>
      <c r="E180" s="7" t="s">
        <v>43</v>
      </c>
      <c r="F180" s="7" t="s">
        <v>44</v>
      </c>
      <c r="G180" s="7" t="s">
        <v>45</v>
      </c>
      <c r="H180" s="7">
        <v>5</v>
      </c>
      <c r="I180" s="7">
        <v>2</v>
      </c>
      <c r="J180" s="7" t="s">
        <v>290</v>
      </c>
      <c r="K180" s="7" t="s">
        <v>47</v>
      </c>
      <c r="N180" s="7" t="s">
        <v>291</v>
      </c>
      <c r="P180" s="7">
        <v>8</v>
      </c>
      <c r="Q180" s="7">
        <v>12</v>
      </c>
      <c r="R180" s="7">
        <v>8</v>
      </c>
      <c r="Y180" s="7">
        <v>10</v>
      </c>
      <c r="Z180" s="7">
        <v>40</v>
      </c>
      <c r="AA180" s="7">
        <v>65</v>
      </c>
      <c r="AE180" s="7">
        <v>4200</v>
      </c>
      <c r="AF180" s="7" t="s">
        <v>323</v>
      </c>
      <c r="AG180" s="7" t="s">
        <v>317</v>
      </c>
      <c r="AH180" s="7">
        <v>8</v>
      </c>
      <c r="AI180" s="7" t="s">
        <v>296</v>
      </c>
      <c r="AJ180" s="7" t="s">
        <v>362</v>
      </c>
      <c r="AK180" s="7" t="s">
        <v>307</v>
      </c>
      <c r="AL180" s="7" t="s">
        <v>68</v>
      </c>
      <c r="AN180" s="7" t="s">
        <v>373</v>
      </c>
    </row>
    <row r="181" spans="1:40" ht="22.5" customHeight="1" x14ac:dyDescent="0.2">
      <c r="A181" s="6">
        <v>45991.815982025466</v>
      </c>
      <c r="B181" s="7" t="s">
        <v>958</v>
      </c>
      <c r="C181" s="7">
        <v>27</v>
      </c>
      <c r="D181" s="7" t="s">
        <v>73</v>
      </c>
      <c r="E181" s="7" t="s">
        <v>58</v>
      </c>
      <c r="F181" s="7" t="s">
        <v>172</v>
      </c>
      <c r="G181" s="7" t="s">
        <v>60</v>
      </c>
      <c r="H181" s="7">
        <v>4</v>
      </c>
      <c r="I181" s="7">
        <v>2</v>
      </c>
      <c r="J181" s="7" t="s">
        <v>246</v>
      </c>
      <c r="K181" s="7" t="s">
        <v>47</v>
      </c>
      <c r="M181" s="7" t="s">
        <v>47</v>
      </c>
      <c r="P181" s="7">
        <v>3</v>
      </c>
      <c r="Q181" s="7">
        <v>15</v>
      </c>
      <c r="R181" s="7">
        <v>10</v>
      </c>
      <c r="V181" s="7">
        <v>2</v>
      </c>
      <c r="W181" s="7">
        <v>25</v>
      </c>
      <c r="X181" s="7">
        <v>30</v>
      </c>
      <c r="AE181" s="7">
        <v>5200</v>
      </c>
      <c r="AF181" s="7" t="s">
        <v>252</v>
      </c>
      <c r="AG181" s="7" t="s">
        <v>253</v>
      </c>
      <c r="AH181" s="7">
        <v>9</v>
      </c>
      <c r="AI181" s="7" t="s">
        <v>559</v>
      </c>
      <c r="AJ181" s="7" t="s">
        <v>85</v>
      </c>
      <c r="AK181" s="7" t="s">
        <v>335</v>
      </c>
      <c r="AL181" s="7" t="s">
        <v>257</v>
      </c>
      <c r="AM181" s="7" t="s">
        <v>278</v>
      </c>
    </row>
    <row r="182" spans="1:40" ht="22.5" customHeight="1" x14ac:dyDescent="0.2">
      <c r="A182" s="6">
        <v>45991.817396238424</v>
      </c>
      <c r="B182" s="7" t="s">
        <v>959</v>
      </c>
      <c r="C182" s="7">
        <v>24</v>
      </c>
      <c r="D182" s="7" t="s">
        <v>42</v>
      </c>
      <c r="E182" s="7" t="s">
        <v>43</v>
      </c>
      <c r="F182" s="7" t="s">
        <v>144</v>
      </c>
      <c r="G182" s="7" t="s">
        <v>182</v>
      </c>
      <c r="H182" s="7">
        <v>5</v>
      </c>
      <c r="I182" s="7">
        <v>1</v>
      </c>
      <c r="J182" s="7" t="s">
        <v>46</v>
      </c>
      <c r="K182" s="7" t="s">
        <v>47</v>
      </c>
      <c r="P182" s="7">
        <v>8</v>
      </c>
      <c r="Q182" s="7">
        <v>7</v>
      </c>
      <c r="R182" s="7">
        <v>5</v>
      </c>
      <c r="AE182" s="7">
        <v>600</v>
      </c>
      <c r="AF182" s="7" t="s">
        <v>159</v>
      </c>
      <c r="AG182" s="7" t="s">
        <v>284</v>
      </c>
      <c r="AH182" s="7">
        <v>3</v>
      </c>
      <c r="AI182" s="7" t="s">
        <v>344</v>
      </c>
      <c r="AJ182" s="7" t="s">
        <v>96</v>
      </c>
      <c r="AK182" s="7" t="s">
        <v>325</v>
      </c>
      <c r="AL182" s="7" t="s">
        <v>257</v>
      </c>
      <c r="AM182" s="7" t="s">
        <v>286</v>
      </c>
    </row>
    <row r="183" spans="1:40" ht="22.5" customHeight="1" x14ac:dyDescent="0.2">
      <c r="A183" s="6">
        <v>45991.820010462965</v>
      </c>
      <c r="B183" s="7" t="s">
        <v>960</v>
      </c>
      <c r="C183" s="7">
        <v>45</v>
      </c>
      <c r="D183" s="7" t="s">
        <v>73</v>
      </c>
      <c r="E183" s="7" t="s">
        <v>43</v>
      </c>
      <c r="F183" s="7" t="s">
        <v>44</v>
      </c>
      <c r="G183" s="7" t="s">
        <v>45</v>
      </c>
      <c r="H183" s="7">
        <v>7</v>
      </c>
      <c r="I183" s="7">
        <v>2</v>
      </c>
      <c r="J183" s="7" t="s">
        <v>290</v>
      </c>
      <c r="K183" s="7" t="s">
        <v>47</v>
      </c>
      <c r="N183" s="7" t="s">
        <v>291</v>
      </c>
      <c r="P183" s="7">
        <v>10</v>
      </c>
      <c r="Q183" s="7">
        <v>12</v>
      </c>
      <c r="R183" s="7">
        <v>8</v>
      </c>
      <c r="Y183" s="7">
        <v>14</v>
      </c>
      <c r="Z183" s="7">
        <v>45</v>
      </c>
      <c r="AA183" s="7">
        <v>70</v>
      </c>
      <c r="AE183" s="7">
        <v>9500</v>
      </c>
      <c r="AF183" s="7" t="s">
        <v>323</v>
      </c>
      <c r="AG183" s="7" t="s">
        <v>284</v>
      </c>
      <c r="AH183" s="7">
        <v>6</v>
      </c>
      <c r="AI183" s="7" t="s">
        <v>296</v>
      </c>
      <c r="AJ183" s="7" t="s">
        <v>362</v>
      </c>
      <c r="AK183" s="7" t="s">
        <v>307</v>
      </c>
      <c r="AL183" s="7" t="s">
        <v>68</v>
      </c>
      <c r="AN183" s="7" t="s">
        <v>259</v>
      </c>
    </row>
    <row r="184" spans="1:40" ht="22.5" customHeight="1" x14ac:dyDescent="0.2">
      <c r="A184" s="6">
        <v>45991.821211504634</v>
      </c>
      <c r="B184" s="7" t="s">
        <v>961</v>
      </c>
      <c r="C184" s="7">
        <v>21</v>
      </c>
      <c r="D184" s="7" t="s">
        <v>42</v>
      </c>
      <c r="E184" s="7" t="s">
        <v>58</v>
      </c>
      <c r="F184" s="7" t="s">
        <v>562</v>
      </c>
      <c r="G184" s="7" t="s">
        <v>182</v>
      </c>
      <c r="H184" s="7">
        <v>4</v>
      </c>
      <c r="I184" s="7">
        <v>1</v>
      </c>
      <c r="J184" s="7" t="s">
        <v>100</v>
      </c>
      <c r="L184" s="7" t="s">
        <v>47</v>
      </c>
      <c r="S184" s="7">
        <v>3</v>
      </c>
      <c r="T184" s="7">
        <v>8</v>
      </c>
      <c r="U184" s="7">
        <v>5</v>
      </c>
      <c r="AE184" s="7">
        <v>600</v>
      </c>
      <c r="AF184" s="7" t="s">
        <v>252</v>
      </c>
      <c r="AG184" s="7" t="s">
        <v>361</v>
      </c>
      <c r="AH184" s="7">
        <v>4</v>
      </c>
      <c r="AI184" s="7" t="s">
        <v>285</v>
      </c>
      <c r="AJ184" s="7" t="s">
        <v>277</v>
      </c>
      <c r="AK184" s="7" t="s">
        <v>256</v>
      </c>
      <c r="AL184" s="7" t="s">
        <v>152</v>
      </c>
      <c r="AM184" s="7" t="s">
        <v>258</v>
      </c>
    </row>
    <row r="185" spans="1:40" ht="22.5" customHeight="1" x14ac:dyDescent="0.2">
      <c r="A185" s="6">
        <v>45991.822881863423</v>
      </c>
      <c r="B185" s="7" t="s">
        <v>962</v>
      </c>
      <c r="C185" s="7">
        <v>38</v>
      </c>
      <c r="D185" s="7" t="s">
        <v>73</v>
      </c>
      <c r="E185" s="7" t="s">
        <v>58</v>
      </c>
      <c r="F185" s="7" t="s">
        <v>138</v>
      </c>
      <c r="G185" s="7" t="s">
        <v>109</v>
      </c>
      <c r="H185" s="7">
        <v>4</v>
      </c>
      <c r="I185" s="7">
        <v>2</v>
      </c>
      <c r="J185" s="7" t="s">
        <v>246</v>
      </c>
      <c r="K185" s="7" t="s">
        <v>47</v>
      </c>
      <c r="M185" s="7" t="s">
        <v>47</v>
      </c>
      <c r="P185" s="7">
        <v>6</v>
      </c>
      <c r="Q185" s="7">
        <v>10</v>
      </c>
      <c r="R185" s="7">
        <v>7</v>
      </c>
      <c r="V185" s="7">
        <v>3</v>
      </c>
      <c r="W185" s="7">
        <v>20</v>
      </c>
      <c r="X185" s="7">
        <v>26</v>
      </c>
      <c r="AE185" s="7">
        <v>4900</v>
      </c>
      <c r="AF185" s="7" t="s">
        <v>323</v>
      </c>
      <c r="AG185" s="7" t="s">
        <v>253</v>
      </c>
      <c r="AH185" s="7">
        <v>7</v>
      </c>
      <c r="AI185" s="7" t="s">
        <v>255</v>
      </c>
      <c r="AJ185" s="7" t="s">
        <v>85</v>
      </c>
      <c r="AK185" s="7" t="s">
        <v>335</v>
      </c>
      <c r="AL185" s="7" t="s">
        <v>257</v>
      </c>
      <c r="AM185" s="7" t="s">
        <v>363</v>
      </c>
    </row>
    <row r="186" spans="1:40" ht="22.5" customHeight="1" x14ac:dyDescent="0.2">
      <c r="A186" s="6">
        <v>45991.824512662039</v>
      </c>
      <c r="B186" s="7" t="s">
        <v>963</v>
      </c>
      <c r="C186" s="7">
        <v>33</v>
      </c>
      <c r="D186" s="7" t="s">
        <v>73</v>
      </c>
      <c r="E186" s="7" t="s">
        <v>43</v>
      </c>
      <c r="F186" s="7" t="s">
        <v>144</v>
      </c>
      <c r="G186" s="7" t="s">
        <v>89</v>
      </c>
      <c r="H186" s="7">
        <v>5</v>
      </c>
      <c r="I186" s="7">
        <v>1</v>
      </c>
      <c r="J186" s="7" t="s">
        <v>46</v>
      </c>
      <c r="K186" s="7" t="s">
        <v>47</v>
      </c>
      <c r="P186" s="7">
        <v>9</v>
      </c>
      <c r="Q186" s="7">
        <v>6</v>
      </c>
      <c r="R186" s="7">
        <v>5</v>
      </c>
      <c r="AE186" s="7">
        <v>650</v>
      </c>
      <c r="AF186" s="7" t="s">
        <v>159</v>
      </c>
      <c r="AG186" s="7" t="s">
        <v>284</v>
      </c>
      <c r="AH186" s="7">
        <v>3</v>
      </c>
      <c r="AI186" s="7" t="s">
        <v>306</v>
      </c>
      <c r="AJ186" s="7" t="s">
        <v>96</v>
      </c>
      <c r="AK186" s="7" t="s">
        <v>325</v>
      </c>
      <c r="AL186" s="7" t="s">
        <v>68</v>
      </c>
      <c r="AN186" s="7" t="s">
        <v>684</v>
      </c>
    </row>
    <row r="187" spans="1:40" ht="22.5" customHeight="1" x14ac:dyDescent="0.2">
      <c r="A187" s="6">
        <v>45991.82618877315</v>
      </c>
      <c r="B187" s="7" t="s">
        <v>964</v>
      </c>
      <c r="C187" s="7">
        <v>29</v>
      </c>
      <c r="D187" s="7" t="s">
        <v>73</v>
      </c>
      <c r="E187" s="7" t="s">
        <v>58</v>
      </c>
      <c r="F187" s="7" t="s">
        <v>74</v>
      </c>
      <c r="G187" s="7" t="s">
        <v>45</v>
      </c>
      <c r="H187" s="7">
        <v>3</v>
      </c>
      <c r="I187" s="7">
        <v>1</v>
      </c>
      <c r="J187" s="7" t="s">
        <v>46</v>
      </c>
      <c r="K187" s="7" t="s">
        <v>47</v>
      </c>
      <c r="P187" s="7">
        <v>4</v>
      </c>
      <c r="Q187" s="7">
        <v>22</v>
      </c>
      <c r="R187" s="7">
        <v>14</v>
      </c>
      <c r="AE187" s="7">
        <v>1700</v>
      </c>
      <c r="AF187" s="7" t="s">
        <v>252</v>
      </c>
      <c r="AG187" s="7" t="s">
        <v>253</v>
      </c>
      <c r="AH187" s="7">
        <v>11</v>
      </c>
      <c r="AI187" s="7" t="s">
        <v>255</v>
      </c>
      <c r="AJ187" s="7" t="s">
        <v>85</v>
      </c>
      <c r="AK187" s="7" t="s">
        <v>256</v>
      </c>
      <c r="AL187" s="7" t="s">
        <v>152</v>
      </c>
      <c r="AM187" s="7" t="s">
        <v>401</v>
      </c>
    </row>
    <row r="188" spans="1:40" ht="22.5" customHeight="1" x14ac:dyDescent="0.2">
      <c r="A188" s="6">
        <v>45991.827603842597</v>
      </c>
      <c r="B188" s="7" t="s">
        <v>965</v>
      </c>
      <c r="C188" s="7">
        <v>35</v>
      </c>
      <c r="D188" s="7" t="s">
        <v>42</v>
      </c>
      <c r="E188" s="7" t="s">
        <v>58</v>
      </c>
      <c r="F188" s="7" t="s">
        <v>172</v>
      </c>
      <c r="G188" s="7" t="s">
        <v>45</v>
      </c>
      <c r="H188" s="7">
        <v>4</v>
      </c>
      <c r="I188" s="7">
        <v>2</v>
      </c>
      <c r="J188" s="7" t="s">
        <v>269</v>
      </c>
      <c r="L188" s="7" t="s">
        <v>47</v>
      </c>
      <c r="M188" s="7" t="s">
        <v>47</v>
      </c>
      <c r="S188" s="7">
        <v>4</v>
      </c>
      <c r="T188" s="7">
        <v>10</v>
      </c>
      <c r="U188" s="7">
        <v>6</v>
      </c>
      <c r="V188" s="7">
        <v>6</v>
      </c>
      <c r="W188" s="7">
        <v>18</v>
      </c>
      <c r="X188" s="7">
        <v>23</v>
      </c>
      <c r="AE188" s="7">
        <v>3800</v>
      </c>
      <c r="AF188" s="7" t="s">
        <v>323</v>
      </c>
      <c r="AG188" s="7" t="s">
        <v>317</v>
      </c>
      <c r="AH188" s="7">
        <v>8</v>
      </c>
      <c r="AI188" s="7" t="s">
        <v>559</v>
      </c>
      <c r="AJ188" s="7" t="s">
        <v>85</v>
      </c>
      <c r="AK188" s="7" t="s">
        <v>256</v>
      </c>
      <c r="AL188" s="7" t="s">
        <v>68</v>
      </c>
      <c r="AN188" s="7" t="s">
        <v>303</v>
      </c>
    </row>
    <row r="189" spans="1:40" ht="22.5" customHeight="1" x14ac:dyDescent="0.2">
      <c r="A189" s="6">
        <v>45991.829209988427</v>
      </c>
      <c r="B189" s="7" t="s">
        <v>966</v>
      </c>
      <c r="C189" s="7">
        <v>47</v>
      </c>
      <c r="D189" s="7" t="s">
        <v>73</v>
      </c>
      <c r="E189" s="7" t="s">
        <v>43</v>
      </c>
      <c r="F189" s="7" t="s">
        <v>44</v>
      </c>
      <c r="G189" s="7" t="s">
        <v>45</v>
      </c>
      <c r="H189" s="7">
        <v>6</v>
      </c>
      <c r="I189" s="7">
        <v>2</v>
      </c>
      <c r="J189" s="7" t="s">
        <v>290</v>
      </c>
      <c r="K189" s="7" t="s">
        <v>47</v>
      </c>
      <c r="N189" s="7" t="s">
        <v>291</v>
      </c>
      <c r="P189" s="7">
        <v>11</v>
      </c>
      <c r="Q189" s="7">
        <v>12</v>
      </c>
      <c r="R189" s="7">
        <v>8</v>
      </c>
      <c r="Y189" s="7">
        <v>15</v>
      </c>
      <c r="Z189" s="7">
        <v>40</v>
      </c>
      <c r="AA189" s="7">
        <v>65</v>
      </c>
      <c r="AE189" s="7">
        <v>8700</v>
      </c>
      <c r="AF189" s="7" t="s">
        <v>159</v>
      </c>
      <c r="AG189" s="7" t="s">
        <v>295</v>
      </c>
      <c r="AH189" s="7">
        <v>7</v>
      </c>
      <c r="AI189" s="7" t="s">
        <v>296</v>
      </c>
      <c r="AJ189" s="7" t="s">
        <v>362</v>
      </c>
      <c r="AK189" s="7" t="s">
        <v>307</v>
      </c>
      <c r="AL189" s="7" t="s">
        <v>68</v>
      </c>
      <c r="AN189" s="7" t="s">
        <v>259</v>
      </c>
    </row>
    <row r="190" spans="1:40" ht="22.5" customHeight="1" x14ac:dyDescent="0.2">
      <c r="A190" s="6">
        <v>45991.830479143522</v>
      </c>
      <c r="B190" s="7" t="s">
        <v>967</v>
      </c>
      <c r="C190" s="7">
        <v>23</v>
      </c>
      <c r="D190" s="7" t="s">
        <v>42</v>
      </c>
      <c r="E190" s="7" t="s">
        <v>58</v>
      </c>
      <c r="F190" s="7" t="s">
        <v>562</v>
      </c>
      <c r="G190" s="7" t="s">
        <v>182</v>
      </c>
      <c r="H190" s="7">
        <v>4</v>
      </c>
      <c r="I190" s="7">
        <v>1</v>
      </c>
      <c r="J190" s="7" t="s">
        <v>100</v>
      </c>
      <c r="L190" s="7" t="s">
        <v>47</v>
      </c>
      <c r="S190" s="7">
        <v>1</v>
      </c>
      <c r="T190" s="7">
        <v>7</v>
      </c>
      <c r="U190" s="7">
        <v>4</v>
      </c>
      <c r="AE190" s="7">
        <v>500</v>
      </c>
      <c r="AF190" s="7" t="s">
        <v>252</v>
      </c>
      <c r="AG190" s="7" t="s">
        <v>317</v>
      </c>
      <c r="AH190" s="7">
        <v>3</v>
      </c>
      <c r="AI190" s="7" t="s">
        <v>285</v>
      </c>
      <c r="AJ190" s="7" t="s">
        <v>277</v>
      </c>
      <c r="AK190" s="7" t="s">
        <v>256</v>
      </c>
      <c r="AL190" s="7" t="s">
        <v>257</v>
      </c>
      <c r="AM190" s="7" t="s">
        <v>258</v>
      </c>
    </row>
    <row r="191" spans="1:40" ht="22.5" customHeight="1" x14ac:dyDescent="0.2">
      <c r="A191" s="6">
        <v>45991.842793692129</v>
      </c>
      <c r="B191" s="7" t="s">
        <v>968</v>
      </c>
      <c r="C191" s="7">
        <v>22</v>
      </c>
      <c r="D191" s="7" t="s">
        <v>73</v>
      </c>
      <c r="E191" s="7" t="s">
        <v>58</v>
      </c>
      <c r="F191" s="7" t="s">
        <v>44</v>
      </c>
      <c r="G191" s="7" t="s">
        <v>89</v>
      </c>
      <c r="H191" s="7">
        <v>4</v>
      </c>
      <c r="I191" s="7">
        <v>2</v>
      </c>
      <c r="J191" s="7" t="s">
        <v>290</v>
      </c>
      <c r="K191" s="7" t="s">
        <v>47</v>
      </c>
      <c r="N191" s="7" t="s">
        <v>291</v>
      </c>
      <c r="P191" s="7">
        <v>7</v>
      </c>
      <c r="Q191" s="7">
        <v>22</v>
      </c>
      <c r="R191" s="7">
        <v>9</v>
      </c>
      <c r="Y191" s="7">
        <v>4</v>
      </c>
      <c r="Z191" s="7">
        <v>40</v>
      </c>
      <c r="AA191" s="7">
        <v>50</v>
      </c>
      <c r="AE191" s="7">
        <v>4200</v>
      </c>
      <c r="AF191" s="7" t="s">
        <v>252</v>
      </c>
      <c r="AG191" s="7" t="s">
        <v>253</v>
      </c>
      <c r="AH191" s="7">
        <v>6</v>
      </c>
      <c r="AI191" s="7" t="s">
        <v>296</v>
      </c>
      <c r="AJ191" s="7" t="s">
        <v>85</v>
      </c>
      <c r="AK191" s="7" t="s">
        <v>256</v>
      </c>
      <c r="AL191" s="7" t="s">
        <v>257</v>
      </c>
      <c r="AM191" s="7" t="s">
        <v>258</v>
      </c>
    </row>
    <row r="192" spans="1:40" ht="22.5" customHeight="1" x14ac:dyDescent="0.2">
      <c r="A192" s="6">
        <v>45991.843962141204</v>
      </c>
      <c r="B192" s="7" t="s">
        <v>969</v>
      </c>
      <c r="C192" s="7">
        <v>30</v>
      </c>
      <c r="D192" s="7" t="s">
        <v>42</v>
      </c>
      <c r="E192" s="7" t="s">
        <v>58</v>
      </c>
      <c r="F192" s="7" t="s">
        <v>562</v>
      </c>
      <c r="G192" s="7" t="s">
        <v>182</v>
      </c>
      <c r="H192" s="7">
        <v>3</v>
      </c>
      <c r="I192" s="7">
        <v>1</v>
      </c>
      <c r="J192" s="7" t="s">
        <v>100</v>
      </c>
      <c r="L192" s="7" t="s">
        <v>47</v>
      </c>
      <c r="S192" s="7">
        <v>3</v>
      </c>
      <c r="T192" s="7">
        <v>10</v>
      </c>
      <c r="U192" s="7">
        <v>5</v>
      </c>
      <c r="AE192" s="7">
        <v>1000</v>
      </c>
      <c r="AF192" s="7" t="s">
        <v>323</v>
      </c>
      <c r="AG192" s="7" t="s">
        <v>284</v>
      </c>
      <c r="AH192" s="7">
        <v>5</v>
      </c>
      <c r="AI192" s="7" t="s">
        <v>285</v>
      </c>
      <c r="AJ192" s="7" t="s">
        <v>96</v>
      </c>
      <c r="AK192" s="7" t="s">
        <v>335</v>
      </c>
      <c r="AL192" s="7" t="s">
        <v>152</v>
      </c>
      <c r="AM192" s="7" t="s">
        <v>286</v>
      </c>
    </row>
    <row r="193" spans="1:40" ht="22.5" customHeight="1" x14ac:dyDescent="0.2">
      <c r="A193" s="6">
        <v>45991.845532384265</v>
      </c>
      <c r="B193" s="7" t="s">
        <v>970</v>
      </c>
      <c r="C193" s="7">
        <v>27</v>
      </c>
      <c r="D193" s="7" t="s">
        <v>73</v>
      </c>
      <c r="E193" s="7" t="s">
        <v>58</v>
      </c>
      <c r="F193" s="7" t="s">
        <v>74</v>
      </c>
      <c r="G193" s="7" t="s">
        <v>45</v>
      </c>
      <c r="H193" s="7">
        <v>5</v>
      </c>
      <c r="I193" s="7">
        <v>2</v>
      </c>
      <c r="J193" s="7" t="s">
        <v>246</v>
      </c>
      <c r="K193" s="7" t="s">
        <v>47</v>
      </c>
      <c r="M193" s="7" t="s">
        <v>47</v>
      </c>
      <c r="P193" s="7">
        <v>7</v>
      </c>
      <c r="Q193" s="7">
        <v>18</v>
      </c>
      <c r="R193" s="7">
        <v>7</v>
      </c>
      <c r="V193" s="7">
        <v>2</v>
      </c>
      <c r="W193" s="7">
        <v>25</v>
      </c>
      <c r="X193" s="7">
        <v>20</v>
      </c>
      <c r="AE193" s="7">
        <v>4800</v>
      </c>
      <c r="AF193" s="7" t="s">
        <v>323</v>
      </c>
      <c r="AG193" s="7" t="s">
        <v>317</v>
      </c>
      <c r="AH193" s="7">
        <v>18</v>
      </c>
      <c r="AI193" s="7" t="s">
        <v>255</v>
      </c>
      <c r="AJ193" s="7" t="s">
        <v>277</v>
      </c>
      <c r="AK193" s="7" t="s">
        <v>256</v>
      </c>
      <c r="AL193" s="7" t="s">
        <v>257</v>
      </c>
      <c r="AM193" s="7" t="s">
        <v>363</v>
      </c>
    </row>
    <row r="194" spans="1:40" ht="22.5" customHeight="1" x14ac:dyDescent="0.2">
      <c r="A194" s="6">
        <v>45991.854639224533</v>
      </c>
      <c r="B194" s="7" t="s">
        <v>971</v>
      </c>
      <c r="C194" s="7">
        <v>19</v>
      </c>
      <c r="D194" s="7" t="s">
        <v>42</v>
      </c>
      <c r="E194" s="7" t="s">
        <v>43</v>
      </c>
      <c r="F194" s="7" t="s">
        <v>562</v>
      </c>
      <c r="G194" s="7" t="s">
        <v>182</v>
      </c>
      <c r="H194" s="7">
        <v>4</v>
      </c>
      <c r="I194" s="7">
        <v>1</v>
      </c>
      <c r="J194" s="7" t="s">
        <v>100</v>
      </c>
      <c r="L194" s="7" t="s">
        <v>47</v>
      </c>
      <c r="S194" s="7">
        <v>1</v>
      </c>
      <c r="T194" s="7">
        <v>12</v>
      </c>
      <c r="U194" s="7">
        <v>6</v>
      </c>
      <c r="AE194" s="7">
        <v>900</v>
      </c>
      <c r="AF194" s="7" t="s">
        <v>857</v>
      </c>
      <c r="AH194" s="7">
        <v>4</v>
      </c>
      <c r="AI194" s="7" t="s">
        <v>285</v>
      </c>
      <c r="AJ194" s="7" t="s">
        <v>277</v>
      </c>
      <c r="AK194" s="7" t="s">
        <v>256</v>
      </c>
      <c r="AL194" s="7" t="s">
        <v>68</v>
      </c>
      <c r="AN194" s="7" t="s">
        <v>259</v>
      </c>
    </row>
    <row r="195" spans="1:40" ht="22.5" customHeight="1" x14ac:dyDescent="0.2">
      <c r="A195" s="6">
        <v>45991.858121018522</v>
      </c>
      <c r="B195" s="7" t="s">
        <v>972</v>
      </c>
      <c r="C195" s="7">
        <v>30</v>
      </c>
      <c r="D195" s="7" t="s">
        <v>73</v>
      </c>
      <c r="E195" s="7" t="s">
        <v>43</v>
      </c>
      <c r="F195" s="7" t="s">
        <v>172</v>
      </c>
      <c r="G195" s="7" t="s">
        <v>60</v>
      </c>
      <c r="H195" s="7">
        <v>6</v>
      </c>
      <c r="I195" s="7">
        <v>3</v>
      </c>
      <c r="J195" s="7" t="s">
        <v>309</v>
      </c>
      <c r="K195" s="7" t="s">
        <v>47</v>
      </c>
      <c r="M195" s="7" t="s">
        <v>291</v>
      </c>
      <c r="N195" s="7" t="s">
        <v>291</v>
      </c>
      <c r="P195" s="7">
        <v>10</v>
      </c>
      <c r="Q195" s="7">
        <v>15</v>
      </c>
      <c r="R195" s="7">
        <v>6</v>
      </c>
      <c r="V195" s="7">
        <v>5</v>
      </c>
      <c r="W195" s="7">
        <v>20</v>
      </c>
      <c r="X195" s="7">
        <v>18</v>
      </c>
      <c r="Y195" s="7">
        <v>8</v>
      </c>
      <c r="Z195" s="7">
        <v>30</v>
      </c>
      <c r="AA195" s="7">
        <v>40</v>
      </c>
      <c r="AE195" s="7">
        <v>9200</v>
      </c>
      <c r="AF195" s="7" t="s">
        <v>252</v>
      </c>
      <c r="AG195" s="7" t="s">
        <v>361</v>
      </c>
      <c r="AH195" s="7">
        <v>10</v>
      </c>
      <c r="AI195" s="7" t="s">
        <v>559</v>
      </c>
      <c r="AJ195" s="7" t="s">
        <v>362</v>
      </c>
      <c r="AK195" s="7" t="s">
        <v>307</v>
      </c>
      <c r="AL195" s="7" t="s">
        <v>68</v>
      </c>
      <c r="AN195" s="7" t="s">
        <v>303</v>
      </c>
    </row>
    <row r="196" spans="1:40" ht="22.5" customHeight="1" x14ac:dyDescent="0.2">
      <c r="A196" s="6">
        <v>45991.859699907407</v>
      </c>
      <c r="B196" s="7" t="s">
        <v>973</v>
      </c>
      <c r="C196" s="7">
        <v>23</v>
      </c>
      <c r="D196" s="7" t="s">
        <v>42</v>
      </c>
      <c r="E196" s="7" t="s">
        <v>58</v>
      </c>
      <c r="F196" s="7" t="s">
        <v>74</v>
      </c>
      <c r="G196" s="7" t="s">
        <v>45</v>
      </c>
      <c r="H196" s="7">
        <v>4</v>
      </c>
      <c r="I196" s="7">
        <v>1</v>
      </c>
      <c r="J196" s="7" t="s">
        <v>431</v>
      </c>
      <c r="M196" s="7" t="s">
        <v>47</v>
      </c>
      <c r="V196" s="7">
        <v>3</v>
      </c>
      <c r="W196" s="7">
        <v>30</v>
      </c>
      <c r="X196" s="7">
        <v>25</v>
      </c>
      <c r="AE196" s="7">
        <v>3500</v>
      </c>
      <c r="AF196" s="7" t="s">
        <v>323</v>
      </c>
      <c r="AG196" s="7" t="s">
        <v>317</v>
      </c>
      <c r="AH196" s="7">
        <v>12</v>
      </c>
      <c r="AI196" s="7" t="s">
        <v>255</v>
      </c>
      <c r="AJ196" s="7" t="s">
        <v>85</v>
      </c>
      <c r="AK196" s="7" t="s">
        <v>467</v>
      </c>
      <c r="AL196" s="7" t="s">
        <v>257</v>
      </c>
      <c r="AM196" s="7" t="s">
        <v>278</v>
      </c>
    </row>
    <row r="197" spans="1:40" ht="22.5" customHeight="1" x14ac:dyDescent="0.2">
      <c r="A197" s="6">
        <v>45991.861042291668</v>
      </c>
      <c r="B197" s="7" t="s">
        <v>974</v>
      </c>
      <c r="C197" s="7">
        <v>45</v>
      </c>
      <c r="D197" s="7" t="s">
        <v>73</v>
      </c>
      <c r="E197" s="7" t="s">
        <v>43</v>
      </c>
      <c r="F197" s="7" t="s">
        <v>44</v>
      </c>
      <c r="G197" s="7" t="s">
        <v>45</v>
      </c>
      <c r="H197" s="7">
        <v>5</v>
      </c>
      <c r="I197" s="7">
        <v>2</v>
      </c>
      <c r="J197" s="7" t="s">
        <v>290</v>
      </c>
      <c r="K197" s="7" t="s">
        <v>47</v>
      </c>
      <c r="N197" s="7" t="s">
        <v>291</v>
      </c>
      <c r="P197" s="7">
        <v>12</v>
      </c>
      <c r="Q197" s="7">
        <v>8</v>
      </c>
      <c r="R197" s="7">
        <v>5</v>
      </c>
      <c r="Y197" s="7">
        <v>6</v>
      </c>
      <c r="Z197" s="7">
        <v>25</v>
      </c>
      <c r="AA197" s="7">
        <v>35</v>
      </c>
      <c r="AE197" s="7">
        <v>4000</v>
      </c>
      <c r="AF197" s="7" t="s">
        <v>159</v>
      </c>
      <c r="AG197" s="7" t="s">
        <v>361</v>
      </c>
      <c r="AH197" s="7">
        <v>8</v>
      </c>
      <c r="AI197" s="7" t="s">
        <v>296</v>
      </c>
      <c r="AJ197" s="7" t="s">
        <v>85</v>
      </c>
      <c r="AK197" s="7" t="s">
        <v>325</v>
      </c>
      <c r="AL197" s="7" t="s">
        <v>68</v>
      </c>
      <c r="AN197" s="7" t="s">
        <v>684</v>
      </c>
    </row>
    <row r="198" spans="1:40" ht="22.5" customHeight="1" x14ac:dyDescent="0.2">
      <c r="A198" s="6">
        <v>45991.887778634264</v>
      </c>
      <c r="B198" s="7" t="s">
        <v>975</v>
      </c>
      <c r="C198" s="7">
        <v>24</v>
      </c>
      <c r="D198" s="7" t="s">
        <v>42</v>
      </c>
      <c r="E198" s="7" t="s">
        <v>58</v>
      </c>
      <c r="F198" s="7" t="s">
        <v>138</v>
      </c>
      <c r="G198" s="7" t="s">
        <v>45</v>
      </c>
      <c r="H198" s="7">
        <v>4</v>
      </c>
      <c r="I198" s="7">
        <v>1</v>
      </c>
      <c r="J198" s="7" t="s">
        <v>100</v>
      </c>
      <c r="L198" s="7" t="s">
        <v>47</v>
      </c>
      <c r="S198" s="7">
        <v>4</v>
      </c>
      <c r="T198" s="7">
        <v>18</v>
      </c>
      <c r="U198" s="7">
        <v>8</v>
      </c>
      <c r="AE198" s="7">
        <v>1600</v>
      </c>
      <c r="AF198" s="7" t="s">
        <v>252</v>
      </c>
      <c r="AG198" s="7" t="s">
        <v>361</v>
      </c>
      <c r="AH198" s="7">
        <v>10</v>
      </c>
      <c r="AI198" s="7" t="s">
        <v>255</v>
      </c>
      <c r="AJ198" s="7" t="s">
        <v>85</v>
      </c>
      <c r="AK198" s="7" t="s">
        <v>335</v>
      </c>
      <c r="AL198" s="7" t="s">
        <v>152</v>
      </c>
      <c r="AM198" s="7" t="s">
        <v>258</v>
      </c>
    </row>
    <row r="199" spans="1:40" ht="22.5" customHeight="1" x14ac:dyDescent="0.2">
      <c r="A199" s="6">
        <v>45991.889656342595</v>
      </c>
      <c r="B199" s="7" t="s">
        <v>976</v>
      </c>
      <c r="C199" s="7">
        <v>29</v>
      </c>
      <c r="D199" s="7" t="s">
        <v>73</v>
      </c>
      <c r="E199" s="7" t="s">
        <v>43</v>
      </c>
      <c r="F199" s="7" t="s">
        <v>172</v>
      </c>
      <c r="G199" s="7" t="s">
        <v>109</v>
      </c>
      <c r="H199" s="7">
        <v>6</v>
      </c>
      <c r="I199" s="7">
        <v>3</v>
      </c>
      <c r="J199" s="7" t="s">
        <v>309</v>
      </c>
      <c r="K199" s="7" t="s">
        <v>47</v>
      </c>
      <c r="M199" s="7" t="s">
        <v>47</v>
      </c>
      <c r="N199" s="7" t="s">
        <v>291</v>
      </c>
      <c r="P199" s="7">
        <v>7</v>
      </c>
      <c r="Q199" s="7">
        <v>20</v>
      </c>
      <c r="R199" s="7">
        <v>8</v>
      </c>
      <c r="V199" s="7">
        <v>1</v>
      </c>
      <c r="W199" s="7">
        <v>35</v>
      </c>
      <c r="X199" s="7">
        <v>30</v>
      </c>
      <c r="Y199" s="7">
        <v>2</v>
      </c>
      <c r="Z199" s="7">
        <v>45</v>
      </c>
      <c r="AA199" s="7">
        <v>40</v>
      </c>
      <c r="AE199" s="7">
        <v>12000</v>
      </c>
      <c r="AF199" s="7" t="s">
        <v>276</v>
      </c>
      <c r="AG199" s="7" t="s">
        <v>361</v>
      </c>
      <c r="AH199" s="7">
        <v>14</v>
      </c>
      <c r="AI199" s="7" t="s">
        <v>559</v>
      </c>
      <c r="AJ199" s="7" t="s">
        <v>362</v>
      </c>
      <c r="AK199" s="7" t="s">
        <v>307</v>
      </c>
      <c r="AL199" s="7" t="s">
        <v>68</v>
      </c>
      <c r="AN199" s="7" t="s">
        <v>259</v>
      </c>
    </row>
    <row r="200" spans="1:40" ht="22.5" customHeight="1" x14ac:dyDescent="0.2">
      <c r="A200" s="6">
        <v>45991.89060741898</v>
      </c>
      <c r="B200" s="7" t="s">
        <v>977</v>
      </c>
      <c r="C200" s="7">
        <v>21</v>
      </c>
      <c r="D200" s="7" t="s">
        <v>42</v>
      </c>
      <c r="E200" s="7" t="s">
        <v>58</v>
      </c>
      <c r="F200" s="7" t="s">
        <v>562</v>
      </c>
      <c r="G200" s="7" t="s">
        <v>182</v>
      </c>
      <c r="H200" s="7">
        <v>4</v>
      </c>
      <c r="I200" s="7">
        <v>1</v>
      </c>
      <c r="J200" s="7" t="s">
        <v>100</v>
      </c>
      <c r="L200" s="7" t="s">
        <v>47</v>
      </c>
      <c r="S200" s="7">
        <v>2</v>
      </c>
      <c r="T200" s="7">
        <v>9</v>
      </c>
      <c r="U200" s="7">
        <v>5</v>
      </c>
      <c r="AE200" s="7">
        <v>850</v>
      </c>
      <c r="AF200" s="7" t="s">
        <v>159</v>
      </c>
      <c r="AG200" s="7" t="s">
        <v>284</v>
      </c>
      <c r="AH200" s="7">
        <v>3</v>
      </c>
      <c r="AI200" s="7" t="s">
        <v>285</v>
      </c>
      <c r="AJ200" s="7" t="s">
        <v>277</v>
      </c>
      <c r="AK200" s="7" t="s">
        <v>256</v>
      </c>
      <c r="AL200" s="7" t="s">
        <v>68</v>
      </c>
      <c r="AN200" s="7" t="s">
        <v>259</v>
      </c>
    </row>
    <row r="201" spans="1:40" ht="22.5" customHeight="1" x14ac:dyDescent="0.2">
      <c r="A201" s="6">
        <v>45992.435517523147</v>
      </c>
      <c r="B201" s="7" t="s">
        <v>978</v>
      </c>
      <c r="C201" s="7">
        <v>27</v>
      </c>
      <c r="D201" s="7" t="s">
        <v>73</v>
      </c>
      <c r="E201" s="7" t="s">
        <v>58</v>
      </c>
      <c r="F201" s="7" t="s">
        <v>74</v>
      </c>
      <c r="G201" s="7" t="s">
        <v>60</v>
      </c>
      <c r="H201" s="7">
        <v>4</v>
      </c>
      <c r="I201" s="7">
        <v>2</v>
      </c>
      <c r="J201" s="7" t="s">
        <v>246</v>
      </c>
      <c r="K201" s="7" t="s">
        <v>47</v>
      </c>
      <c r="M201" s="7" t="s">
        <v>47</v>
      </c>
      <c r="P201" s="7">
        <v>3</v>
      </c>
      <c r="Q201" s="7">
        <v>18</v>
      </c>
      <c r="R201" s="7">
        <v>10</v>
      </c>
      <c r="V201" s="7">
        <v>4</v>
      </c>
      <c r="W201" s="7">
        <v>25</v>
      </c>
      <c r="X201" s="7">
        <v>30</v>
      </c>
      <c r="AE201" s="7">
        <v>6000</v>
      </c>
      <c r="AF201" s="7" t="s">
        <v>252</v>
      </c>
      <c r="AG201" s="7" t="s">
        <v>253</v>
      </c>
      <c r="AH201" s="7">
        <v>12</v>
      </c>
      <c r="AI201" s="7" t="s">
        <v>255</v>
      </c>
      <c r="AJ201" s="7" t="s">
        <v>277</v>
      </c>
      <c r="AK201" s="7" t="s">
        <v>256</v>
      </c>
      <c r="AL201" s="7" t="s">
        <v>257</v>
      </c>
      <c r="AM201" s="7" t="s">
        <v>401</v>
      </c>
    </row>
    <row r="202" spans="1:40" ht="22.5" customHeight="1" x14ac:dyDescent="0.2">
      <c r="A202" s="6">
        <v>45992.43655032407</v>
      </c>
      <c r="B202" s="7" t="s">
        <v>979</v>
      </c>
      <c r="C202" s="7">
        <v>45</v>
      </c>
      <c r="D202" s="7" t="s">
        <v>42</v>
      </c>
      <c r="E202" s="7" t="s">
        <v>43</v>
      </c>
      <c r="F202" s="7" t="s">
        <v>144</v>
      </c>
      <c r="G202" s="7" t="s">
        <v>45</v>
      </c>
      <c r="H202" s="7">
        <v>6</v>
      </c>
      <c r="I202" s="7">
        <v>1</v>
      </c>
      <c r="J202" s="7" t="s">
        <v>46</v>
      </c>
      <c r="K202" s="7" t="s">
        <v>47</v>
      </c>
      <c r="P202" s="7">
        <v>7</v>
      </c>
      <c r="Q202" s="7">
        <v>6</v>
      </c>
      <c r="R202" s="7">
        <v>4</v>
      </c>
      <c r="AE202" s="7">
        <v>550</v>
      </c>
      <c r="AF202" s="7" t="s">
        <v>159</v>
      </c>
      <c r="AG202" s="7" t="s">
        <v>295</v>
      </c>
      <c r="AH202" s="7">
        <v>2</v>
      </c>
      <c r="AI202" s="7" t="s">
        <v>344</v>
      </c>
      <c r="AJ202" s="7" t="s">
        <v>96</v>
      </c>
      <c r="AK202" s="7" t="s">
        <v>325</v>
      </c>
      <c r="AL202" s="7" t="s">
        <v>152</v>
      </c>
      <c r="AM202" s="7" t="s">
        <v>258</v>
      </c>
    </row>
    <row r="203" spans="1:40" ht="22.5" customHeight="1" x14ac:dyDescent="0.2">
      <c r="A203" s="6">
        <v>45992.43835251157</v>
      </c>
      <c r="B203" s="7" t="s">
        <v>980</v>
      </c>
      <c r="C203" s="7">
        <v>29</v>
      </c>
      <c r="D203" s="7" t="s">
        <v>73</v>
      </c>
      <c r="E203" s="7" t="s">
        <v>58</v>
      </c>
      <c r="F203" s="7" t="s">
        <v>172</v>
      </c>
      <c r="G203" s="7" t="s">
        <v>155</v>
      </c>
      <c r="H203" s="7">
        <v>4</v>
      </c>
      <c r="I203" s="7">
        <v>3</v>
      </c>
      <c r="J203" s="7" t="s">
        <v>435</v>
      </c>
      <c r="K203" s="7" t="s">
        <v>47</v>
      </c>
      <c r="M203" s="7" t="s">
        <v>47</v>
      </c>
      <c r="O203" s="7" t="s">
        <v>353</v>
      </c>
      <c r="P203" s="7">
        <v>2</v>
      </c>
      <c r="Q203" s="7">
        <v>10</v>
      </c>
      <c r="R203" s="7">
        <v>6</v>
      </c>
      <c r="V203" s="7">
        <v>3</v>
      </c>
      <c r="W203" s="7">
        <v>30</v>
      </c>
      <c r="X203" s="7">
        <v>35</v>
      </c>
      <c r="AB203" s="7">
        <v>40</v>
      </c>
      <c r="AC203" s="7">
        <v>50</v>
      </c>
      <c r="AD203" s="7">
        <v>1</v>
      </c>
      <c r="AE203" s="7">
        <v>9000</v>
      </c>
      <c r="AF203" s="7" t="s">
        <v>276</v>
      </c>
      <c r="AG203" s="7" t="s">
        <v>317</v>
      </c>
      <c r="AH203" s="7">
        <v>10</v>
      </c>
      <c r="AI203" s="7" t="s">
        <v>255</v>
      </c>
      <c r="AJ203" s="7" t="s">
        <v>362</v>
      </c>
      <c r="AK203" s="7" t="s">
        <v>307</v>
      </c>
      <c r="AL203" s="7" t="s">
        <v>152</v>
      </c>
      <c r="AM203" s="7" t="s">
        <v>363</v>
      </c>
    </row>
    <row r="204" spans="1:40" ht="22.5" customHeight="1" x14ac:dyDescent="0.2">
      <c r="A204" s="6">
        <v>45992.439374351852</v>
      </c>
      <c r="B204" s="7" t="s">
        <v>981</v>
      </c>
      <c r="C204" s="7">
        <v>37</v>
      </c>
      <c r="D204" s="7" t="s">
        <v>42</v>
      </c>
      <c r="E204" s="7" t="s">
        <v>43</v>
      </c>
      <c r="F204" s="7" t="s">
        <v>138</v>
      </c>
      <c r="G204" s="7" t="s">
        <v>109</v>
      </c>
      <c r="H204" s="7">
        <v>3</v>
      </c>
      <c r="I204" s="7">
        <v>2</v>
      </c>
      <c r="J204" s="7" t="s">
        <v>269</v>
      </c>
      <c r="L204" s="7" t="s">
        <v>47</v>
      </c>
      <c r="M204" s="7" t="s">
        <v>291</v>
      </c>
      <c r="S204" s="7">
        <v>1</v>
      </c>
      <c r="T204" s="7">
        <v>8</v>
      </c>
      <c r="U204" s="7">
        <v>5</v>
      </c>
      <c r="V204" s="7">
        <v>5</v>
      </c>
      <c r="W204" s="7">
        <v>22</v>
      </c>
      <c r="X204" s="7">
        <v>28</v>
      </c>
      <c r="AE204" s="7">
        <v>5000</v>
      </c>
      <c r="AF204" s="7" t="s">
        <v>252</v>
      </c>
      <c r="AG204" s="7" t="s">
        <v>253</v>
      </c>
      <c r="AH204" s="7">
        <v>14</v>
      </c>
      <c r="AI204" s="7" t="s">
        <v>255</v>
      </c>
      <c r="AJ204" s="7" t="s">
        <v>85</v>
      </c>
      <c r="AK204" s="7" t="s">
        <v>335</v>
      </c>
      <c r="AL204" s="7" t="s">
        <v>257</v>
      </c>
      <c r="AM204" s="7" t="s">
        <v>286</v>
      </c>
    </row>
    <row r="205" spans="1:40" ht="22.5" customHeight="1" x14ac:dyDescent="0.2">
      <c r="A205" s="6">
        <v>45992.440135648147</v>
      </c>
      <c r="B205" s="7" t="s">
        <v>982</v>
      </c>
      <c r="C205" s="7">
        <v>24</v>
      </c>
      <c r="D205" s="7" t="s">
        <v>73</v>
      </c>
      <c r="E205" s="7" t="s">
        <v>58</v>
      </c>
      <c r="F205" s="7" t="s">
        <v>74</v>
      </c>
      <c r="G205" s="7" t="s">
        <v>89</v>
      </c>
      <c r="H205" s="7">
        <v>4</v>
      </c>
      <c r="I205" s="7">
        <v>1</v>
      </c>
      <c r="J205" s="7" t="s">
        <v>46</v>
      </c>
      <c r="K205" s="7" t="s">
        <v>47</v>
      </c>
      <c r="P205" s="7">
        <v>5</v>
      </c>
      <c r="Q205" s="7">
        <v>20</v>
      </c>
      <c r="R205" s="7">
        <v>12</v>
      </c>
      <c r="AE205" s="7">
        <v>1500</v>
      </c>
      <c r="AF205" s="7" t="s">
        <v>323</v>
      </c>
      <c r="AG205" s="7" t="s">
        <v>295</v>
      </c>
      <c r="AH205" s="7">
        <v>8</v>
      </c>
      <c r="AI205" s="7" t="s">
        <v>255</v>
      </c>
      <c r="AJ205" s="7" t="s">
        <v>277</v>
      </c>
      <c r="AK205" s="7" t="s">
        <v>256</v>
      </c>
      <c r="AL205" s="7" t="s">
        <v>152</v>
      </c>
      <c r="AM205" s="7" t="s">
        <v>258</v>
      </c>
    </row>
    <row r="206" spans="1:40" ht="22.5" customHeight="1" x14ac:dyDescent="0.2">
      <c r="A206" s="6">
        <v>45992.441015810182</v>
      </c>
      <c r="B206" s="7" t="s">
        <v>983</v>
      </c>
      <c r="C206" s="7">
        <v>19</v>
      </c>
      <c r="D206" s="7" t="s">
        <v>42</v>
      </c>
      <c r="E206" s="7" t="s">
        <v>58</v>
      </c>
      <c r="F206" s="7" t="s">
        <v>562</v>
      </c>
      <c r="G206" s="7" t="s">
        <v>182</v>
      </c>
      <c r="H206" s="7">
        <v>3</v>
      </c>
      <c r="I206" s="7">
        <v>1</v>
      </c>
      <c r="J206" s="7" t="s">
        <v>100</v>
      </c>
      <c r="L206" s="7" t="s">
        <v>47</v>
      </c>
      <c r="S206" s="7">
        <v>2</v>
      </c>
      <c r="T206" s="7">
        <v>7</v>
      </c>
      <c r="U206" s="7">
        <v>4</v>
      </c>
      <c r="AE206" s="7">
        <v>550</v>
      </c>
      <c r="AF206" s="7" t="s">
        <v>252</v>
      </c>
      <c r="AG206" s="7" t="s">
        <v>361</v>
      </c>
      <c r="AH206" s="7">
        <v>5</v>
      </c>
      <c r="AI206" s="7" t="s">
        <v>285</v>
      </c>
      <c r="AJ206" s="7" t="s">
        <v>85</v>
      </c>
      <c r="AK206" s="7" t="s">
        <v>335</v>
      </c>
      <c r="AL206" s="7" t="s">
        <v>257</v>
      </c>
      <c r="AM206" s="7" t="s">
        <v>278</v>
      </c>
    </row>
    <row r="207" spans="1:40" ht="22.5" customHeight="1" x14ac:dyDescent="0.2">
      <c r="A207" s="6">
        <v>45992.442208564811</v>
      </c>
      <c r="B207" s="7" t="s">
        <v>984</v>
      </c>
      <c r="C207" s="7">
        <v>34</v>
      </c>
      <c r="D207" s="7" t="s">
        <v>73</v>
      </c>
      <c r="E207" s="7" t="s">
        <v>43</v>
      </c>
      <c r="F207" s="7" t="s">
        <v>172</v>
      </c>
      <c r="G207" s="7" t="s">
        <v>60</v>
      </c>
      <c r="H207" s="7">
        <v>5</v>
      </c>
      <c r="I207" s="7">
        <v>2</v>
      </c>
      <c r="J207" s="7" t="s">
        <v>290</v>
      </c>
      <c r="K207" s="7" t="s">
        <v>47</v>
      </c>
      <c r="N207" s="7" t="s">
        <v>291</v>
      </c>
      <c r="P207" s="7">
        <v>9</v>
      </c>
      <c r="Q207" s="7">
        <v>10</v>
      </c>
      <c r="R207" s="7">
        <v>7</v>
      </c>
      <c r="Y207" s="7">
        <v>6</v>
      </c>
      <c r="Z207" s="7">
        <v>35</v>
      </c>
      <c r="AA207" s="7">
        <v>55</v>
      </c>
      <c r="AE207" s="7">
        <v>7000</v>
      </c>
      <c r="AF207" s="7" t="s">
        <v>159</v>
      </c>
      <c r="AG207" s="7" t="s">
        <v>284</v>
      </c>
      <c r="AH207" s="7">
        <v>9</v>
      </c>
      <c r="AI207" s="7" t="s">
        <v>559</v>
      </c>
      <c r="AJ207" s="7" t="s">
        <v>362</v>
      </c>
      <c r="AK207" s="7" t="s">
        <v>307</v>
      </c>
      <c r="AL207" s="7" t="s">
        <v>68</v>
      </c>
      <c r="AN207" s="7" t="s">
        <v>259</v>
      </c>
    </row>
    <row r="208" spans="1:40" ht="22.5" customHeight="1" x14ac:dyDescent="0.2">
      <c r="A208" s="6">
        <v>45992.443619016209</v>
      </c>
      <c r="B208" s="7" t="s">
        <v>985</v>
      </c>
      <c r="C208" s="7">
        <v>28</v>
      </c>
      <c r="D208" s="7" t="s">
        <v>73</v>
      </c>
      <c r="E208" s="7" t="s">
        <v>58</v>
      </c>
      <c r="F208" s="7" t="s">
        <v>74</v>
      </c>
      <c r="G208" s="7" t="s">
        <v>45</v>
      </c>
      <c r="H208" s="7">
        <v>4</v>
      </c>
      <c r="I208" s="7">
        <v>1</v>
      </c>
      <c r="J208" s="7" t="s">
        <v>46</v>
      </c>
      <c r="K208" s="7" t="s">
        <v>47</v>
      </c>
      <c r="P208" s="7">
        <v>3</v>
      </c>
      <c r="Q208" s="7">
        <v>24</v>
      </c>
      <c r="R208" s="7">
        <v>13</v>
      </c>
      <c r="AE208" s="7">
        <v>1600</v>
      </c>
      <c r="AF208" s="7" t="s">
        <v>252</v>
      </c>
      <c r="AG208" s="7" t="s">
        <v>253</v>
      </c>
      <c r="AH208" s="7">
        <v>10</v>
      </c>
      <c r="AI208" s="7" t="s">
        <v>255</v>
      </c>
      <c r="AJ208" s="7" t="s">
        <v>85</v>
      </c>
      <c r="AK208" s="7" t="s">
        <v>256</v>
      </c>
      <c r="AL208" s="7" t="s">
        <v>152</v>
      </c>
      <c r="AM208" s="7" t="s">
        <v>258</v>
      </c>
    </row>
    <row r="209" spans="1:41" ht="22.5" customHeight="1" x14ac:dyDescent="0.2">
      <c r="A209" s="6">
        <v>45992.444605532408</v>
      </c>
      <c r="B209" s="7" t="s">
        <v>986</v>
      </c>
      <c r="C209" s="7">
        <v>22</v>
      </c>
      <c r="D209" s="7" t="s">
        <v>42</v>
      </c>
      <c r="E209" s="7" t="s">
        <v>43</v>
      </c>
      <c r="F209" s="7" t="s">
        <v>562</v>
      </c>
      <c r="G209" s="7" t="s">
        <v>182</v>
      </c>
      <c r="H209" s="7">
        <v>5</v>
      </c>
      <c r="I209" s="7">
        <v>1</v>
      </c>
      <c r="J209" s="7" t="s">
        <v>100</v>
      </c>
      <c r="L209" s="7" t="s">
        <v>47</v>
      </c>
      <c r="S209" s="7">
        <v>4</v>
      </c>
      <c r="T209" s="7">
        <v>9</v>
      </c>
      <c r="U209" s="7">
        <v>5</v>
      </c>
      <c r="AE209" s="7">
        <v>600</v>
      </c>
      <c r="AF209" s="7" t="s">
        <v>323</v>
      </c>
      <c r="AG209" s="7" t="s">
        <v>284</v>
      </c>
      <c r="AH209" s="7">
        <v>4</v>
      </c>
      <c r="AI209" s="7" t="s">
        <v>285</v>
      </c>
      <c r="AJ209" s="7" t="s">
        <v>96</v>
      </c>
      <c r="AK209" s="7" t="s">
        <v>325</v>
      </c>
      <c r="AL209" s="7" t="s">
        <v>257</v>
      </c>
      <c r="AM209" s="7" t="s">
        <v>286</v>
      </c>
    </row>
    <row r="210" spans="1:41" ht="22.5" customHeight="1" x14ac:dyDescent="0.2">
      <c r="A210" s="6">
        <v>45992.446370335645</v>
      </c>
      <c r="B210" s="7" t="s">
        <v>987</v>
      </c>
      <c r="C210" s="7">
        <v>31</v>
      </c>
      <c r="D210" s="7" t="s">
        <v>73</v>
      </c>
      <c r="E210" s="7" t="s">
        <v>43</v>
      </c>
      <c r="F210" s="7" t="s">
        <v>44</v>
      </c>
      <c r="G210" s="7" t="s">
        <v>45</v>
      </c>
      <c r="H210" s="7">
        <v>6</v>
      </c>
      <c r="I210" s="7">
        <v>2</v>
      </c>
      <c r="J210" s="7" t="s">
        <v>988</v>
      </c>
      <c r="K210" s="7" t="s">
        <v>47</v>
      </c>
      <c r="N210" s="7" t="s">
        <v>291</v>
      </c>
      <c r="P210" s="7">
        <v>6</v>
      </c>
      <c r="Q210" s="7">
        <v>10</v>
      </c>
      <c r="R210" s="7">
        <v>7</v>
      </c>
      <c r="Y210" s="7">
        <v>8</v>
      </c>
      <c r="Z210" s="7">
        <v>45</v>
      </c>
      <c r="AA210" s="7">
        <v>70</v>
      </c>
      <c r="AE210" s="7">
        <v>9000</v>
      </c>
      <c r="AF210" s="7" t="s">
        <v>159</v>
      </c>
      <c r="AG210" s="7" t="s">
        <v>295</v>
      </c>
      <c r="AH210" s="7">
        <v>7</v>
      </c>
      <c r="AI210" s="7" t="s">
        <v>296</v>
      </c>
      <c r="AJ210" s="7" t="s">
        <v>362</v>
      </c>
      <c r="AK210" s="7" t="s">
        <v>307</v>
      </c>
      <c r="AL210" s="7" t="s">
        <v>68</v>
      </c>
      <c r="AM210" s="7" t="s">
        <v>258</v>
      </c>
    </row>
    <row r="211" spans="1:41" ht="22.5" customHeight="1" x14ac:dyDescent="0.2">
      <c r="A211" s="6">
        <v>45992.44787650463</v>
      </c>
      <c r="B211" s="7" t="s">
        <v>989</v>
      </c>
      <c r="C211" s="7">
        <v>39</v>
      </c>
      <c r="D211" s="7" t="s">
        <v>42</v>
      </c>
      <c r="E211" s="7" t="s">
        <v>58</v>
      </c>
      <c r="F211" s="7" t="s">
        <v>138</v>
      </c>
      <c r="G211" s="7" t="s">
        <v>109</v>
      </c>
      <c r="H211" s="7">
        <v>3</v>
      </c>
      <c r="I211" s="7">
        <v>2</v>
      </c>
      <c r="J211" s="7" t="s">
        <v>269</v>
      </c>
      <c r="L211" s="7" t="s">
        <v>47</v>
      </c>
      <c r="M211" s="7" t="s">
        <v>291</v>
      </c>
      <c r="S211" s="7">
        <v>3</v>
      </c>
      <c r="T211" s="7">
        <v>6</v>
      </c>
      <c r="U211" s="7">
        <v>4</v>
      </c>
      <c r="V211" s="7">
        <v>5</v>
      </c>
      <c r="W211" s="7">
        <v>20</v>
      </c>
      <c r="X211" s="7">
        <v>28</v>
      </c>
      <c r="AE211" s="7">
        <v>5200</v>
      </c>
      <c r="AF211" s="7" t="s">
        <v>252</v>
      </c>
      <c r="AG211" s="7" t="s">
        <v>253</v>
      </c>
      <c r="AH211" s="7">
        <v>9</v>
      </c>
      <c r="AI211" s="7" t="s">
        <v>255</v>
      </c>
      <c r="AJ211" s="7" t="s">
        <v>85</v>
      </c>
      <c r="AK211" s="7" t="s">
        <v>335</v>
      </c>
      <c r="AL211" s="7" t="s">
        <v>257</v>
      </c>
      <c r="AM211" s="7" t="s">
        <v>401</v>
      </c>
    </row>
    <row r="212" spans="1:41" ht="22.5" customHeight="1" x14ac:dyDescent="0.2">
      <c r="A212" s="6">
        <v>45992.449721145837</v>
      </c>
      <c r="B212" s="7" t="s">
        <v>990</v>
      </c>
      <c r="C212" s="7">
        <v>26</v>
      </c>
      <c r="D212" s="7" t="s">
        <v>73</v>
      </c>
      <c r="E212" s="7" t="s">
        <v>58</v>
      </c>
      <c r="F212" s="7" t="s">
        <v>74</v>
      </c>
      <c r="G212" s="7" t="s">
        <v>60</v>
      </c>
      <c r="H212" s="7">
        <v>4</v>
      </c>
      <c r="I212" s="7">
        <v>1</v>
      </c>
      <c r="J212" s="7" t="s">
        <v>46</v>
      </c>
      <c r="K212" s="7" t="s">
        <v>47</v>
      </c>
      <c r="P212" s="7">
        <v>4</v>
      </c>
      <c r="Q212" s="7">
        <v>26</v>
      </c>
      <c r="R212" s="7">
        <v>15</v>
      </c>
      <c r="AE212" s="7">
        <v>1800</v>
      </c>
      <c r="AF212" s="7" t="s">
        <v>360</v>
      </c>
      <c r="AG212" s="7" t="s">
        <v>991</v>
      </c>
      <c r="AH212" s="7">
        <v>11</v>
      </c>
      <c r="AI212" s="7" t="s">
        <v>255</v>
      </c>
      <c r="AJ212" s="7" t="s">
        <v>277</v>
      </c>
      <c r="AK212" s="7" t="s">
        <v>256</v>
      </c>
      <c r="AL212" s="7" t="s">
        <v>152</v>
      </c>
      <c r="AM212" s="7" t="s">
        <v>278</v>
      </c>
    </row>
    <row r="213" spans="1:41" ht="22.5" customHeight="1" x14ac:dyDescent="0.2">
      <c r="A213" s="6">
        <v>45992.450817280092</v>
      </c>
      <c r="B213" s="7" t="s">
        <v>992</v>
      </c>
      <c r="C213" s="7">
        <v>42</v>
      </c>
      <c r="D213" s="7" t="s">
        <v>73</v>
      </c>
      <c r="E213" s="7" t="s">
        <v>43</v>
      </c>
      <c r="F213" s="7" t="s">
        <v>172</v>
      </c>
      <c r="G213" s="7" t="s">
        <v>89</v>
      </c>
      <c r="H213" s="7">
        <v>6</v>
      </c>
      <c r="I213" s="7">
        <v>3</v>
      </c>
      <c r="J213" s="7" t="s">
        <v>309</v>
      </c>
      <c r="K213" s="7" t="s">
        <v>47</v>
      </c>
      <c r="M213" s="7" t="s">
        <v>47</v>
      </c>
      <c r="N213" s="7" t="s">
        <v>291</v>
      </c>
      <c r="P213" s="7">
        <v>7</v>
      </c>
      <c r="Q213" s="7">
        <v>16</v>
      </c>
      <c r="R213" s="7">
        <v>9</v>
      </c>
      <c r="V213" s="7">
        <v>2</v>
      </c>
      <c r="W213" s="7">
        <v>30</v>
      </c>
      <c r="X213" s="7">
        <v>32</v>
      </c>
      <c r="Y213" s="7">
        <v>9</v>
      </c>
      <c r="Z213" s="7">
        <v>50</v>
      </c>
      <c r="AA213" s="7">
        <v>80</v>
      </c>
      <c r="AE213" s="7">
        <v>14000</v>
      </c>
      <c r="AF213" s="7" t="s">
        <v>276</v>
      </c>
      <c r="AG213" s="7" t="s">
        <v>253</v>
      </c>
      <c r="AH213" s="7">
        <v>12</v>
      </c>
      <c r="AI213" s="7" t="s">
        <v>559</v>
      </c>
      <c r="AJ213" s="7" t="s">
        <v>362</v>
      </c>
      <c r="AK213" s="7" t="s">
        <v>307</v>
      </c>
      <c r="AL213" s="7" t="s">
        <v>257</v>
      </c>
      <c r="AM213" s="7" t="s">
        <v>363</v>
      </c>
    </row>
    <row r="214" spans="1:41" ht="22.5" customHeight="1" x14ac:dyDescent="0.2">
      <c r="A214" s="6">
        <v>45992.452292303242</v>
      </c>
      <c r="B214" s="7" t="s">
        <v>993</v>
      </c>
      <c r="C214" s="7">
        <v>18</v>
      </c>
      <c r="D214" s="7" t="s">
        <v>42</v>
      </c>
      <c r="E214" s="7" t="s">
        <v>58</v>
      </c>
      <c r="F214" s="7" t="s">
        <v>562</v>
      </c>
      <c r="G214" s="7" t="s">
        <v>182</v>
      </c>
      <c r="H214" s="7">
        <v>3</v>
      </c>
      <c r="I214" s="7">
        <v>1</v>
      </c>
      <c r="J214" s="7" t="s">
        <v>100</v>
      </c>
      <c r="L214" s="7" t="s">
        <v>47</v>
      </c>
      <c r="S214" s="7">
        <v>1</v>
      </c>
      <c r="T214" s="7">
        <v>8</v>
      </c>
      <c r="U214" s="7">
        <v>4</v>
      </c>
      <c r="AE214" s="7">
        <v>500</v>
      </c>
      <c r="AF214" s="7" t="s">
        <v>252</v>
      </c>
      <c r="AG214" s="7" t="s">
        <v>361</v>
      </c>
      <c r="AH214" s="7">
        <v>3</v>
      </c>
      <c r="AI214" s="7" t="s">
        <v>285</v>
      </c>
      <c r="AJ214" s="7" t="s">
        <v>96</v>
      </c>
      <c r="AK214" s="7" t="s">
        <v>335</v>
      </c>
      <c r="AL214" s="7" t="s">
        <v>152</v>
      </c>
      <c r="AM214" s="7" t="s">
        <v>286</v>
      </c>
    </row>
    <row r="215" spans="1:41" ht="22.5" customHeight="1" x14ac:dyDescent="0.2">
      <c r="A215" s="6">
        <v>45992.454153275467</v>
      </c>
      <c r="B215" s="7" t="s">
        <v>994</v>
      </c>
      <c r="C215" s="7">
        <v>30</v>
      </c>
      <c r="D215" s="7" t="s">
        <v>73</v>
      </c>
      <c r="E215" s="7" t="s">
        <v>43</v>
      </c>
      <c r="F215" s="7" t="s">
        <v>339</v>
      </c>
      <c r="G215" s="7" t="s">
        <v>182</v>
      </c>
      <c r="H215" s="7">
        <v>5</v>
      </c>
      <c r="I215" s="7">
        <v>1</v>
      </c>
      <c r="J215" s="7" t="s">
        <v>46</v>
      </c>
      <c r="K215" s="7" t="s">
        <v>47</v>
      </c>
      <c r="P215" s="7">
        <v>10</v>
      </c>
      <c r="Q215" s="7">
        <v>12</v>
      </c>
      <c r="R215" s="7">
        <v>7</v>
      </c>
      <c r="AE215" s="7">
        <v>850</v>
      </c>
      <c r="AF215" s="7" t="s">
        <v>159</v>
      </c>
      <c r="AG215" s="7" t="s">
        <v>295</v>
      </c>
      <c r="AH215" s="7">
        <v>5</v>
      </c>
      <c r="AI215" s="7" t="s">
        <v>724</v>
      </c>
      <c r="AJ215" s="7" t="s">
        <v>277</v>
      </c>
      <c r="AK215" s="7" t="s">
        <v>256</v>
      </c>
      <c r="AL215" s="7" t="s">
        <v>68</v>
      </c>
      <c r="AN215" s="7" t="s">
        <v>460</v>
      </c>
    </row>
    <row r="216" spans="1:41" ht="22.5" customHeight="1" x14ac:dyDescent="0.2">
      <c r="A216" s="6">
        <v>45992.454272708332</v>
      </c>
      <c r="B216" s="7" t="s">
        <v>995</v>
      </c>
      <c r="C216" s="7">
        <v>21</v>
      </c>
      <c r="D216" s="7" t="s">
        <v>42</v>
      </c>
      <c r="E216" s="7" t="s">
        <v>43</v>
      </c>
      <c r="F216" s="7" t="s">
        <v>562</v>
      </c>
      <c r="G216" s="7" t="s">
        <v>182</v>
      </c>
      <c r="H216" s="7">
        <v>4</v>
      </c>
      <c r="I216" s="7">
        <v>1</v>
      </c>
      <c r="J216" s="7" t="s">
        <v>100</v>
      </c>
      <c r="L216" s="7" t="s">
        <v>47</v>
      </c>
      <c r="S216" s="7">
        <v>3</v>
      </c>
      <c r="T216" s="7">
        <v>15</v>
      </c>
      <c r="U216" s="7">
        <v>4</v>
      </c>
      <c r="AE216" s="7">
        <v>450</v>
      </c>
      <c r="AF216" s="7" t="s">
        <v>252</v>
      </c>
      <c r="AG216" s="7" t="s">
        <v>361</v>
      </c>
      <c r="AH216" s="7">
        <v>15</v>
      </c>
      <c r="AI216" s="7" t="s">
        <v>285</v>
      </c>
      <c r="AJ216" s="7" t="s">
        <v>54</v>
      </c>
      <c r="AK216" s="7" t="s">
        <v>256</v>
      </c>
      <c r="AL216" s="7" t="s">
        <v>68</v>
      </c>
      <c r="AN216" s="7" t="s">
        <v>259</v>
      </c>
    </row>
    <row r="217" spans="1:41" ht="22.5" customHeight="1" x14ac:dyDescent="0.2">
      <c r="A217" s="6">
        <v>45992.455035115738</v>
      </c>
      <c r="B217" s="7" t="s">
        <v>996</v>
      </c>
      <c r="C217" s="7">
        <v>25</v>
      </c>
      <c r="D217" s="7" t="s">
        <v>42</v>
      </c>
      <c r="E217" s="7" t="s">
        <v>58</v>
      </c>
      <c r="F217" s="7" t="s">
        <v>74</v>
      </c>
      <c r="G217" s="7" t="s">
        <v>89</v>
      </c>
      <c r="H217" s="7">
        <v>4</v>
      </c>
      <c r="I217" s="7">
        <v>1</v>
      </c>
      <c r="J217" s="7" t="s">
        <v>100</v>
      </c>
      <c r="L217" s="7" t="s">
        <v>47</v>
      </c>
      <c r="S217" s="7">
        <v>3</v>
      </c>
      <c r="T217" s="7">
        <v>12</v>
      </c>
      <c r="U217" s="7">
        <v>6</v>
      </c>
      <c r="AE217" s="7">
        <v>750</v>
      </c>
      <c r="AF217" s="7" t="s">
        <v>323</v>
      </c>
      <c r="AG217" s="7" t="s">
        <v>317</v>
      </c>
      <c r="AH217" s="7">
        <v>6</v>
      </c>
      <c r="AI217" s="7" t="s">
        <v>255</v>
      </c>
      <c r="AJ217" s="7" t="s">
        <v>85</v>
      </c>
      <c r="AK217" s="7" t="s">
        <v>335</v>
      </c>
      <c r="AL217" s="7" t="s">
        <v>152</v>
      </c>
      <c r="AM217" s="7" t="s">
        <v>258</v>
      </c>
    </row>
    <row r="218" spans="1:41" ht="22.5" customHeight="1" x14ac:dyDescent="0.2">
      <c r="A218" s="6">
        <v>45992.456453773149</v>
      </c>
      <c r="B218" s="7" t="s">
        <v>997</v>
      </c>
      <c r="C218" s="7">
        <v>33</v>
      </c>
      <c r="D218" s="7" t="s">
        <v>73</v>
      </c>
      <c r="E218" s="7" t="s">
        <v>43</v>
      </c>
      <c r="F218" s="7" t="s">
        <v>44</v>
      </c>
      <c r="G218" s="7" t="s">
        <v>45</v>
      </c>
      <c r="H218" s="7">
        <v>6</v>
      </c>
      <c r="I218" s="7">
        <v>2</v>
      </c>
      <c r="J218" s="7" t="s">
        <v>290</v>
      </c>
      <c r="K218" s="7" t="s">
        <v>47</v>
      </c>
      <c r="N218" s="7" t="s">
        <v>291</v>
      </c>
      <c r="P218" s="7">
        <v>5</v>
      </c>
      <c r="Q218" s="7">
        <v>14</v>
      </c>
      <c r="R218" s="7">
        <v>9</v>
      </c>
      <c r="Y218" s="7">
        <v>11</v>
      </c>
      <c r="Z218" s="7">
        <v>40</v>
      </c>
      <c r="AA218" s="7">
        <v>62</v>
      </c>
      <c r="AE218" s="7">
        <v>8200</v>
      </c>
      <c r="AF218" s="7" t="s">
        <v>159</v>
      </c>
      <c r="AG218" s="7" t="s">
        <v>284</v>
      </c>
      <c r="AH218" s="7">
        <v>9</v>
      </c>
      <c r="AI218" s="7" t="s">
        <v>296</v>
      </c>
      <c r="AJ218" s="7" t="s">
        <v>362</v>
      </c>
      <c r="AK218" s="7" t="s">
        <v>307</v>
      </c>
      <c r="AL218" s="7" t="s">
        <v>68</v>
      </c>
      <c r="AN218" s="7" t="s">
        <v>998</v>
      </c>
    </row>
    <row r="219" spans="1:41" ht="22.5" customHeight="1" x14ac:dyDescent="0.2">
      <c r="A219" s="6">
        <v>45992.456744328709</v>
      </c>
      <c r="B219" s="7" t="s">
        <v>999</v>
      </c>
      <c r="C219" s="7">
        <v>21</v>
      </c>
      <c r="D219" s="7" t="s">
        <v>42</v>
      </c>
      <c r="E219" s="7" t="s">
        <v>43</v>
      </c>
      <c r="F219" s="7" t="s">
        <v>562</v>
      </c>
      <c r="G219" s="7" t="s">
        <v>182</v>
      </c>
      <c r="H219" s="7">
        <v>6</v>
      </c>
      <c r="I219" s="7">
        <v>1</v>
      </c>
      <c r="J219" s="7" t="s">
        <v>46</v>
      </c>
      <c r="K219" s="7" t="s">
        <v>47</v>
      </c>
      <c r="P219" s="7" t="s">
        <v>537</v>
      </c>
      <c r="Q219" s="7" t="s">
        <v>349</v>
      </c>
      <c r="R219" s="7" t="s">
        <v>1000</v>
      </c>
      <c r="AE219" s="7" t="s">
        <v>1001</v>
      </c>
      <c r="AF219" s="7" t="s">
        <v>252</v>
      </c>
      <c r="AG219" s="7" t="s">
        <v>253</v>
      </c>
      <c r="AH219" s="7" t="s">
        <v>349</v>
      </c>
      <c r="AI219" s="7" t="s">
        <v>285</v>
      </c>
      <c r="AJ219" s="7" t="s">
        <v>85</v>
      </c>
      <c r="AK219" s="7" t="s">
        <v>256</v>
      </c>
      <c r="AL219" s="7" t="s">
        <v>68</v>
      </c>
      <c r="AN219" s="7" t="s">
        <v>259</v>
      </c>
    </row>
    <row r="220" spans="1:41" ht="22.5" customHeight="1" x14ac:dyDescent="0.2">
      <c r="A220" s="6">
        <v>45994.452263425927</v>
      </c>
      <c r="B220" s="7" t="s">
        <v>1002</v>
      </c>
      <c r="C220" s="7">
        <v>21</v>
      </c>
      <c r="D220" s="7" t="s">
        <v>73</v>
      </c>
      <c r="E220" s="7" t="s">
        <v>43</v>
      </c>
      <c r="F220" s="7" t="s">
        <v>562</v>
      </c>
      <c r="G220" s="7" t="s">
        <v>182</v>
      </c>
      <c r="H220" s="7">
        <v>4</v>
      </c>
      <c r="I220" s="7">
        <v>2</v>
      </c>
      <c r="J220" s="7" t="s">
        <v>61</v>
      </c>
      <c r="K220" s="7" t="s">
        <v>47</v>
      </c>
      <c r="L220" s="7" t="s">
        <v>47</v>
      </c>
      <c r="P220" s="7" t="s">
        <v>270</v>
      </c>
      <c r="Q220" s="7">
        <v>40</v>
      </c>
      <c r="R220" s="7">
        <v>2000</v>
      </c>
      <c r="S220" s="7" t="s">
        <v>537</v>
      </c>
      <c r="T220" s="7">
        <v>30</v>
      </c>
      <c r="U220" s="7">
        <v>1100</v>
      </c>
      <c r="AE220" s="7" t="s">
        <v>1003</v>
      </c>
      <c r="AF220" s="7" t="s">
        <v>252</v>
      </c>
      <c r="AG220" s="7" t="s">
        <v>253</v>
      </c>
      <c r="AH220" s="7" t="s">
        <v>239</v>
      </c>
      <c r="AI220" s="7" t="s">
        <v>285</v>
      </c>
      <c r="AJ220" s="7" t="s">
        <v>277</v>
      </c>
      <c r="AK220" s="7" t="s">
        <v>256</v>
      </c>
      <c r="AL220" s="7" t="s">
        <v>257</v>
      </c>
      <c r="AM220" s="7" t="s">
        <v>363</v>
      </c>
      <c r="AO220" s="7" t="s">
        <v>1004</v>
      </c>
    </row>
    <row r="221" spans="1:41" ht="22.5" customHeight="1" x14ac:dyDescent="0.2">
      <c r="A221" s="6">
        <v>45994.498741689815</v>
      </c>
      <c r="B221" s="7" t="s">
        <v>1005</v>
      </c>
      <c r="C221" s="7">
        <v>24</v>
      </c>
      <c r="D221" s="7" t="s">
        <v>42</v>
      </c>
      <c r="F221" s="7" t="s">
        <v>74</v>
      </c>
      <c r="G221" s="7" t="s">
        <v>89</v>
      </c>
      <c r="H221" s="7">
        <v>5</v>
      </c>
      <c r="I221" s="7">
        <v>3</v>
      </c>
      <c r="J221" s="7" t="s">
        <v>100</v>
      </c>
      <c r="L221" s="7" t="s">
        <v>47</v>
      </c>
      <c r="S221" s="7">
        <v>1</v>
      </c>
      <c r="T221" s="7" t="s">
        <v>50</v>
      </c>
      <c r="U221" s="7">
        <v>10</v>
      </c>
      <c r="AE221" s="7">
        <v>500</v>
      </c>
      <c r="AF221" s="7" t="s">
        <v>252</v>
      </c>
      <c r="AG221" s="7" t="s">
        <v>253</v>
      </c>
      <c r="AH221" s="7">
        <v>1</v>
      </c>
      <c r="AI221" s="7" t="s">
        <v>285</v>
      </c>
      <c r="AJ221" s="7" t="s">
        <v>85</v>
      </c>
      <c r="AK221" s="7" t="s">
        <v>256</v>
      </c>
      <c r="AL221" s="7" t="s">
        <v>152</v>
      </c>
      <c r="AM221" s="7" t="s">
        <v>286</v>
      </c>
    </row>
    <row r="222" spans="1:41" ht="22.5" customHeight="1" x14ac:dyDescent="0.2">
      <c r="A222" s="6">
        <v>45994.498976874995</v>
      </c>
      <c r="B222" s="7" t="s">
        <v>1006</v>
      </c>
      <c r="C222" s="7">
        <v>25</v>
      </c>
      <c r="D222" s="7" t="s">
        <v>42</v>
      </c>
      <c r="E222" s="7" t="s">
        <v>43</v>
      </c>
      <c r="F222" s="7" t="s">
        <v>74</v>
      </c>
      <c r="G222" s="7" t="s">
        <v>182</v>
      </c>
      <c r="H222" s="7">
        <v>4</v>
      </c>
      <c r="I222" s="7">
        <v>2</v>
      </c>
      <c r="J222" s="7" t="s">
        <v>46</v>
      </c>
      <c r="K222" s="7" t="s">
        <v>47</v>
      </c>
      <c r="P222" s="7">
        <v>20</v>
      </c>
      <c r="Q222" s="7" t="s">
        <v>150</v>
      </c>
      <c r="R222" s="7" t="s">
        <v>1007</v>
      </c>
      <c r="AE222" s="7">
        <v>20000</v>
      </c>
      <c r="AF222" s="7" t="s">
        <v>252</v>
      </c>
      <c r="AG222" s="7" t="s">
        <v>631</v>
      </c>
      <c r="AH222" s="7" t="s">
        <v>142</v>
      </c>
      <c r="AI222" s="7" t="s">
        <v>285</v>
      </c>
      <c r="AJ222" s="7" t="s">
        <v>54</v>
      </c>
      <c r="AK222" s="7" t="s">
        <v>265</v>
      </c>
      <c r="AL222" s="7" t="s">
        <v>152</v>
      </c>
      <c r="AM222" s="7" t="s">
        <v>258</v>
      </c>
      <c r="AN222" s="7" t="s">
        <v>638</v>
      </c>
      <c r="AO222" s="7" t="s">
        <v>68</v>
      </c>
    </row>
    <row r="223" spans="1:41" ht="22.5" customHeight="1" x14ac:dyDescent="0.2">
      <c r="A223" s="6">
        <v>45994.504416099539</v>
      </c>
      <c r="B223" s="7" t="s">
        <v>1008</v>
      </c>
      <c r="C223" s="7">
        <v>21</v>
      </c>
      <c r="D223" s="7" t="s">
        <v>42</v>
      </c>
      <c r="F223" s="7" t="s">
        <v>562</v>
      </c>
      <c r="G223" s="7" t="s">
        <v>182</v>
      </c>
      <c r="H223" s="7">
        <v>4</v>
      </c>
      <c r="I223" s="7">
        <v>2</v>
      </c>
      <c r="J223" s="7" t="s">
        <v>431</v>
      </c>
      <c r="M223" s="7" t="s">
        <v>291</v>
      </c>
      <c r="V223" s="7">
        <v>5</v>
      </c>
      <c r="Z223" s="7">
        <v>10</v>
      </c>
      <c r="AA223" s="7">
        <v>6</v>
      </c>
      <c r="AF223" s="7" t="s">
        <v>252</v>
      </c>
      <c r="AG223" s="7" t="s">
        <v>253</v>
      </c>
      <c r="AH223" s="7" t="s">
        <v>1009</v>
      </c>
      <c r="AI223" s="7" t="s">
        <v>255</v>
      </c>
      <c r="AJ223" s="7" t="s">
        <v>54</v>
      </c>
      <c r="AK223" s="7" t="s">
        <v>256</v>
      </c>
      <c r="AL223" s="7" t="s">
        <v>68</v>
      </c>
      <c r="AN223" s="7" t="s">
        <v>460</v>
      </c>
    </row>
    <row r="224" spans="1:41" ht="22.5" customHeight="1" x14ac:dyDescent="0.2">
      <c r="A224" s="6">
        <v>45994.532083287035</v>
      </c>
      <c r="B224" s="7" t="s">
        <v>1010</v>
      </c>
      <c r="C224" s="7">
        <v>25</v>
      </c>
      <c r="D224" s="7" t="s">
        <v>42</v>
      </c>
      <c r="E224" s="7" t="s">
        <v>43</v>
      </c>
      <c r="F224" s="7" t="s">
        <v>74</v>
      </c>
      <c r="G224" s="7" t="s">
        <v>89</v>
      </c>
      <c r="H224" s="7">
        <v>5</v>
      </c>
      <c r="I224" s="7">
        <v>2</v>
      </c>
      <c r="J224" s="7" t="s">
        <v>100</v>
      </c>
      <c r="L224" s="7" t="s">
        <v>47</v>
      </c>
      <c r="S224" s="7" t="s">
        <v>270</v>
      </c>
      <c r="T224" s="7" t="s">
        <v>142</v>
      </c>
      <c r="U224" s="7">
        <v>2000</v>
      </c>
      <c r="AF224" s="7" t="s">
        <v>159</v>
      </c>
      <c r="AG224" s="7" t="s">
        <v>361</v>
      </c>
      <c r="AH224" s="7" t="s">
        <v>142</v>
      </c>
      <c r="AI224" s="7" t="s">
        <v>285</v>
      </c>
      <c r="AJ224" s="7" t="s">
        <v>362</v>
      </c>
      <c r="AK224" s="7" t="s">
        <v>307</v>
      </c>
      <c r="AL224" s="7" t="s">
        <v>257</v>
      </c>
      <c r="AM224" s="7" t="s">
        <v>368</v>
      </c>
    </row>
    <row r="225" spans="1:41" ht="22.5" customHeight="1" x14ac:dyDescent="0.2">
      <c r="A225" s="6">
        <v>45994.533505486106</v>
      </c>
      <c r="B225" s="7" t="s">
        <v>1011</v>
      </c>
      <c r="C225" s="7">
        <v>35</v>
      </c>
      <c r="D225" s="7" t="s">
        <v>42</v>
      </c>
      <c r="E225" s="7" t="s">
        <v>58</v>
      </c>
      <c r="F225" s="7" t="s">
        <v>138</v>
      </c>
      <c r="G225" s="7" t="s">
        <v>155</v>
      </c>
      <c r="H225" s="7">
        <v>4</v>
      </c>
      <c r="I225" s="7">
        <v>2</v>
      </c>
      <c r="J225" s="7" t="s">
        <v>61</v>
      </c>
      <c r="K225" s="7" t="s">
        <v>47</v>
      </c>
      <c r="L225" s="7" t="s">
        <v>47</v>
      </c>
      <c r="P225" s="8" t="s">
        <v>629</v>
      </c>
      <c r="Q225" s="7" t="s">
        <v>1012</v>
      </c>
      <c r="R225" s="7" t="s">
        <v>1013</v>
      </c>
      <c r="S225" s="7">
        <v>11</v>
      </c>
      <c r="T225" s="7" t="s">
        <v>1014</v>
      </c>
      <c r="U225" s="7" t="s">
        <v>1015</v>
      </c>
      <c r="AE225" s="7">
        <v>10000</v>
      </c>
      <c r="AF225" s="7" t="s">
        <v>323</v>
      </c>
      <c r="AG225" s="7" t="s">
        <v>1016</v>
      </c>
      <c r="AH225" s="7" t="s">
        <v>1017</v>
      </c>
      <c r="AI225" s="7" t="s">
        <v>255</v>
      </c>
      <c r="AJ225" s="7" t="s">
        <v>362</v>
      </c>
      <c r="AK225" s="7" t="s">
        <v>307</v>
      </c>
      <c r="AL225" s="7" t="s">
        <v>257</v>
      </c>
      <c r="AM225" s="7" t="s">
        <v>689</v>
      </c>
      <c r="AO225" s="7" t="s">
        <v>1018</v>
      </c>
    </row>
    <row r="226" spans="1:41" ht="22.5" customHeight="1" x14ac:dyDescent="0.2">
      <c r="A226" s="6">
        <v>45995.409809976853</v>
      </c>
      <c r="B226" s="7" t="s">
        <v>1019</v>
      </c>
      <c r="C226" s="7">
        <v>21</v>
      </c>
      <c r="D226" s="7" t="s">
        <v>42</v>
      </c>
      <c r="E226" s="7" t="s">
        <v>43</v>
      </c>
      <c r="F226" s="7" t="s">
        <v>562</v>
      </c>
      <c r="G226" s="7" t="s">
        <v>182</v>
      </c>
      <c r="H226" s="7">
        <v>4</v>
      </c>
      <c r="I226" s="7">
        <v>1</v>
      </c>
      <c r="J226" s="7" t="s">
        <v>46</v>
      </c>
      <c r="K226" s="7" t="s">
        <v>47</v>
      </c>
      <c r="P226" s="7">
        <v>3</v>
      </c>
      <c r="Q226" s="7">
        <v>10</v>
      </c>
      <c r="R226" s="7">
        <v>1000</v>
      </c>
      <c r="AE226" s="7">
        <v>1000</v>
      </c>
      <c r="AF226" s="7" t="s">
        <v>252</v>
      </c>
      <c r="AG226" s="7" t="s">
        <v>317</v>
      </c>
      <c r="AH226" s="7">
        <v>10</v>
      </c>
      <c r="AI226" s="7" t="s">
        <v>296</v>
      </c>
      <c r="AJ226" s="7" t="s">
        <v>54</v>
      </c>
      <c r="AK226" s="7" t="s">
        <v>256</v>
      </c>
      <c r="AL226" s="7" t="s">
        <v>68</v>
      </c>
      <c r="AN226" s="7" t="s">
        <v>259</v>
      </c>
    </row>
    <row r="227" spans="1:41" ht="22.5" customHeight="1" x14ac:dyDescent="0.2">
      <c r="A227" s="6">
        <v>45995.433237974532</v>
      </c>
      <c r="B227" s="7" t="s">
        <v>1020</v>
      </c>
      <c r="C227" s="7">
        <v>21</v>
      </c>
      <c r="D227" s="7" t="s">
        <v>73</v>
      </c>
      <c r="E227" s="7" t="s">
        <v>43</v>
      </c>
      <c r="F227" s="7" t="s">
        <v>562</v>
      </c>
      <c r="G227" s="7" t="s">
        <v>182</v>
      </c>
      <c r="H227" s="7">
        <v>5</v>
      </c>
      <c r="I227" s="7">
        <v>2</v>
      </c>
      <c r="J227" s="7" t="s">
        <v>61</v>
      </c>
      <c r="K227" s="7" t="s">
        <v>47</v>
      </c>
      <c r="L227" s="7" t="s">
        <v>47</v>
      </c>
      <c r="P227" s="7" t="s">
        <v>655</v>
      </c>
      <c r="Q227" s="7" t="s">
        <v>418</v>
      </c>
      <c r="R227" s="7" t="s">
        <v>1021</v>
      </c>
      <c r="S227" s="7" t="s">
        <v>178</v>
      </c>
      <c r="T227" s="7" t="s">
        <v>533</v>
      </c>
      <c r="U227" s="7" t="s">
        <v>1022</v>
      </c>
      <c r="AE227" s="7" t="s">
        <v>1023</v>
      </c>
      <c r="AF227" s="7" t="s">
        <v>252</v>
      </c>
      <c r="AG227" s="7" t="s">
        <v>284</v>
      </c>
      <c r="AH227" s="7" t="s">
        <v>418</v>
      </c>
      <c r="AI227" s="7" t="s">
        <v>296</v>
      </c>
      <c r="AJ227" s="7" t="s">
        <v>96</v>
      </c>
      <c r="AK227" s="7" t="s">
        <v>256</v>
      </c>
      <c r="AL227" s="7" t="s">
        <v>68</v>
      </c>
      <c r="AN227" s="7" t="s">
        <v>259</v>
      </c>
      <c r="AO227" s="7" t="s">
        <v>1024</v>
      </c>
    </row>
    <row r="228" spans="1:41" ht="22.5" customHeight="1" x14ac:dyDescent="0.2">
      <c r="A228" s="6">
        <v>45995.488505775458</v>
      </c>
      <c r="B228" s="7" t="s">
        <v>1025</v>
      </c>
      <c r="C228" s="7">
        <v>21</v>
      </c>
      <c r="D228" s="7" t="s">
        <v>42</v>
      </c>
      <c r="E228" s="7" t="s">
        <v>58</v>
      </c>
      <c r="F228" s="7" t="s">
        <v>562</v>
      </c>
      <c r="G228" s="7" t="s">
        <v>182</v>
      </c>
      <c r="H228" s="7">
        <v>3</v>
      </c>
      <c r="I228" s="7">
        <v>1</v>
      </c>
      <c r="J228" s="7" t="s">
        <v>100</v>
      </c>
      <c r="L228" s="7" t="s">
        <v>47</v>
      </c>
      <c r="S228" s="7">
        <v>10</v>
      </c>
      <c r="T228" s="7">
        <v>8</v>
      </c>
      <c r="U228" s="7">
        <v>4</v>
      </c>
      <c r="AE228" s="7">
        <v>400</v>
      </c>
      <c r="AF228" s="7" t="s">
        <v>159</v>
      </c>
      <c r="AG228" s="7" t="s">
        <v>1026</v>
      </c>
      <c r="AH228" s="7">
        <v>4</v>
      </c>
      <c r="AI228" s="7" t="s">
        <v>306</v>
      </c>
      <c r="AJ228" s="7" t="s">
        <v>85</v>
      </c>
      <c r="AK228" s="7" t="s">
        <v>256</v>
      </c>
      <c r="AL228" s="7" t="s">
        <v>152</v>
      </c>
      <c r="AM228" s="7" t="s">
        <v>689</v>
      </c>
    </row>
    <row r="229" spans="1:41" ht="22.5" customHeight="1" x14ac:dyDescent="0.2">
      <c r="A229" s="6">
        <v>45995.492458344903</v>
      </c>
      <c r="B229" s="7" t="s">
        <v>1027</v>
      </c>
      <c r="C229" s="7">
        <v>21</v>
      </c>
      <c r="D229" s="7" t="s">
        <v>42</v>
      </c>
      <c r="E229" s="7" t="s">
        <v>58</v>
      </c>
      <c r="F229" s="7" t="s">
        <v>562</v>
      </c>
      <c r="G229" s="7" t="s">
        <v>182</v>
      </c>
      <c r="H229" s="7">
        <v>3</v>
      </c>
      <c r="I229" s="7">
        <v>3</v>
      </c>
      <c r="J229" s="7" t="s">
        <v>390</v>
      </c>
      <c r="K229" s="7" t="s">
        <v>47</v>
      </c>
      <c r="L229" s="7" t="s">
        <v>47</v>
      </c>
      <c r="M229" s="7" t="s">
        <v>291</v>
      </c>
      <c r="P229" s="7">
        <v>10</v>
      </c>
      <c r="Q229" s="7">
        <v>4</v>
      </c>
      <c r="R229" s="7">
        <v>30</v>
      </c>
      <c r="S229" s="7">
        <v>4</v>
      </c>
      <c r="T229" s="7">
        <v>25</v>
      </c>
      <c r="U229" s="7">
        <v>15</v>
      </c>
      <c r="V229" s="7">
        <v>8</v>
      </c>
      <c r="W229" s="7">
        <v>15</v>
      </c>
      <c r="X229" s="7">
        <v>45</v>
      </c>
      <c r="AE229" s="7">
        <v>7000</v>
      </c>
      <c r="AF229" s="7" t="s">
        <v>252</v>
      </c>
      <c r="AG229" s="7" t="s">
        <v>559</v>
      </c>
      <c r="AH229" s="7">
        <v>22</v>
      </c>
      <c r="AI229" s="7" t="s">
        <v>285</v>
      </c>
      <c r="AJ229" s="7" t="s">
        <v>54</v>
      </c>
      <c r="AK229" s="7" t="s">
        <v>256</v>
      </c>
      <c r="AL229" s="7" t="s">
        <v>68</v>
      </c>
      <c r="AN229" s="7" t="s">
        <v>303</v>
      </c>
    </row>
    <row r="230" spans="1:41" ht="22.5" customHeight="1" x14ac:dyDescent="0.2">
      <c r="A230" s="6">
        <v>45996.488982025461</v>
      </c>
      <c r="B230" s="7" t="s">
        <v>1028</v>
      </c>
      <c r="C230" s="7">
        <v>21</v>
      </c>
      <c r="D230" s="7" t="s">
        <v>42</v>
      </c>
      <c r="E230" s="7" t="s">
        <v>43</v>
      </c>
      <c r="F230" s="7" t="s">
        <v>59</v>
      </c>
      <c r="G230" s="7" t="s">
        <v>182</v>
      </c>
      <c r="H230" s="7">
        <v>6</v>
      </c>
      <c r="I230" s="7">
        <v>1</v>
      </c>
      <c r="J230" s="7" t="s">
        <v>46</v>
      </c>
      <c r="K230" s="7" t="s">
        <v>47</v>
      </c>
      <c r="AK230" s="7" t="s">
        <v>256</v>
      </c>
      <c r="AL230" s="7" t="s">
        <v>152</v>
      </c>
      <c r="AM230" s="7" t="s">
        <v>258</v>
      </c>
      <c r="AN230" s="7" t="s">
        <v>460</v>
      </c>
    </row>
    <row r="231" spans="1:41" ht="22.5" customHeight="1" x14ac:dyDescent="0.2">
      <c r="A231" s="6">
        <v>45996.501261423611</v>
      </c>
      <c r="B231" s="7" t="s">
        <v>1029</v>
      </c>
      <c r="C231" s="7">
        <v>22</v>
      </c>
      <c r="D231" s="7" t="s">
        <v>73</v>
      </c>
      <c r="E231" s="7" t="s">
        <v>43</v>
      </c>
      <c r="F231" s="7" t="s">
        <v>562</v>
      </c>
      <c r="G231" s="7" t="s">
        <v>182</v>
      </c>
      <c r="H231" s="7">
        <v>4</v>
      </c>
      <c r="I231" s="7">
        <v>3</v>
      </c>
      <c r="J231" s="7" t="s">
        <v>390</v>
      </c>
      <c r="K231" s="7" t="s">
        <v>47</v>
      </c>
      <c r="L231" s="7" t="s">
        <v>47</v>
      </c>
      <c r="M231" s="7" t="s">
        <v>47</v>
      </c>
      <c r="P231" s="7" t="s">
        <v>196</v>
      </c>
      <c r="Q231" s="7" t="s">
        <v>739</v>
      </c>
      <c r="R231" s="7">
        <v>3000</v>
      </c>
      <c r="S231" s="7" t="s">
        <v>1030</v>
      </c>
      <c r="T231" s="7" t="s">
        <v>739</v>
      </c>
      <c r="U231" s="7">
        <v>3000</v>
      </c>
      <c r="V231" s="7" t="s">
        <v>262</v>
      </c>
      <c r="W231" s="7" t="s">
        <v>142</v>
      </c>
      <c r="X231" s="7">
        <v>1500</v>
      </c>
      <c r="Y231" s="7" t="s">
        <v>1031</v>
      </c>
      <c r="Z231" s="7" t="s">
        <v>1031</v>
      </c>
      <c r="AA231" s="7" t="s">
        <v>1031</v>
      </c>
      <c r="AB231" s="7" t="s">
        <v>1031</v>
      </c>
      <c r="AC231" s="7" t="s">
        <v>1031</v>
      </c>
      <c r="AD231" s="7" t="s">
        <v>1031</v>
      </c>
      <c r="AE231" s="7">
        <v>7500</v>
      </c>
      <c r="AF231" s="7" t="s">
        <v>159</v>
      </c>
      <c r="AG231" s="7" t="s">
        <v>631</v>
      </c>
      <c r="AH231" s="7" t="s">
        <v>146</v>
      </c>
      <c r="AI231" s="7" t="s">
        <v>255</v>
      </c>
      <c r="AJ231" s="7" t="s">
        <v>54</v>
      </c>
      <c r="AK231" s="7" t="s">
        <v>265</v>
      </c>
      <c r="AL231" s="7" t="s">
        <v>152</v>
      </c>
      <c r="AM231" s="7" t="s">
        <v>1032</v>
      </c>
      <c r="AO231" s="7" t="s">
        <v>1031</v>
      </c>
    </row>
    <row r="232" spans="1:41" ht="22.5" customHeight="1" x14ac:dyDescent="0.2">
      <c r="A232" s="6">
        <v>45996.501750717594</v>
      </c>
      <c r="B232" s="7" t="s">
        <v>1033</v>
      </c>
      <c r="C232" s="7">
        <v>21</v>
      </c>
      <c r="D232" s="7" t="s">
        <v>73</v>
      </c>
      <c r="F232" s="7" t="s">
        <v>562</v>
      </c>
      <c r="G232" s="7" t="s">
        <v>60</v>
      </c>
      <c r="H232" s="7">
        <v>5</v>
      </c>
      <c r="I232" s="7">
        <v>1</v>
      </c>
      <c r="J232" s="7" t="s">
        <v>100</v>
      </c>
      <c r="K232" s="7" t="s">
        <v>47</v>
      </c>
      <c r="P232" s="7">
        <v>20</v>
      </c>
      <c r="Q232" s="7" t="s">
        <v>145</v>
      </c>
      <c r="R232" s="7" t="s">
        <v>301</v>
      </c>
      <c r="S232" s="7" t="s">
        <v>1034</v>
      </c>
      <c r="T232" s="7">
        <v>12</v>
      </c>
      <c r="U232" s="7" t="s">
        <v>1035</v>
      </c>
    </row>
    <row r="233" spans="1:41" ht="22.5" customHeight="1" x14ac:dyDescent="0.2">
      <c r="A233" s="6">
        <v>45998.558690381949</v>
      </c>
      <c r="B233" s="7" t="s">
        <v>1036</v>
      </c>
      <c r="C233" s="7">
        <v>25</v>
      </c>
      <c r="D233" s="7" t="s">
        <v>42</v>
      </c>
      <c r="E233" s="7" t="s">
        <v>43</v>
      </c>
      <c r="F233" s="7" t="s">
        <v>144</v>
      </c>
      <c r="G233" s="7" t="s">
        <v>89</v>
      </c>
      <c r="H233" s="7">
        <v>5</v>
      </c>
      <c r="I233" s="7">
        <v>1</v>
      </c>
      <c r="J233" s="7" t="s">
        <v>46</v>
      </c>
      <c r="K233" s="7" t="s">
        <v>47</v>
      </c>
      <c r="P233" s="7">
        <v>9</v>
      </c>
      <c r="Q233" s="7">
        <v>14</v>
      </c>
      <c r="R233" s="7">
        <v>15</v>
      </c>
      <c r="AE233" s="7">
        <v>2000</v>
      </c>
      <c r="AF233" s="7" t="s">
        <v>159</v>
      </c>
      <c r="AG233" s="7" t="s">
        <v>253</v>
      </c>
      <c r="AH233" s="7">
        <v>5</v>
      </c>
      <c r="AI233" s="7" t="s">
        <v>724</v>
      </c>
      <c r="AJ233" s="7" t="s">
        <v>85</v>
      </c>
      <c r="AK233" s="7" t="s">
        <v>1037</v>
      </c>
      <c r="AL233" s="7" t="s">
        <v>152</v>
      </c>
      <c r="AM233" s="7" t="s">
        <v>1038</v>
      </c>
    </row>
    <row r="234" spans="1:41" ht="22.5" customHeight="1" x14ac:dyDescent="0.2">
      <c r="A234" s="6">
        <v>45998.564132372689</v>
      </c>
      <c r="B234" s="7" t="s">
        <v>1039</v>
      </c>
      <c r="C234" s="7">
        <v>36</v>
      </c>
      <c r="D234" s="7" t="s">
        <v>42</v>
      </c>
      <c r="E234" s="7" t="s">
        <v>43</v>
      </c>
      <c r="F234" s="7" t="s">
        <v>144</v>
      </c>
      <c r="G234" s="7" t="s">
        <v>89</v>
      </c>
      <c r="H234" s="7">
        <v>4</v>
      </c>
      <c r="I234" s="7">
        <v>2</v>
      </c>
      <c r="J234" s="7" t="s">
        <v>61</v>
      </c>
      <c r="K234" s="7" t="s">
        <v>47</v>
      </c>
      <c r="L234" s="7" t="s">
        <v>47</v>
      </c>
      <c r="M234" s="7" t="s">
        <v>291</v>
      </c>
      <c r="N234" s="7" t="s">
        <v>291</v>
      </c>
      <c r="P234" s="7">
        <v>5</v>
      </c>
      <c r="Q234" s="7">
        <v>12</v>
      </c>
      <c r="R234" s="7">
        <v>30</v>
      </c>
      <c r="S234" s="7">
        <v>3</v>
      </c>
      <c r="T234" s="7">
        <v>10</v>
      </c>
      <c r="U234" s="7">
        <v>15</v>
      </c>
      <c r="AE234" s="7">
        <v>4000</v>
      </c>
      <c r="AF234" s="7" t="s">
        <v>252</v>
      </c>
      <c r="AG234" s="7" t="s">
        <v>1040</v>
      </c>
      <c r="AH234" s="7">
        <v>3</v>
      </c>
      <c r="AI234" s="7" t="s">
        <v>344</v>
      </c>
      <c r="AJ234" s="7" t="s">
        <v>362</v>
      </c>
      <c r="AK234" s="7" t="s">
        <v>307</v>
      </c>
      <c r="AL234" s="7" t="s">
        <v>152</v>
      </c>
      <c r="AM234" s="7" t="s">
        <v>1041</v>
      </c>
    </row>
    <row r="235" spans="1:41" ht="22.5" customHeight="1" x14ac:dyDescent="0.2">
      <c r="A235" s="6">
        <v>45998.568771041668</v>
      </c>
      <c r="B235" s="7" t="s">
        <v>1042</v>
      </c>
      <c r="C235" s="7">
        <v>39</v>
      </c>
      <c r="D235" s="7" t="s">
        <v>73</v>
      </c>
      <c r="E235" s="7" t="s">
        <v>43</v>
      </c>
      <c r="F235" s="7" t="s">
        <v>138</v>
      </c>
      <c r="G235" s="7" t="s">
        <v>109</v>
      </c>
      <c r="H235" s="7">
        <v>5</v>
      </c>
      <c r="I235" s="7">
        <v>2</v>
      </c>
      <c r="J235" s="7" t="s">
        <v>61</v>
      </c>
      <c r="K235" s="7" t="s">
        <v>47</v>
      </c>
      <c r="L235" s="7" t="s">
        <v>47</v>
      </c>
      <c r="P235" s="7">
        <v>38</v>
      </c>
      <c r="Q235" s="7" t="s">
        <v>220</v>
      </c>
      <c r="R235" s="7" t="s">
        <v>1043</v>
      </c>
      <c r="S235" s="7">
        <v>14</v>
      </c>
      <c r="T235" s="7" t="s">
        <v>1009</v>
      </c>
      <c r="U235" s="7" t="s">
        <v>1044</v>
      </c>
      <c r="AF235" s="7" t="s">
        <v>252</v>
      </c>
      <c r="AG235" s="7" t="s">
        <v>253</v>
      </c>
      <c r="AH235" s="7" t="s">
        <v>1045</v>
      </c>
      <c r="AI235" s="7" t="s">
        <v>285</v>
      </c>
      <c r="AJ235" s="7" t="s">
        <v>96</v>
      </c>
      <c r="AK235" s="7" t="s">
        <v>256</v>
      </c>
      <c r="AL235" s="7" t="s">
        <v>68</v>
      </c>
      <c r="AN235" s="7" t="s">
        <v>1046</v>
      </c>
      <c r="AO235" s="7" t="s">
        <v>68</v>
      </c>
    </row>
    <row r="236" spans="1:41" ht="22.5" customHeight="1" x14ac:dyDescent="0.2">
      <c r="A236" s="6">
        <v>45999.533950324076</v>
      </c>
      <c r="B236" s="7" t="s">
        <v>57</v>
      </c>
      <c r="C236" s="7">
        <v>21</v>
      </c>
      <c r="D236" s="7" t="s">
        <v>42</v>
      </c>
      <c r="E236" s="7" t="s">
        <v>58</v>
      </c>
      <c r="F236" s="7" t="s">
        <v>562</v>
      </c>
      <c r="G236" s="7" t="s">
        <v>45</v>
      </c>
      <c r="H236" s="7">
        <v>4</v>
      </c>
      <c r="I236" s="7">
        <v>2</v>
      </c>
      <c r="J236" s="7" t="s">
        <v>61</v>
      </c>
      <c r="K236" s="7" t="s">
        <v>47</v>
      </c>
      <c r="L236" s="7" t="s">
        <v>47</v>
      </c>
      <c r="P236" s="7">
        <v>20</v>
      </c>
      <c r="Q236" s="7" t="s">
        <v>1009</v>
      </c>
      <c r="R236" s="7">
        <v>500</v>
      </c>
      <c r="S236" s="7">
        <v>25</v>
      </c>
      <c r="T236" s="7" t="s">
        <v>220</v>
      </c>
      <c r="U236" s="7">
        <v>1000</v>
      </c>
      <c r="AF236" s="7" t="s">
        <v>252</v>
      </c>
      <c r="AG236" s="7" t="s">
        <v>284</v>
      </c>
      <c r="AH236" s="7" t="s">
        <v>1009</v>
      </c>
      <c r="AI236" s="7" t="s">
        <v>306</v>
      </c>
      <c r="AJ236" s="7" t="s">
        <v>96</v>
      </c>
      <c r="AK236" s="7" t="s">
        <v>265</v>
      </c>
      <c r="AL236" s="7" t="s">
        <v>68</v>
      </c>
      <c r="AM236" s="7" t="s">
        <v>258</v>
      </c>
      <c r="AN236" s="7" t="s">
        <v>460</v>
      </c>
      <c r="AO236" s="7" t="s">
        <v>68</v>
      </c>
    </row>
    <row r="237" spans="1:41" ht="22.5" customHeight="1" x14ac:dyDescent="0.2">
      <c r="A237" s="6">
        <v>45999.535577789356</v>
      </c>
      <c r="B237" s="7" t="s">
        <v>1047</v>
      </c>
      <c r="C237" s="7">
        <v>20</v>
      </c>
      <c r="D237" s="7" t="s">
        <v>42</v>
      </c>
      <c r="E237" s="7" t="s">
        <v>43</v>
      </c>
      <c r="F237" s="7" t="s">
        <v>562</v>
      </c>
      <c r="G237" s="7" t="s">
        <v>45</v>
      </c>
      <c r="H237" s="7">
        <v>5</v>
      </c>
      <c r="I237" s="7">
        <v>1</v>
      </c>
      <c r="J237" s="7" t="s">
        <v>46</v>
      </c>
      <c r="K237" s="7" t="s">
        <v>47</v>
      </c>
      <c r="P237" s="7">
        <v>35</v>
      </c>
      <c r="Q237" s="7">
        <v>20</v>
      </c>
      <c r="R237" s="7" t="s">
        <v>1048</v>
      </c>
      <c r="AF237" s="7" t="s">
        <v>252</v>
      </c>
      <c r="AG237" s="7" t="s">
        <v>631</v>
      </c>
      <c r="AH237" s="7" t="s">
        <v>239</v>
      </c>
      <c r="AI237" s="7" t="s">
        <v>724</v>
      </c>
      <c r="AJ237" s="7" t="s">
        <v>362</v>
      </c>
      <c r="AK237" s="7" t="s">
        <v>307</v>
      </c>
      <c r="AL237" s="7" t="s">
        <v>68</v>
      </c>
      <c r="AM237" s="7" t="s">
        <v>363</v>
      </c>
      <c r="AO237" s="7" t="s">
        <v>68</v>
      </c>
    </row>
    <row r="238" spans="1:41" ht="22.5" customHeight="1" x14ac:dyDescent="0.2">
      <c r="A238" s="6">
        <v>45999.536868796291</v>
      </c>
      <c r="B238" s="7" t="s">
        <v>1049</v>
      </c>
      <c r="C238" s="7">
        <v>20</v>
      </c>
      <c r="D238" s="7" t="s">
        <v>42</v>
      </c>
      <c r="E238" s="7" t="s">
        <v>43</v>
      </c>
      <c r="F238" s="7" t="s">
        <v>562</v>
      </c>
      <c r="H238" s="7">
        <v>10</v>
      </c>
      <c r="I238" s="7">
        <v>3</v>
      </c>
      <c r="J238" s="7" t="s">
        <v>61</v>
      </c>
      <c r="K238" s="7" t="s">
        <v>47</v>
      </c>
      <c r="P238" s="7">
        <v>25</v>
      </c>
      <c r="Q238" s="7" t="s">
        <v>64</v>
      </c>
      <c r="AH238" s="7" t="s">
        <v>273</v>
      </c>
      <c r="AK238" s="7" t="s">
        <v>410</v>
      </c>
      <c r="AL238" s="7" t="s">
        <v>68</v>
      </c>
      <c r="AN238" s="7" t="s">
        <v>303</v>
      </c>
    </row>
    <row r="239" spans="1:41" ht="22.5" customHeight="1" x14ac:dyDescent="0.2">
      <c r="A239" s="6">
        <v>45999.537171215277</v>
      </c>
      <c r="B239" s="7" t="s">
        <v>1050</v>
      </c>
      <c r="C239" s="7">
        <v>21</v>
      </c>
      <c r="D239" s="7" t="s">
        <v>42</v>
      </c>
      <c r="E239" s="7" t="s">
        <v>43</v>
      </c>
      <c r="F239" s="7" t="s">
        <v>562</v>
      </c>
      <c r="G239" s="7" t="s">
        <v>182</v>
      </c>
      <c r="H239" s="7">
        <v>5</v>
      </c>
      <c r="I239" s="7">
        <v>2</v>
      </c>
      <c r="J239" s="7" t="s">
        <v>46</v>
      </c>
      <c r="K239" s="7" t="s">
        <v>47</v>
      </c>
      <c r="P239" s="7">
        <v>5</v>
      </c>
      <c r="Q239" s="7">
        <v>25</v>
      </c>
      <c r="R239" s="7">
        <v>53</v>
      </c>
      <c r="S239" s="7">
        <v>5</v>
      </c>
      <c r="T239" s="7">
        <v>25</v>
      </c>
      <c r="U239" s="7">
        <v>6</v>
      </c>
      <c r="AE239" s="7">
        <v>5000</v>
      </c>
      <c r="AF239" s="7" t="s">
        <v>857</v>
      </c>
      <c r="AG239" s="7" t="s">
        <v>559</v>
      </c>
      <c r="AI239" s="7" t="s">
        <v>724</v>
      </c>
      <c r="AJ239" s="7" t="s">
        <v>362</v>
      </c>
      <c r="AK239" s="7" t="s">
        <v>307</v>
      </c>
      <c r="AL239" s="7" t="s">
        <v>257</v>
      </c>
      <c r="AM239" s="7" t="s">
        <v>363</v>
      </c>
      <c r="AN239" s="7" t="s">
        <v>460</v>
      </c>
      <c r="AO239" s="7" t="s">
        <v>1051</v>
      </c>
    </row>
    <row r="240" spans="1:41" ht="22.5" customHeight="1" x14ac:dyDescent="0.2">
      <c r="A240" s="6">
        <v>45999.538223252312</v>
      </c>
      <c r="B240" s="7" t="s">
        <v>1019</v>
      </c>
      <c r="C240" s="7">
        <v>21</v>
      </c>
      <c r="D240" s="7" t="s">
        <v>42</v>
      </c>
      <c r="E240" s="7" t="s">
        <v>43</v>
      </c>
      <c r="F240" s="7" t="s">
        <v>562</v>
      </c>
      <c r="G240" s="7" t="s">
        <v>182</v>
      </c>
      <c r="H240" s="7">
        <v>4</v>
      </c>
      <c r="I240" s="7">
        <v>1</v>
      </c>
      <c r="J240" s="7" t="s">
        <v>46</v>
      </c>
      <c r="K240" s="7" t="s">
        <v>47</v>
      </c>
      <c r="P240" s="7">
        <v>4</v>
      </c>
      <c r="Q240" s="7">
        <v>10</v>
      </c>
      <c r="R240" s="7">
        <v>1000</v>
      </c>
      <c r="AE240" s="7">
        <v>1000</v>
      </c>
      <c r="AF240" s="7" t="s">
        <v>252</v>
      </c>
      <c r="AG240" s="7" t="s">
        <v>1052</v>
      </c>
      <c r="AH240" s="7">
        <v>10</v>
      </c>
      <c r="AI240" s="7" t="s">
        <v>724</v>
      </c>
      <c r="AJ240" s="7" t="s">
        <v>54</v>
      </c>
      <c r="AK240" s="7" t="s">
        <v>256</v>
      </c>
      <c r="AL240" s="7" t="s">
        <v>152</v>
      </c>
      <c r="AM240" s="7" t="s">
        <v>1053</v>
      </c>
    </row>
    <row r="241" spans="1:40" ht="22.5" customHeight="1" x14ac:dyDescent="0.2">
      <c r="A241" s="6">
        <v>45999.539132662037</v>
      </c>
      <c r="B241" s="7" t="s">
        <v>1054</v>
      </c>
      <c r="C241" s="7">
        <v>21</v>
      </c>
      <c r="D241" s="7" t="s">
        <v>42</v>
      </c>
      <c r="E241" s="7" t="s">
        <v>58</v>
      </c>
      <c r="F241" s="7" t="s">
        <v>562</v>
      </c>
      <c r="G241" s="7" t="s">
        <v>182</v>
      </c>
      <c r="H241" s="7">
        <v>4</v>
      </c>
      <c r="I241" s="7">
        <v>2</v>
      </c>
      <c r="J241" s="7" t="s">
        <v>46</v>
      </c>
      <c r="K241" s="7" t="s">
        <v>47</v>
      </c>
      <c r="P241" s="7" t="s">
        <v>1055</v>
      </c>
      <c r="Q241" s="7" t="s">
        <v>146</v>
      </c>
      <c r="R241" s="7">
        <v>3000</v>
      </c>
    </row>
    <row r="242" spans="1:40" ht="22.5" customHeight="1" x14ac:dyDescent="0.2">
      <c r="A242" s="6">
        <v>45999.539267905093</v>
      </c>
      <c r="B242" s="7" t="s">
        <v>1056</v>
      </c>
      <c r="C242" s="7">
        <v>22</v>
      </c>
      <c r="D242" s="7" t="s">
        <v>42</v>
      </c>
      <c r="E242" s="7" t="s">
        <v>43</v>
      </c>
      <c r="F242" s="7" t="s">
        <v>562</v>
      </c>
      <c r="G242" s="7" t="s">
        <v>182</v>
      </c>
      <c r="H242" s="7">
        <v>6</v>
      </c>
      <c r="I242" s="7">
        <v>2</v>
      </c>
      <c r="J242" s="7" t="s">
        <v>61</v>
      </c>
      <c r="L242" s="7" t="s">
        <v>47</v>
      </c>
      <c r="P242" s="7" t="s">
        <v>442</v>
      </c>
      <c r="Q242" s="7">
        <v>22</v>
      </c>
      <c r="R242" s="7">
        <v>3000</v>
      </c>
      <c r="S242" s="7" t="s">
        <v>196</v>
      </c>
      <c r="T242" s="7" t="s">
        <v>538</v>
      </c>
      <c r="U242" s="7">
        <v>3000</v>
      </c>
      <c r="AF242" s="7" t="s">
        <v>252</v>
      </c>
      <c r="AG242" s="7" t="s">
        <v>317</v>
      </c>
    </row>
    <row r="243" spans="1:40" ht="22.5" customHeight="1" x14ac:dyDescent="0.2">
      <c r="A243" s="6">
        <v>45999.539976064814</v>
      </c>
      <c r="B243" s="7" t="s">
        <v>1057</v>
      </c>
      <c r="C243" s="7">
        <v>22</v>
      </c>
      <c r="D243" s="7" t="s">
        <v>42</v>
      </c>
      <c r="E243" s="7" t="s">
        <v>43</v>
      </c>
      <c r="F243" s="7" t="s">
        <v>562</v>
      </c>
      <c r="G243" s="7" t="s">
        <v>182</v>
      </c>
      <c r="H243" s="7">
        <v>4</v>
      </c>
      <c r="I243" s="7">
        <v>2</v>
      </c>
      <c r="J243" s="7" t="s">
        <v>46</v>
      </c>
      <c r="K243" s="7" t="s">
        <v>47</v>
      </c>
      <c r="L243" s="7" t="s">
        <v>47</v>
      </c>
      <c r="P243" s="7" t="s">
        <v>1058</v>
      </c>
      <c r="Q243" s="7">
        <v>18</v>
      </c>
      <c r="R243" s="7">
        <v>3000</v>
      </c>
      <c r="S243" s="7">
        <v>15</v>
      </c>
      <c r="T243" s="7">
        <v>18</v>
      </c>
      <c r="U243" s="7">
        <v>3000</v>
      </c>
      <c r="V243" s="7">
        <v>20</v>
      </c>
      <c r="W243" s="7">
        <v>19</v>
      </c>
      <c r="X243" s="7">
        <v>3000</v>
      </c>
    </row>
    <row r="244" spans="1:40" ht="22.5" customHeight="1" x14ac:dyDescent="0.2">
      <c r="A244" s="6">
        <v>45999.553702581019</v>
      </c>
      <c r="B244" s="7" t="s">
        <v>1059</v>
      </c>
      <c r="C244" s="7">
        <v>21</v>
      </c>
      <c r="D244" s="7" t="s">
        <v>73</v>
      </c>
      <c r="E244" s="7" t="s">
        <v>43</v>
      </c>
      <c r="F244" s="7" t="s">
        <v>562</v>
      </c>
      <c r="G244" s="7" t="s">
        <v>182</v>
      </c>
      <c r="H244" s="7">
        <v>6</v>
      </c>
      <c r="I244" s="7">
        <v>1</v>
      </c>
      <c r="J244" s="7" t="s">
        <v>46</v>
      </c>
      <c r="K244" s="7" t="s">
        <v>47</v>
      </c>
      <c r="P244" s="7">
        <v>30</v>
      </c>
      <c r="Q244" s="7" t="s">
        <v>343</v>
      </c>
      <c r="R244" s="7">
        <v>2000</v>
      </c>
      <c r="S244" s="7">
        <v>30</v>
      </c>
      <c r="T244" s="7">
        <v>18</v>
      </c>
      <c r="U244" s="7">
        <v>2000</v>
      </c>
    </row>
    <row r="245" spans="1:40" ht="22.5" customHeight="1" x14ac:dyDescent="0.2">
      <c r="A245" s="6">
        <v>45999.598788657408</v>
      </c>
      <c r="B245" s="7" t="s">
        <v>1060</v>
      </c>
      <c r="C245" s="7">
        <v>21</v>
      </c>
      <c r="D245" s="7" t="s">
        <v>42</v>
      </c>
      <c r="E245" s="7" t="s">
        <v>43</v>
      </c>
      <c r="F245" s="7" t="s">
        <v>172</v>
      </c>
      <c r="G245" s="7" t="s">
        <v>45</v>
      </c>
      <c r="H245" s="7">
        <v>4</v>
      </c>
      <c r="I245" s="7">
        <v>2</v>
      </c>
      <c r="J245" s="7" t="s">
        <v>431</v>
      </c>
      <c r="M245" s="7" t="s">
        <v>291</v>
      </c>
      <c r="Q245" s="7" t="s">
        <v>1061</v>
      </c>
      <c r="V245" s="7">
        <v>5</v>
      </c>
      <c r="W245" s="7" t="s">
        <v>1062</v>
      </c>
      <c r="X245" s="7">
        <v>50000</v>
      </c>
      <c r="AF245" s="7" t="s">
        <v>252</v>
      </c>
      <c r="AG245" s="7" t="s">
        <v>559</v>
      </c>
      <c r="AH245" s="7" t="s">
        <v>220</v>
      </c>
      <c r="AI245" s="7" t="s">
        <v>559</v>
      </c>
      <c r="AJ245" s="7" t="s">
        <v>54</v>
      </c>
      <c r="AK245" s="7" t="s">
        <v>1063</v>
      </c>
      <c r="AL245" s="7" t="s">
        <v>68</v>
      </c>
      <c r="AN245" s="7" t="s">
        <v>1064</v>
      </c>
    </row>
    <row r="246" spans="1:40" ht="22.5" customHeight="1" x14ac:dyDescent="0.2">
      <c r="A246" s="6">
        <v>45999.598921805555</v>
      </c>
    </row>
    <row r="247" spans="1:40" ht="22.5" customHeight="1" x14ac:dyDescent="0.2">
      <c r="A247" s="6">
        <v>46000.699594247686</v>
      </c>
      <c r="B247" s="7" t="s">
        <v>1065</v>
      </c>
      <c r="C247" s="7">
        <v>21</v>
      </c>
      <c r="D247" s="7" t="s">
        <v>42</v>
      </c>
      <c r="E247" s="7" t="s">
        <v>43</v>
      </c>
      <c r="F247" s="7" t="s">
        <v>138</v>
      </c>
      <c r="G247" s="7" t="s">
        <v>89</v>
      </c>
      <c r="H247" s="7">
        <v>4</v>
      </c>
      <c r="I247" s="7">
        <v>1</v>
      </c>
      <c r="J247" s="7" t="s">
        <v>46</v>
      </c>
      <c r="K247" s="7" t="s">
        <v>47</v>
      </c>
      <c r="L247" s="7" t="s">
        <v>157</v>
      </c>
      <c r="M247" s="7" t="s">
        <v>291</v>
      </c>
      <c r="O247" s="7" t="s">
        <v>157</v>
      </c>
      <c r="AF247" s="7" t="s">
        <v>159</v>
      </c>
      <c r="AG247" s="7" t="s">
        <v>317</v>
      </c>
      <c r="AH247" s="7" t="s">
        <v>494</v>
      </c>
      <c r="AI247" s="7" t="s">
        <v>724</v>
      </c>
      <c r="AJ247" s="7" t="s">
        <v>54</v>
      </c>
      <c r="AK247" s="7" t="s">
        <v>256</v>
      </c>
      <c r="AL247" s="7" t="s">
        <v>257</v>
      </c>
      <c r="AM247" s="7" t="s">
        <v>286</v>
      </c>
      <c r="AN247" s="7" t="s">
        <v>259</v>
      </c>
    </row>
    <row r="248" spans="1:40" ht="22.5" customHeight="1" x14ac:dyDescent="0.2">
      <c r="A248" s="6">
        <v>46002.77290950231</v>
      </c>
      <c r="B248" s="7" t="s">
        <v>1066</v>
      </c>
      <c r="C248" s="7">
        <v>28</v>
      </c>
      <c r="D248" s="7" t="s">
        <v>73</v>
      </c>
      <c r="E248" s="7" t="s">
        <v>58</v>
      </c>
      <c r="F248" s="7" t="s">
        <v>74</v>
      </c>
      <c r="G248" s="7" t="s">
        <v>45</v>
      </c>
      <c r="H248" s="7">
        <v>4</v>
      </c>
      <c r="I248" s="7">
        <v>2</v>
      </c>
      <c r="J248" s="7" t="s">
        <v>246</v>
      </c>
      <c r="K248" s="7" t="s">
        <v>47</v>
      </c>
      <c r="M248" s="7" t="s">
        <v>47</v>
      </c>
      <c r="P248" s="7">
        <v>3</v>
      </c>
      <c r="Q248" s="7">
        <v>15</v>
      </c>
      <c r="R248" s="7">
        <v>3.5</v>
      </c>
      <c r="V248" s="7">
        <v>7</v>
      </c>
      <c r="W248" s="7">
        <v>20</v>
      </c>
      <c r="X248" s="7">
        <v>25</v>
      </c>
      <c r="AE248" s="7">
        <v>6000</v>
      </c>
      <c r="AF248" s="7" t="s">
        <v>252</v>
      </c>
      <c r="AG248" s="7" t="s">
        <v>284</v>
      </c>
      <c r="AH248" s="7">
        <v>10</v>
      </c>
      <c r="AI248" s="7" t="s">
        <v>255</v>
      </c>
      <c r="AJ248" s="7" t="s">
        <v>85</v>
      </c>
      <c r="AK248" s="7" t="s">
        <v>256</v>
      </c>
      <c r="AL248" s="7" t="s">
        <v>257</v>
      </c>
      <c r="AM248" s="7" t="s">
        <v>286</v>
      </c>
    </row>
    <row r="249" spans="1:40" ht="22.5" customHeight="1" x14ac:dyDescent="0.2">
      <c r="A249" s="6">
        <v>46002.775558900466</v>
      </c>
      <c r="B249" s="7" t="s">
        <v>1067</v>
      </c>
      <c r="C249" s="7">
        <v>42</v>
      </c>
      <c r="D249" s="7" t="s">
        <v>42</v>
      </c>
      <c r="E249" s="7" t="s">
        <v>58</v>
      </c>
      <c r="F249" s="7" t="s">
        <v>138</v>
      </c>
      <c r="G249" s="7" t="s">
        <v>60</v>
      </c>
      <c r="H249" s="7">
        <v>5</v>
      </c>
      <c r="I249" s="7">
        <v>1</v>
      </c>
      <c r="J249" s="7" t="s">
        <v>100</v>
      </c>
      <c r="L249" s="7" t="s">
        <v>47</v>
      </c>
      <c r="S249" s="7">
        <v>5</v>
      </c>
      <c r="T249" s="7">
        <v>14</v>
      </c>
      <c r="U249" s="7">
        <v>15</v>
      </c>
      <c r="AE249" s="7">
        <v>1800</v>
      </c>
      <c r="AF249" s="7" t="s">
        <v>159</v>
      </c>
      <c r="AG249" s="7" t="s">
        <v>317</v>
      </c>
      <c r="AH249" s="7">
        <v>7</v>
      </c>
      <c r="AI249" s="7" t="s">
        <v>255</v>
      </c>
      <c r="AJ249" s="7" t="s">
        <v>362</v>
      </c>
      <c r="AK249" s="7" t="s">
        <v>307</v>
      </c>
      <c r="AL249" s="7" t="s">
        <v>68</v>
      </c>
      <c r="AN249" s="7" t="s">
        <v>373</v>
      </c>
    </row>
    <row r="250" spans="1:40" ht="22.5" customHeight="1" x14ac:dyDescent="0.2">
      <c r="A250" s="6">
        <v>46002.778845277775</v>
      </c>
      <c r="B250" s="7" t="s">
        <v>1068</v>
      </c>
      <c r="C250" s="7">
        <v>19</v>
      </c>
      <c r="D250" s="7" t="s">
        <v>73</v>
      </c>
      <c r="E250" s="7" t="s">
        <v>43</v>
      </c>
      <c r="F250" s="7" t="s">
        <v>562</v>
      </c>
      <c r="G250" s="7" t="s">
        <v>182</v>
      </c>
      <c r="H250" s="7">
        <v>6</v>
      </c>
      <c r="I250" s="7">
        <v>1</v>
      </c>
      <c r="J250" s="7" t="s">
        <v>46</v>
      </c>
      <c r="K250" s="7" t="s">
        <v>47</v>
      </c>
      <c r="P250" s="7">
        <v>6</v>
      </c>
      <c r="Q250" s="7">
        <v>8</v>
      </c>
      <c r="R250" s="7">
        <v>4</v>
      </c>
      <c r="AE250" s="7">
        <v>400</v>
      </c>
      <c r="AF250" s="7" t="s">
        <v>857</v>
      </c>
      <c r="AG250" s="7" t="s">
        <v>295</v>
      </c>
      <c r="AH250" s="7">
        <v>4</v>
      </c>
      <c r="AI250" s="7" t="s">
        <v>285</v>
      </c>
      <c r="AJ250" s="7" t="s">
        <v>362</v>
      </c>
      <c r="AK250" s="7" t="s">
        <v>307</v>
      </c>
      <c r="AL250" s="7" t="s">
        <v>68</v>
      </c>
      <c r="AN250" s="7" t="s">
        <v>259</v>
      </c>
    </row>
    <row r="251" spans="1:40" ht="22.5" customHeight="1" x14ac:dyDescent="0.2">
      <c r="A251" s="6">
        <v>46002.784657974538</v>
      </c>
      <c r="B251" s="7" t="s">
        <v>1069</v>
      </c>
      <c r="C251" s="7">
        <v>33</v>
      </c>
      <c r="D251" s="7" t="s">
        <v>42</v>
      </c>
      <c r="E251" s="7" t="s">
        <v>58</v>
      </c>
      <c r="F251" s="7" t="s">
        <v>74</v>
      </c>
      <c r="G251" s="7" t="s">
        <v>45</v>
      </c>
      <c r="H251" s="7">
        <v>5</v>
      </c>
      <c r="I251" s="7">
        <v>3</v>
      </c>
      <c r="J251" s="7" t="s">
        <v>435</v>
      </c>
      <c r="K251" s="7" t="s">
        <v>47</v>
      </c>
      <c r="M251" s="7" t="s">
        <v>47</v>
      </c>
      <c r="O251" s="7" t="s">
        <v>353</v>
      </c>
      <c r="P251" s="7">
        <v>2</v>
      </c>
      <c r="Q251" s="7">
        <v>12</v>
      </c>
      <c r="R251" s="7">
        <v>3.5</v>
      </c>
      <c r="V251" s="7">
        <v>4</v>
      </c>
      <c r="W251" s="7">
        <v>25</v>
      </c>
      <c r="X251" s="7">
        <v>30</v>
      </c>
      <c r="AB251" s="7">
        <v>90</v>
      </c>
      <c r="AC251" s="7">
        <v>15</v>
      </c>
      <c r="AD251" s="7">
        <v>1</v>
      </c>
      <c r="AE251" s="7">
        <v>4500</v>
      </c>
      <c r="AF251" s="7" t="s">
        <v>323</v>
      </c>
      <c r="AG251" s="7" t="s">
        <v>1070</v>
      </c>
      <c r="AH251" s="7">
        <v>12</v>
      </c>
      <c r="AI251" s="7" t="s">
        <v>255</v>
      </c>
      <c r="AJ251" s="7" t="s">
        <v>277</v>
      </c>
      <c r="AK251" s="7" t="s">
        <v>256</v>
      </c>
      <c r="AL251" s="7" t="s">
        <v>68</v>
      </c>
      <c r="AN251" s="7" t="s">
        <v>259</v>
      </c>
    </row>
    <row r="252" spans="1:40" ht="22.5" customHeight="1" x14ac:dyDescent="0.2">
      <c r="A252" s="6">
        <v>46004.394270960649</v>
      </c>
      <c r="B252" s="7" t="s">
        <v>1071</v>
      </c>
      <c r="C252" s="7">
        <v>28</v>
      </c>
      <c r="D252" s="7" t="s">
        <v>73</v>
      </c>
      <c r="E252" s="7" t="s">
        <v>43</v>
      </c>
      <c r="F252" s="7" t="s">
        <v>44</v>
      </c>
      <c r="G252" s="7" t="s">
        <v>45</v>
      </c>
      <c r="H252" s="7">
        <v>4</v>
      </c>
      <c r="I252" s="7">
        <v>2</v>
      </c>
      <c r="J252" s="7" t="s">
        <v>246</v>
      </c>
      <c r="K252" s="7" t="s">
        <v>47</v>
      </c>
      <c r="M252" s="7" t="s">
        <v>291</v>
      </c>
      <c r="P252" s="7">
        <v>5</v>
      </c>
      <c r="Q252" s="7">
        <v>18</v>
      </c>
      <c r="R252" s="7">
        <v>10</v>
      </c>
      <c r="V252" s="7">
        <v>3</v>
      </c>
      <c r="W252" s="7">
        <v>25</v>
      </c>
      <c r="X252" s="7">
        <v>35</v>
      </c>
      <c r="AE252" s="7">
        <v>4500</v>
      </c>
      <c r="AF252" s="7" t="s">
        <v>252</v>
      </c>
      <c r="AG252" s="7" t="s">
        <v>284</v>
      </c>
      <c r="AH252" s="7">
        <v>12</v>
      </c>
      <c r="AI252" s="7" t="s">
        <v>296</v>
      </c>
      <c r="AJ252" s="7" t="s">
        <v>85</v>
      </c>
      <c r="AK252" s="7" t="s">
        <v>256</v>
      </c>
      <c r="AL252" s="7" t="s">
        <v>257</v>
      </c>
      <c r="AM252" s="7" t="s">
        <v>278</v>
      </c>
    </row>
    <row r="253" spans="1:40" ht="22.5" customHeight="1" x14ac:dyDescent="0.2">
      <c r="A253" s="6">
        <v>46004.404653333331</v>
      </c>
      <c r="B253" s="7" t="s">
        <v>1072</v>
      </c>
      <c r="C253" s="7">
        <v>32</v>
      </c>
      <c r="D253" s="7" t="s">
        <v>42</v>
      </c>
      <c r="E253" s="7" t="s">
        <v>58</v>
      </c>
      <c r="F253" s="7" t="s">
        <v>74</v>
      </c>
      <c r="G253" s="7" t="s">
        <v>60</v>
      </c>
      <c r="H253" s="7">
        <v>3</v>
      </c>
      <c r="I253" s="7">
        <v>1</v>
      </c>
      <c r="J253" s="7" t="s">
        <v>100</v>
      </c>
      <c r="L253" s="7" t="s">
        <v>47</v>
      </c>
      <c r="S253" s="7">
        <v>2</v>
      </c>
      <c r="T253" s="7">
        <v>14</v>
      </c>
      <c r="U253" s="7">
        <v>8</v>
      </c>
      <c r="AE253" s="7">
        <v>900</v>
      </c>
      <c r="AF253" s="7" t="s">
        <v>159</v>
      </c>
      <c r="AG253" s="7" t="s">
        <v>253</v>
      </c>
      <c r="AH253" s="7">
        <v>7</v>
      </c>
      <c r="AI253" s="7" t="s">
        <v>255</v>
      </c>
      <c r="AJ253" s="7" t="s">
        <v>85</v>
      </c>
      <c r="AK253" s="7" t="s">
        <v>256</v>
      </c>
      <c r="AL253" s="7" t="s">
        <v>68</v>
      </c>
      <c r="AN253" s="7" t="s">
        <v>259</v>
      </c>
    </row>
    <row r="254" spans="1:40" ht="22.5" customHeight="1" x14ac:dyDescent="0.2">
      <c r="A254" s="6">
        <v>46004.448380196758</v>
      </c>
      <c r="B254" s="7" t="s">
        <v>1073</v>
      </c>
      <c r="C254" s="7">
        <v>35</v>
      </c>
      <c r="D254" s="7" t="s">
        <v>73</v>
      </c>
      <c r="E254" s="7" t="s">
        <v>43</v>
      </c>
      <c r="F254" s="7" t="s">
        <v>172</v>
      </c>
      <c r="G254" s="7" t="s">
        <v>155</v>
      </c>
      <c r="H254" s="7">
        <v>4</v>
      </c>
      <c r="I254" s="7">
        <v>3</v>
      </c>
      <c r="J254" s="7" t="s">
        <v>309</v>
      </c>
      <c r="K254" s="7" t="s">
        <v>47</v>
      </c>
      <c r="M254" s="7" t="s">
        <v>291</v>
      </c>
      <c r="N254" s="7" t="s">
        <v>291</v>
      </c>
      <c r="P254" s="7">
        <v>6</v>
      </c>
      <c r="Q254" s="7">
        <v>12</v>
      </c>
      <c r="R254" s="7">
        <v>7</v>
      </c>
      <c r="V254" s="7">
        <v>4</v>
      </c>
      <c r="W254" s="7">
        <v>30</v>
      </c>
      <c r="X254" s="7">
        <v>40</v>
      </c>
      <c r="Y254" s="7">
        <v>8</v>
      </c>
      <c r="Z254" s="7">
        <v>75</v>
      </c>
      <c r="AA254" s="7">
        <v>100</v>
      </c>
      <c r="AE254" s="7">
        <v>14000</v>
      </c>
      <c r="AF254" s="7" t="s">
        <v>159</v>
      </c>
      <c r="AG254" s="7" t="s">
        <v>317</v>
      </c>
    </row>
    <row r="255" spans="1:40" ht="22.5" customHeight="1" x14ac:dyDescent="0.2">
      <c r="A255" s="6">
        <v>46004.649029259264</v>
      </c>
      <c r="B255" s="7" t="s">
        <v>1074</v>
      </c>
      <c r="C255" s="7">
        <v>22</v>
      </c>
      <c r="D255" s="7" t="s">
        <v>42</v>
      </c>
      <c r="E255" s="7" t="s">
        <v>58</v>
      </c>
      <c r="F255" s="7" t="s">
        <v>562</v>
      </c>
      <c r="G255" s="7" t="s">
        <v>182</v>
      </c>
      <c r="H255" s="7">
        <v>5</v>
      </c>
      <c r="I255" s="7">
        <v>1</v>
      </c>
      <c r="J255" s="7" t="s">
        <v>46</v>
      </c>
      <c r="K255" s="7" t="s">
        <v>47</v>
      </c>
      <c r="P255" s="7">
        <v>3</v>
      </c>
      <c r="Q255" s="7">
        <v>10</v>
      </c>
      <c r="R255" s="7">
        <v>7</v>
      </c>
      <c r="AE255" s="7">
        <v>750</v>
      </c>
      <c r="AF255" s="7" t="s">
        <v>252</v>
      </c>
      <c r="AG255" s="7" t="s">
        <v>284</v>
      </c>
      <c r="AH255" s="7">
        <v>5</v>
      </c>
      <c r="AI255" s="7" t="s">
        <v>285</v>
      </c>
      <c r="AJ255" s="7" t="s">
        <v>96</v>
      </c>
      <c r="AK255" s="7" t="s">
        <v>335</v>
      </c>
      <c r="AL255" s="7" t="s">
        <v>68</v>
      </c>
      <c r="AN255" s="7" t="s">
        <v>684</v>
      </c>
    </row>
    <row r="256" spans="1:40" ht="22.5" customHeight="1" x14ac:dyDescent="0.2">
      <c r="A256" s="6">
        <v>46004.651141712966</v>
      </c>
      <c r="B256" s="7" t="s">
        <v>1075</v>
      </c>
      <c r="C256" s="7">
        <v>46</v>
      </c>
      <c r="D256" s="7" t="s">
        <v>73</v>
      </c>
      <c r="E256" s="7" t="s">
        <v>43</v>
      </c>
      <c r="F256" s="7" t="s">
        <v>138</v>
      </c>
      <c r="G256" s="7" t="s">
        <v>60</v>
      </c>
      <c r="H256" s="7">
        <v>6</v>
      </c>
      <c r="I256" s="7">
        <v>2</v>
      </c>
      <c r="J256" s="7" t="s">
        <v>290</v>
      </c>
      <c r="K256" s="7" t="s">
        <v>47</v>
      </c>
      <c r="M256" s="7" t="s">
        <v>291</v>
      </c>
      <c r="P256" s="7">
        <v>10</v>
      </c>
      <c r="Q256" s="7">
        <v>4</v>
      </c>
      <c r="R256" s="7">
        <v>3</v>
      </c>
      <c r="V256" s="7">
        <v>6</v>
      </c>
      <c r="W256" s="7">
        <v>40</v>
      </c>
      <c r="X256" s="7">
        <v>45</v>
      </c>
      <c r="AE256" s="7">
        <v>7000</v>
      </c>
      <c r="AF256" s="7" t="s">
        <v>857</v>
      </c>
      <c r="AG256" s="7" t="s">
        <v>295</v>
      </c>
      <c r="AH256" s="7">
        <v>20</v>
      </c>
      <c r="AI256" s="7" t="s">
        <v>255</v>
      </c>
      <c r="AJ256" s="7" t="s">
        <v>362</v>
      </c>
      <c r="AK256" s="7" t="s">
        <v>307</v>
      </c>
      <c r="AL256" s="7" t="s">
        <v>68</v>
      </c>
      <c r="AN256" s="7" t="s">
        <v>259</v>
      </c>
    </row>
    <row r="257" spans="1:40" ht="22.5" customHeight="1" x14ac:dyDescent="0.2">
      <c r="A257" s="6">
        <v>46004.652213194444</v>
      </c>
      <c r="B257" s="7" t="s">
        <v>1076</v>
      </c>
      <c r="C257" s="7">
        <v>24</v>
      </c>
      <c r="D257" s="7" t="s">
        <v>42</v>
      </c>
      <c r="E257" s="7" t="s">
        <v>58</v>
      </c>
      <c r="F257" s="7" t="s">
        <v>74</v>
      </c>
      <c r="G257" s="7" t="s">
        <v>45</v>
      </c>
      <c r="H257" s="7">
        <v>3</v>
      </c>
      <c r="I257" s="7">
        <v>1</v>
      </c>
      <c r="J257" s="7" t="s">
        <v>100</v>
      </c>
      <c r="L257" s="7" t="s">
        <v>47</v>
      </c>
      <c r="S257" s="7">
        <v>1</v>
      </c>
      <c r="T257" s="7">
        <v>20</v>
      </c>
      <c r="U257" s="7">
        <v>9</v>
      </c>
      <c r="AE257" s="7">
        <v>1200</v>
      </c>
      <c r="AF257" s="7" t="s">
        <v>276</v>
      </c>
      <c r="AG257" s="7" t="s">
        <v>361</v>
      </c>
      <c r="AH257" s="7">
        <v>6</v>
      </c>
      <c r="AI257" s="7" t="s">
        <v>255</v>
      </c>
      <c r="AJ257" s="7" t="s">
        <v>96</v>
      </c>
      <c r="AK257" s="7" t="s">
        <v>325</v>
      </c>
      <c r="AL257" s="7" t="s">
        <v>152</v>
      </c>
      <c r="AM257" s="7" t="s">
        <v>368</v>
      </c>
    </row>
    <row r="258" spans="1:40" ht="22.5" customHeight="1" x14ac:dyDescent="0.2">
      <c r="A258" s="6">
        <v>46004.653661956021</v>
      </c>
      <c r="B258" s="7" t="s">
        <v>1077</v>
      </c>
      <c r="C258" s="7">
        <v>29</v>
      </c>
      <c r="D258" s="7" t="s">
        <v>73</v>
      </c>
      <c r="E258" s="7" t="s">
        <v>43</v>
      </c>
      <c r="F258" s="7" t="s">
        <v>172</v>
      </c>
      <c r="G258" s="7" t="s">
        <v>155</v>
      </c>
      <c r="H258" s="7">
        <v>4</v>
      </c>
      <c r="I258" s="7">
        <v>3</v>
      </c>
      <c r="J258" s="7" t="s">
        <v>309</v>
      </c>
      <c r="K258" s="7" t="s">
        <v>47</v>
      </c>
      <c r="M258" s="7" t="s">
        <v>291</v>
      </c>
      <c r="N258" s="7" t="s">
        <v>291</v>
      </c>
      <c r="P258" s="7">
        <v>4</v>
      </c>
      <c r="Q258" s="7">
        <v>15</v>
      </c>
      <c r="R258" s="7">
        <v>8</v>
      </c>
      <c r="V258" s="7">
        <v>7</v>
      </c>
      <c r="W258" s="7">
        <v>35</v>
      </c>
      <c r="X258" s="7">
        <v>38</v>
      </c>
      <c r="Y258" s="7">
        <v>5</v>
      </c>
      <c r="Z258" s="7">
        <v>50</v>
      </c>
      <c r="AA258" s="7">
        <v>85</v>
      </c>
      <c r="AE258" s="7">
        <v>12500</v>
      </c>
      <c r="AF258" s="7" t="s">
        <v>252</v>
      </c>
      <c r="AG258" s="7" t="s">
        <v>361</v>
      </c>
      <c r="AH258" s="7">
        <v>14</v>
      </c>
      <c r="AI258" s="7" t="s">
        <v>559</v>
      </c>
      <c r="AJ258" s="7" t="s">
        <v>362</v>
      </c>
      <c r="AK258" s="7" t="s">
        <v>307</v>
      </c>
      <c r="AL258" s="7" t="s">
        <v>68</v>
      </c>
      <c r="AN258" s="7" t="s">
        <v>1046</v>
      </c>
    </row>
    <row r="259" spans="1:40" ht="22.5" customHeight="1" x14ac:dyDescent="0.2">
      <c r="A259" s="6">
        <v>46004.655624999999</v>
      </c>
      <c r="B259" s="7" t="s">
        <v>1078</v>
      </c>
      <c r="C259" s="7">
        <v>30</v>
      </c>
      <c r="D259" s="7" t="s">
        <v>42</v>
      </c>
      <c r="E259" s="7" t="s">
        <v>58</v>
      </c>
      <c r="F259" s="7" t="s">
        <v>144</v>
      </c>
      <c r="G259" s="7" t="s">
        <v>89</v>
      </c>
      <c r="H259" s="7">
        <v>5</v>
      </c>
      <c r="I259" s="7">
        <v>1</v>
      </c>
      <c r="J259" s="7" t="s">
        <v>431</v>
      </c>
      <c r="M259" s="7" t="s">
        <v>47</v>
      </c>
      <c r="V259" s="7">
        <v>3</v>
      </c>
      <c r="W259" s="7">
        <v>8</v>
      </c>
      <c r="X259" s="7">
        <v>20</v>
      </c>
      <c r="AE259" s="7">
        <v>3000</v>
      </c>
      <c r="AF259" s="7" t="s">
        <v>252</v>
      </c>
      <c r="AG259" s="7" t="s">
        <v>253</v>
      </c>
      <c r="AH259" s="7">
        <v>3</v>
      </c>
      <c r="AI259" s="7" t="s">
        <v>344</v>
      </c>
      <c r="AJ259" s="7" t="s">
        <v>277</v>
      </c>
      <c r="AK259" s="7" t="s">
        <v>325</v>
      </c>
      <c r="AL259" s="7" t="s">
        <v>68</v>
      </c>
      <c r="AN259" s="7" t="s">
        <v>373</v>
      </c>
    </row>
    <row r="260" spans="1:40" ht="22.5" customHeight="1" x14ac:dyDescent="0.2">
      <c r="A260" s="6">
        <v>46004.657532314814</v>
      </c>
      <c r="B260" s="7" t="s">
        <v>1079</v>
      </c>
      <c r="C260" s="7">
        <v>37</v>
      </c>
      <c r="D260" s="7" t="s">
        <v>73</v>
      </c>
      <c r="E260" s="7" t="s">
        <v>43</v>
      </c>
      <c r="F260" s="7" t="s">
        <v>44</v>
      </c>
      <c r="G260" s="7" t="s">
        <v>45</v>
      </c>
      <c r="H260" s="7">
        <v>5</v>
      </c>
      <c r="I260" s="7">
        <v>2</v>
      </c>
      <c r="J260" s="7" t="s">
        <v>290</v>
      </c>
      <c r="K260" s="7" t="s">
        <v>47</v>
      </c>
      <c r="N260" s="7" t="s">
        <v>291</v>
      </c>
      <c r="P260" s="7">
        <v>8</v>
      </c>
      <c r="Q260" s="7">
        <v>10</v>
      </c>
      <c r="R260" s="7">
        <v>5</v>
      </c>
      <c r="Y260" s="7">
        <v>11</v>
      </c>
      <c r="Z260" s="7">
        <v>40</v>
      </c>
      <c r="AA260" s="7">
        <v>75</v>
      </c>
      <c r="AE260" s="7">
        <v>8000</v>
      </c>
      <c r="AF260" s="7" t="s">
        <v>323</v>
      </c>
      <c r="AG260" s="7" t="s">
        <v>361</v>
      </c>
      <c r="AH260" s="7">
        <v>10</v>
      </c>
      <c r="AI260" s="7" t="s">
        <v>296</v>
      </c>
      <c r="AJ260" s="7" t="s">
        <v>85</v>
      </c>
      <c r="AK260" s="7" t="s">
        <v>325</v>
      </c>
      <c r="AL260" s="7" t="s">
        <v>152</v>
      </c>
      <c r="AM260" s="7" t="s">
        <v>286</v>
      </c>
    </row>
    <row r="261" spans="1:40" ht="22.5" customHeight="1" x14ac:dyDescent="0.2">
      <c r="A261" s="6">
        <v>46004.658947025462</v>
      </c>
      <c r="B261" s="7" t="s">
        <v>1080</v>
      </c>
      <c r="C261" s="7">
        <v>23</v>
      </c>
      <c r="D261" s="7" t="s">
        <v>42</v>
      </c>
      <c r="E261" s="7" t="s">
        <v>58</v>
      </c>
      <c r="F261" s="7" t="s">
        <v>562</v>
      </c>
      <c r="G261" s="7" t="s">
        <v>182</v>
      </c>
      <c r="H261" s="7">
        <v>3</v>
      </c>
      <c r="I261" s="7">
        <v>1</v>
      </c>
      <c r="J261" s="7" t="s">
        <v>100</v>
      </c>
      <c r="L261" s="7" t="s">
        <v>47</v>
      </c>
      <c r="S261" s="7">
        <v>3</v>
      </c>
      <c r="T261" s="7">
        <v>12</v>
      </c>
      <c r="U261" s="7">
        <v>7</v>
      </c>
      <c r="AE261" s="7">
        <v>900</v>
      </c>
      <c r="AF261" s="7" t="s">
        <v>159</v>
      </c>
      <c r="AG261" s="7" t="s">
        <v>253</v>
      </c>
      <c r="AH261" s="7">
        <v>4</v>
      </c>
      <c r="AI261" s="7" t="s">
        <v>285</v>
      </c>
      <c r="AJ261" s="7" t="s">
        <v>277</v>
      </c>
      <c r="AK261" s="7" t="s">
        <v>256</v>
      </c>
      <c r="AL261" s="7" t="s">
        <v>152</v>
      </c>
      <c r="AM261" s="7" t="s">
        <v>278</v>
      </c>
    </row>
    <row r="262" spans="1:40" ht="22.5" customHeight="1" x14ac:dyDescent="0.2">
      <c r="A262" s="6">
        <v>46004.660914120366</v>
      </c>
      <c r="B262" s="7" t="s">
        <v>1081</v>
      </c>
      <c r="C262" s="7">
        <v>25</v>
      </c>
      <c r="D262" s="7" t="s">
        <v>73</v>
      </c>
      <c r="E262" s="7" t="s">
        <v>58</v>
      </c>
      <c r="F262" s="7" t="s">
        <v>74</v>
      </c>
      <c r="G262" s="7" t="s">
        <v>45</v>
      </c>
      <c r="H262" s="7">
        <v>4</v>
      </c>
      <c r="I262" s="7">
        <v>1</v>
      </c>
      <c r="J262" s="7" t="s">
        <v>46</v>
      </c>
      <c r="K262" s="7" t="s">
        <v>47</v>
      </c>
      <c r="P262" s="7">
        <v>3</v>
      </c>
      <c r="Q262" s="7">
        <v>22</v>
      </c>
      <c r="R262" s="7">
        <v>12</v>
      </c>
      <c r="AE262" s="7">
        <v>1400</v>
      </c>
      <c r="AF262" s="7" t="s">
        <v>252</v>
      </c>
      <c r="AG262" s="7" t="s">
        <v>284</v>
      </c>
      <c r="AH262" s="7">
        <v>11</v>
      </c>
      <c r="AI262" s="7" t="s">
        <v>255</v>
      </c>
      <c r="AJ262" s="7" t="s">
        <v>85</v>
      </c>
      <c r="AK262" s="7" t="s">
        <v>256</v>
      </c>
      <c r="AL262" s="7" t="s">
        <v>257</v>
      </c>
      <c r="AM262" s="7" t="s">
        <v>401</v>
      </c>
    </row>
    <row r="263" spans="1:40" ht="22.5" customHeight="1" x14ac:dyDescent="0.2">
      <c r="A263" s="6">
        <v>46004.661854328704</v>
      </c>
      <c r="B263" s="7" t="s">
        <v>1082</v>
      </c>
      <c r="C263" s="7">
        <v>23</v>
      </c>
      <c r="D263" s="7" t="s">
        <v>42</v>
      </c>
      <c r="E263" s="7" t="s">
        <v>58</v>
      </c>
      <c r="F263" s="7" t="s">
        <v>562</v>
      </c>
      <c r="G263" s="7" t="s">
        <v>182</v>
      </c>
      <c r="H263" s="7">
        <v>4</v>
      </c>
      <c r="I263" s="7">
        <v>1</v>
      </c>
      <c r="J263" s="7" t="s">
        <v>100</v>
      </c>
      <c r="L263" s="7" t="s">
        <v>47</v>
      </c>
      <c r="S263" s="7">
        <v>2</v>
      </c>
      <c r="T263" s="7">
        <v>9</v>
      </c>
      <c r="U263" s="7">
        <v>5</v>
      </c>
      <c r="AE263" s="7">
        <v>600</v>
      </c>
      <c r="AF263" s="7" t="s">
        <v>323</v>
      </c>
      <c r="AG263" s="7" t="s">
        <v>295</v>
      </c>
      <c r="AH263" s="7">
        <v>5</v>
      </c>
      <c r="AI263" s="7" t="s">
        <v>285</v>
      </c>
      <c r="AJ263" s="7" t="s">
        <v>277</v>
      </c>
      <c r="AK263" s="7" t="s">
        <v>256</v>
      </c>
      <c r="AL263" s="7" t="s">
        <v>68</v>
      </c>
      <c r="AN263" s="7" t="s">
        <v>259</v>
      </c>
    </row>
    <row r="264" spans="1:40" ht="22.5" customHeight="1" x14ac:dyDescent="0.2">
      <c r="A264" s="6">
        <v>46004.663147870371</v>
      </c>
      <c r="B264" s="7" t="s">
        <v>1083</v>
      </c>
      <c r="C264" s="7">
        <v>29</v>
      </c>
      <c r="D264" s="7" t="s">
        <v>73</v>
      </c>
      <c r="E264" s="7" t="s">
        <v>43</v>
      </c>
      <c r="F264" s="7" t="s">
        <v>44</v>
      </c>
      <c r="G264" s="7" t="s">
        <v>45</v>
      </c>
      <c r="H264" s="7">
        <v>6</v>
      </c>
      <c r="I264" s="7">
        <v>2</v>
      </c>
      <c r="J264" s="7" t="s">
        <v>290</v>
      </c>
      <c r="K264" s="7" t="s">
        <v>47</v>
      </c>
      <c r="N264" s="7" t="s">
        <v>291</v>
      </c>
      <c r="P264" s="7">
        <v>9</v>
      </c>
      <c r="Q264" s="7">
        <v>10</v>
      </c>
      <c r="R264" s="7">
        <v>6</v>
      </c>
      <c r="Y264" s="7">
        <v>11</v>
      </c>
      <c r="Z264" s="7">
        <v>35</v>
      </c>
      <c r="AA264" s="7">
        <v>65</v>
      </c>
      <c r="AE264" s="7">
        <v>7800</v>
      </c>
      <c r="AF264" s="7" t="s">
        <v>159</v>
      </c>
      <c r="AG264" s="7" t="s">
        <v>295</v>
      </c>
      <c r="AH264" s="7">
        <v>8</v>
      </c>
      <c r="AI264" s="7" t="s">
        <v>296</v>
      </c>
      <c r="AJ264" s="7" t="s">
        <v>85</v>
      </c>
      <c r="AK264" s="7" t="s">
        <v>256</v>
      </c>
      <c r="AL264" s="7" t="s">
        <v>68</v>
      </c>
      <c r="AN264" s="7" t="s">
        <v>259</v>
      </c>
    </row>
    <row r="265" spans="1:40" ht="22.5" customHeight="1" x14ac:dyDescent="0.2">
      <c r="A265" s="6">
        <v>46004.664189050927</v>
      </c>
      <c r="B265" s="7" t="s">
        <v>1084</v>
      </c>
      <c r="C265" s="7">
        <v>32</v>
      </c>
      <c r="D265" s="7" t="s">
        <v>42</v>
      </c>
      <c r="E265" s="7" t="s">
        <v>58</v>
      </c>
      <c r="F265" s="7" t="s">
        <v>74</v>
      </c>
      <c r="G265" s="7" t="s">
        <v>60</v>
      </c>
      <c r="H265" s="7">
        <v>2</v>
      </c>
      <c r="I265" s="7">
        <v>1</v>
      </c>
      <c r="J265" s="7" t="s">
        <v>431</v>
      </c>
      <c r="M265" s="7" t="s">
        <v>47</v>
      </c>
      <c r="P265" s="7">
        <v>4</v>
      </c>
      <c r="Q265" s="7">
        <v>18</v>
      </c>
      <c r="R265" s="7">
        <v>22</v>
      </c>
      <c r="AE265" s="7">
        <v>3200</v>
      </c>
      <c r="AF265" s="7" t="s">
        <v>276</v>
      </c>
      <c r="AG265" s="7" t="s">
        <v>253</v>
      </c>
      <c r="AH265" s="7">
        <v>9</v>
      </c>
      <c r="AI265" s="7" t="s">
        <v>255</v>
      </c>
      <c r="AJ265" s="7" t="s">
        <v>96</v>
      </c>
      <c r="AK265" s="7" t="s">
        <v>335</v>
      </c>
      <c r="AL265" s="7" t="s">
        <v>152</v>
      </c>
      <c r="AM265" s="7" t="s">
        <v>1085</v>
      </c>
    </row>
    <row r="266" spans="1:40" ht="22.5" customHeight="1" x14ac:dyDescent="0.2">
      <c r="A266" s="6">
        <v>46004.665682164356</v>
      </c>
      <c r="B266" s="7" t="s">
        <v>1086</v>
      </c>
      <c r="C266" s="7">
        <v>35</v>
      </c>
      <c r="D266" s="7" t="s">
        <v>73</v>
      </c>
      <c r="E266" s="7" t="s">
        <v>43</v>
      </c>
      <c r="F266" s="7" t="s">
        <v>172</v>
      </c>
      <c r="G266" s="7" t="s">
        <v>155</v>
      </c>
      <c r="H266" s="7">
        <v>5</v>
      </c>
      <c r="I266" s="7">
        <v>3</v>
      </c>
      <c r="J266" s="7" t="s">
        <v>309</v>
      </c>
      <c r="K266" s="7" t="s">
        <v>47</v>
      </c>
      <c r="M266" s="7" t="s">
        <v>291</v>
      </c>
      <c r="N266" s="7" t="s">
        <v>291</v>
      </c>
      <c r="P266" s="7">
        <v>7</v>
      </c>
      <c r="Q266" s="7">
        <v>14</v>
      </c>
      <c r="R266" s="7">
        <v>8</v>
      </c>
      <c r="V266" s="7">
        <v>5</v>
      </c>
      <c r="W266" s="7">
        <v>30</v>
      </c>
      <c r="X266" s="7">
        <v>28</v>
      </c>
      <c r="Y266" s="7">
        <v>10</v>
      </c>
      <c r="Z266" s="7">
        <v>60</v>
      </c>
      <c r="AA266" s="7">
        <v>95</v>
      </c>
      <c r="AE266" s="7">
        <v>13200</v>
      </c>
      <c r="AF266" s="7" t="s">
        <v>252</v>
      </c>
      <c r="AG266" s="7" t="s">
        <v>361</v>
      </c>
      <c r="AH266" s="7">
        <v>13</v>
      </c>
      <c r="AI266" s="7" t="s">
        <v>559</v>
      </c>
      <c r="AJ266" s="7" t="s">
        <v>362</v>
      </c>
      <c r="AK266" s="7" t="s">
        <v>307</v>
      </c>
      <c r="AL266" s="7" t="s">
        <v>68</v>
      </c>
      <c r="AN266" s="7" t="s">
        <v>460</v>
      </c>
    </row>
    <row r="267" spans="1:40" ht="22.5" customHeight="1" x14ac:dyDescent="0.2">
      <c r="A267" s="6">
        <v>46004.666805636574</v>
      </c>
      <c r="B267" s="7" t="s">
        <v>1087</v>
      </c>
      <c r="C267" s="7">
        <v>27</v>
      </c>
      <c r="D267" s="7" t="s">
        <v>42</v>
      </c>
      <c r="E267" s="7" t="s">
        <v>58</v>
      </c>
      <c r="F267" s="7" t="s">
        <v>144</v>
      </c>
      <c r="G267" s="7" t="s">
        <v>89</v>
      </c>
      <c r="H267" s="7">
        <v>4</v>
      </c>
      <c r="I267" s="7">
        <v>1</v>
      </c>
      <c r="J267" s="7" t="s">
        <v>100</v>
      </c>
      <c r="L267" s="7" t="s">
        <v>47</v>
      </c>
      <c r="S267" s="7">
        <v>3</v>
      </c>
      <c r="T267" s="7">
        <v>6</v>
      </c>
      <c r="U267" s="7">
        <v>4</v>
      </c>
      <c r="AE267" s="7">
        <v>500</v>
      </c>
      <c r="AF267" s="7" t="s">
        <v>159</v>
      </c>
      <c r="AG267" s="7" t="s">
        <v>284</v>
      </c>
      <c r="AH267" s="7">
        <v>3</v>
      </c>
      <c r="AI267" s="7" t="s">
        <v>306</v>
      </c>
      <c r="AJ267" s="7" t="s">
        <v>277</v>
      </c>
      <c r="AK267" s="7" t="s">
        <v>325</v>
      </c>
      <c r="AL267" s="7" t="s">
        <v>152</v>
      </c>
      <c r="AM267" s="7" t="s">
        <v>1088</v>
      </c>
    </row>
    <row r="268" spans="1:40" ht="22.5" customHeight="1" x14ac:dyDescent="0.2">
      <c r="A268" s="6">
        <v>46004.677722777778</v>
      </c>
      <c r="B268" s="7" t="s">
        <v>1089</v>
      </c>
      <c r="C268" s="7">
        <v>33</v>
      </c>
      <c r="D268" s="7" t="s">
        <v>73</v>
      </c>
      <c r="E268" s="7" t="s">
        <v>43</v>
      </c>
      <c r="F268" s="7" t="s">
        <v>74</v>
      </c>
      <c r="G268" s="7" t="s">
        <v>45</v>
      </c>
      <c r="H268" s="7">
        <v>4</v>
      </c>
      <c r="I268" s="7">
        <v>2</v>
      </c>
      <c r="J268" s="7" t="s">
        <v>246</v>
      </c>
      <c r="K268" s="7" t="s">
        <v>47</v>
      </c>
      <c r="M268" s="7" t="s">
        <v>47</v>
      </c>
      <c r="P268" s="7">
        <v>6</v>
      </c>
      <c r="Q268" s="7">
        <v>8</v>
      </c>
      <c r="R268" s="7">
        <v>5</v>
      </c>
      <c r="V268" s="7">
        <v>4</v>
      </c>
      <c r="W268" s="7">
        <v>22</v>
      </c>
      <c r="X268" s="7">
        <v>20</v>
      </c>
      <c r="AE268" s="7">
        <v>3800</v>
      </c>
      <c r="AF268" s="7" t="s">
        <v>323</v>
      </c>
      <c r="AG268" s="7" t="s">
        <v>317</v>
      </c>
      <c r="AH268" s="7">
        <v>14</v>
      </c>
      <c r="AI268" s="7" t="s">
        <v>255</v>
      </c>
      <c r="AJ268" s="7" t="s">
        <v>85</v>
      </c>
      <c r="AK268" s="7" t="s">
        <v>256</v>
      </c>
      <c r="AL268" s="7" t="s">
        <v>68</v>
      </c>
      <c r="AN268" s="7" t="s">
        <v>373</v>
      </c>
    </row>
    <row r="269" spans="1:40" ht="22.5" customHeight="1" x14ac:dyDescent="0.2">
      <c r="A269" s="6">
        <v>46004.67942349537</v>
      </c>
      <c r="B269" s="7" t="s">
        <v>1090</v>
      </c>
      <c r="C269" s="7">
        <v>21</v>
      </c>
      <c r="D269" s="7" t="s">
        <v>42</v>
      </c>
      <c r="E269" s="7" t="s">
        <v>58</v>
      </c>
      <c r="F269" s="7" t="s">
        <v>562</v>
      </c>
      <c r="G269" s="7" t="s">
        <v>182</v>
      </c>
      <c r="H269" s="7">
        <v>5</v>
      </c>
      <c r="I269" s="7">
        <v>1</v>
      </c>
      <c r="J269" s="7" t="s">
        <v>46</v>
      </c>
      <c r="K269" s="7" t="s">
        <v>47</v>
      </c>
      <c r="P269" s="7">
        <v>2</v>
      </c>
      <c r="Q269" s="7">
        <v>12</v>
      </c>
      <c r="R269" s="7">
        <v>7</v>
      </c>
      <c r="AE269" s="7">
        <v>850</v>
      </c>
      <c r="AF269" s="7" t="s">
        <v>360</v>
      </c>
      <c r="AG269" s="7" t="s">
        <v>295</v>
      </c>
      <c r="AH269" s="7">
        <v>6</v>
      </c>
      <c r="AI269" s="7" t="s">
        <v>285</v>
      </c>
      <c r="AJ269" s="7" t="s">
        <v>96</v>
      </c>
      <c r="AK269" s="7" t="s">
        <v>256</v>
      </c>
      <c r="AL269" s="7" t="s">
        <v>152</v>
      </c>
      <c r="AM269" s="7" t="s">
        <v>286</v>
      </c>
    </row>
    <row r="270" spans="1:40" ht="22.5" customHeight="1" x14ac:dyDescent="0.2">
      <c r="A270" s="6">
        <v>46004.68108642361</v>
      </c>
      <c r="B270" s="7" t="s">
        <v>1091</v>
      </c>
      <c r="C270" s="7">
        <v>46</v>
      </c>
      <c r="D270" s="7" t="s">
        <v>73</v>
      </c>
      <c r="E270" s="7" t="s">
        <v>43</v>
      </c>
      <c r="F270" s="7" t="s">
        <v>44</v>
      </c>
      <c r="G270" s="7" t="s">
        <v>45</v>
      </c>
      <c r="H270" s="7">
        <v>6</v>
      </c>
      <c r="I270" s="7">
        <v>2</v>
      </c>
      <c r="J270" s="7" t="s">
        <v>290</v>
      </c>
      <c r="K270" s="7" t="s">
        <v>47</v>
      </c>
      <c r="N270" s="7" t="s">
        <v>291</v>
      </c>
      <c r="P270" s="7">
        <v>11</v>
      </c>
      <c r="Q270" s="7">
        <v>6</v>
      </c>
      <c r="R270" s="7">
        <v>4</v>
      </c>
      <c r="Y270" s="7">
        <v>15</v>
      </c>
      <c r="Z270" s="7">
        <v>25</v>
      </c>
      <c r="AA270" s="7">
        <v>55</v>
      </c>
      <c r="AE270" s="7">
        <v>6700</v>
      </c>
      <c r="AF270" s="7" t="s">
        <v>323</v>
      </c>
      <c r="AG270" s="7" t="s">
        <v>295</v>
      </c>
      <c r="AH270" s="7">
        <v>5</v>
      </c>
      <c r="AI270" s="7" t="s">
        <v>296</v>
      </c>
      <c r="AJ270" s="7" t="s">
        <v>85</v>
      </c>
      <c r="AK270" s="7" t="s">
        <v>410</v>
      </c>
      <c r="AL270" s="7" t="s">
        <v>68</v>
      </c>
      <c r="AN270" s="7" t="s">
        <v>684</v>
      </c>
    </row>
    <row r="271" spans="1:40" ht="22.5" customHeight="1" x14ac:dyDescent="0.2">
      <c r="A271" s="6">
        <v>46004.683939861112</v>
      </c>
      <c r="B271" s="7" t="s">
        <v>1092</v>
      </c>
      <c r="C271" s="7">
        <v>28</v>
      </c>
      <c r="D271" s="7" t="s">
        <v>73</v>
      </c>
      <c r="E271" s="7" t="s">
        <v>58</v>
      </c>
      <c r="F271" s="7" t="s">
        <v>74</v>
      </c>
      <c r="G271" s="7" t="s">
        <v>45</v>
      </c>
      <c r="H271" s="7">
        <v>3</v>
      </c>
      <c r="I271" s="7">
        <v>1</v>
      </c>
      <c r="J271" s="7" t="s">
        <v>431</v>
      </c>
      <c r="M271" s="7" t="s">
        <v>47</v>
      </c>
      <c r="V271" s="7">
        <v>3</v>
      </c>
      <c r="W271" s="7">
        <v>35</v>
      </c>
      <c r="X271" s="7">
        <v>32</v>
      </c>
      <c r="AE271" s="7">
        <v>4600</v>
      </c>
      <c r="AF271" s="7" t="s">
        <v>276</v>
      </c>
      <c r="AG271" s="7" t="s">
        <v>253</v>
      </c>
      <c r="AH271" s="7">
        <v>16</v>
      </c>
      <c r="AI271" s="7" t="s">
        <v>255</v>
      </c>
      <c r="AJ271" s="7" t="s">
        <v>362</v>
      </c>
      <c r="AK271" s="7" t="s">
        <v>307</v>
      </c>
      <c r="AL271" s="7" t="s">
        <v>68</v>
      </c>
      <c r="AN271" s="7" t="s">
        <v>303</v>
      </c>
    </row>
    <row r="272" spans="1:40" ht="22.5" customHeight="1" x14ac:dyDescent="0.2">
      <c r="A272" s="6">
        <v>46004.786852013887</v>
      </c>
      <c r="B272" s="7" t="s">
        <v>1093</v>
      </c>
      <c r="C272" s="7">
        <v>30</v>
      </c>
      <c r="D272" s="7" t="s">
        <v>73</v>
      </c>
      <c r="E272" s="7" t="s">
        <v>43</v>
      </c>
      <c r="F272" s="7" t="s">
        <v>339</v>
      </c>
      <c r="G272" s="7" t="s">
        <v>45</v>
      </c>
      <c r="H272" s="7">
        <v>5</v>
      </c>
      <c r="I272" s="7">
        <v>1</v>
      </c>
      <c r="J272" s="7" t="s">
        <v>46</v>
      </c>
      <c r="K272" s="7" t="s">
        <v>47</v>
      </c>
      <c r="P272" s="7">
        <v>5</v>
      </c>
      <c r="Q272" s="7">
        <v>18</v>
      </c>
      <c r="R272" s="7">
        <v>10</v>
      </c>
      <c r="AE272" s="7">
        <v>1300</v>
      </c>
      <c r="AF272" s="7" t="s">
        <v>159</v>
      </c>
      <c r="AG272" s="7" t="s">
        <v>284</v>
      </c>
      <c r="AH272" s="7">
        <v>9</v>
      </c>
      <c r="AI272" s="7" t="s">
        <v>255</v>
      </c>
      <c r="AJ272" s="7" t="s">
        <v>362</v>
      </c>
      <c r="AK272" s="7" t="s">
        <v>307</v>
      </c>
      <c r="AL272" s="7" t="s">
        <v>68</v>
      </c>
      <c r="AN272" s="7" t="s">
        <v>259</v>
      </c>
    </row>
    <row r="273" spans="1:40" ht="22.5" customHeight="1" x14ac:dyDescent="0.2">
      <c r="A273" s="6">
        <v>46004.788077233796</v>
      </c>
      <c r="B273" s="7" t="s">
        <v>1094</v>
      </c>
      <c r="C273" s="7">
        <v>26</v>
      </c>
      <c r="D273" s="7" t="s">
        <v>42</v>
      </c>
      <c r="E273" s="7" t="s">
        <v>58</v>
      </c>
      <c r="F273" s="7" t="s">
        <v>74</v>
      </c>
      <c r="G273" s="7" t="s">
        <v>45</v>
      </c>
      <c r="H273" s="7">
        <v>3</v>
      </c>
      <c r="I273" s="7">
        <v>1</v>
      </c>
      <c r="J273" s="7" t="s">
        <v>100</v>
      </c>
      <c r="L273" s="7" t="s">
        <v>47</v>
      </c>
      <c r="S273" s="7">
        <v>2</v>
      </c>
      <c r="T273" s="7">
        <v>10</v>
      </c>
      <c r="U273" s="7">
        <v>7</v>
      </c>
      <c r="AE273" s="7">
        <v>750</v>
      </c>
      <c r="AF273" s="7" t="s">
        <v>360</v>
      </c>
      <c r="AG273" s="7" t="s">
        <v>317</v>
      </c>
      <c r="AH273" s="7">
        <v>7</v>
      </c>
      <c r="AI273" s="7" t="s">
        <v>255</v>
      </c>
      <c r="AJ273" s="7" t="s">
        <v>277</v>
      </c>
      <c r="AK273" s="7" t="s">
        <v>1095</v>
      </c>
      <c r="AL273" s="7" t="s">
        <v>152</v>
      </c>
      <c r="AM273" s="7" t="s">
        <v>278</v>
      </c>
    </row>
    <row r="274" spans="1:40" ht="22.5" customHeight="1" x14ac:dyDescent="0.2">
      <c r="A274" s="6">
        <v>46004.789561886573</v>
      </c>
      <c r="B274" s="7" t="s">
        <v>1096</v>
      </c>
      <c r="C274" s="7">
        <v>38</v>
      </c>
      <c r="D274" s="7" t="s">
        <v>73</v>
      </c>
      <c r="E274" s="7" t="s">
        <v>43</v>
      </c>
      <c r="F274" s="7" t="s">
        <v>172</v>
      </c>
      <c r="G274" s="7" t="s">
        <v>109</v>
      </c>
      <c r="H274" s="7">
        <v>5</v>
      </c>
      <c r="I274" s="7">
        <v>2</v>
      </c>
      <c r="J274" s="7" t="s">
        <v>246</v>
      </c>
      <c r="K274" s="7" t="s">
        <v>47</v>
      </c>
      <c r="M274" s="7" t="s">
        <v>47</v>
      </c>
      <c r="P274" s="7">
        <v>8</v>
      </c>
      <c r="Q274" s="7">
        <v>12</v>
      </c>
      <c r="R274" s="7">
        <v>7</v>
      </c>
      <c r="V274" s="7">
        <v>6</v>
      </c>
      <c r="W274" s="7">
        <v>20</v>
      </c>
      <c r="X274" s="7">
        <v>22</v>
      </c>
      <c r="AE274" s="7">
        <v>3900</v>
      </c>
      <c r="AF274" s="7" t="s">
        <v>159</v>
      </c>
      <c r="AG274" s="7" t="s">
        <v>361</v>
      </c>
      <c r="AH274" s="7">
        <v>12</v>
      </c>
      <c r="AI274" s="7" t="s">
        <v>559</v>
      </c>
      <c r="AJ274" s="7" t="s">
        <v>362</v>
      </c>
      <c r="AK274" s="7" t="s">
        <v>307</v>
      </c>
      <c r="AL274" s="7" t="s">
        <v>68</v>
      </c>
      <c r="AN274" s="7" t="s">
        <v>684</v>
      </c>
    </row>
    <row r="275" spans="1:40" ht="22.5" customHeight="1" x14ac:dyDescent="0.2">
      <c r="A275" s="6">
        <v>46004.793423796291</v>
      </c>
      <c r="B275" s="7" t="s">
        <v>1097</v>
      </c>
      <c r="C275" s="7">
        <v>22</v>
      </c>
      <c r="D275" s="7" t="s">
        <v>42</v>
      </c>
      <c r="E275" s="7" t="s">
        <v>58</v>
      </c>
      <c r="F275" s="7" t="s">
        <v>562</v>
      </c>
      <c r="G275" s="7" t="s">
        <v>182</v>
      </c>
      <c r="H275" s="7">
        <v>4</v>
      </c>
      <c r="I275" s="7">
        <v>1</v>
      </c>
      <c r="J275" s="7" t="s">
        <v>46</v>
      </c>
      <c r="K275" s="7" t="s">
        <v>47</v>
      </c>
      <c r="P275" s="7">
        <v>1</v>
      </c>
      <c r="Q275" s="7">
        <v>14</v>
      </c>
      <c r="R275" s="7">
        <v>8</v>
      </c>
      <c r="AE275" s="7">
        <v>1000</v>
      </c>
      <c r="AF275" s="7" t="s">
        <v>360</v>
      </c>
      <c r="AG275" s="7" t="s">
        <v>317</v>
      </c>
      <c r="AH275" s="7">
        <v>7</v>
      </c>
      <c r="AI275" s="7" t="s">
        <v>285</v>
      </c>
      <c r="AJ275" s="7" t="s">
        <v>277</v>
      </c>
      <c r="AK275" s="7" t="s">
        <v>256</v>
      </c>
      <c r="AL275" s="7" t="s">
        <v>68</v>
      </c>
      <c r="AN275" s="7" t="s">
        <v>684</v>
      </c>
    </row>
    <row r="276" spans="1:40" ht="22.5" customHeight="1" x14ac:dyDescent="0.2">
      <c r="A276" s="6">
        <v>46004.845959444443</v>
      </c>
      <c r="B276" s="7" t="s">
        <v>1098</v>
      </c>
      <c r="C276" s="7">
        <v>45</v>
      </c>
      <c r="D276" s="7" t="s">
        <v>73</v>
      </c>
      <c r="E276" s="7" t="s">
        <v>43</v>
      </c>
      <c r="F276" s="7" t="s">
        <v>44</v>
      </c>
      <c r="G276" s="7" t="s">
        <v>60</v>
      </c>
      <c r="H276" s="7">
        <v>6</v>
      </c>
      <c r="I276" s="7">
        <v>2</v>
      </c>
      <c r="J276" s="7" t="s">
        <v>290</v>
      </c>
      <c r="K276" s="7" t="s">
        <v>47</v>
      </c>
      <c r="N276" s="7" t="s">
        <v>291</v>
      </c>
      <c r="P276" s="7">
        <v>8</v>
      </c>
      <c r="Q276" s="7">
        <v>10</v>
      </c>
      <c r="R276" s="7">
        <v>5</v>
      </c>
      <c r="Y276" s="7">
        <v>12</v>
      </c>
      <c r="Z276" s="7">
        <v>40</v>
      </c>
      <c r="AA276" s="7">
        <v>70</v>
      </c>
      <c r="AE276" s="7">
        <v>8500</v>
      </c>
      <c r="AF276" s="7" t="s">
        <v>323</v>
      </c>
      <c r="AG276" s="7" t="s">
        <v>295</v>
      </c>
      <c r="AH276" s="7">
        <v>6</v>
      </c>
      <c r="AI276" s="7" t="s">
        <v>296</v>
      </c>
      <c r="AJ276" s="7" t="s">
        <v>362</v>
      </c>
      <c r="AK276" s="7" t="s">
        <v>307</v>
      </c>
      <c r="AL276" s="7" t="s">
        <v>68</v>
      </c>
      <c r="AN276" s="7" t="s">
        <v>259</v>
      </c>
    </row>
    <row r="277" spans="1:40" ht="22.5" customHeight="1" x14ac:dyDescent="0.2">
      <c r="A277" s="6">
        <v>46005.444866967591</v>
      </c>
      <c r="B277" s="7" t="s">
        <v>1099</v>
      </c>
      <c r="C277" s="7">
        <v>31</v>
      </c>
      <c r="D277" s="7" t="s">
        <v>73</v>
      </c>
      <c r="E277" s="7" t="s">
        <v>58</v>
      </c>
      <c r="F277" s="7" t="s">
        <v>138</v>
      </c>
      <c r="G277" s="7" t="s">
        <v>60</v>
      </c>
      <c r="H277" s="7">
        <v>6</v>
      </c>
      <c r="I277" s="7">
        <v>1</v>
      </c>
      <c r="J277" s="7" t="s">
        <v>431</v>
      </c>
      <c r="M277" s="7" t="s">
        <v>47</v>
      </c>
      <c r="V277" s="7">
        <v>5</v>
      </c>
      <c r="W277" s="7">
        <v>25</v>
      </c>
      <c r="X277" s="7">
        <v>24</v>
      </c>
      <c r="AE277" s="7">
        <v>3600</v>
      </c>
      <c r="AF277" s="7" t="s">
        <v>252</v>
      </c>
      <c r="AG277" s="7" t="s">
        <v>253</v>
      </c>
      <c r="AH277" s="7">
        <v>12</v>
      </c>
      <c r="AI277" s="7" t="s">
        <v>255</v>
      </c>
      <c r="AJ277" s="7" t="s">
        <v>85</v>
      </c>
      <c r="AK277" s="7" t="s">
        <v>256</v>
      </c>
      <c r="AL277" s="7" t="s">
        <v>68</v>
      </c>
      <c r="AN277" s="7" t="s">
        <v>684</v>
      </c>
    </row>
    <row r="278" spans="1:40" ht="22.5" customHeight="1" x14ac:dyDescent="0.2">
      <c r="A278" s="6">
        <v>46005.445713831017</v>
      </c>
      <c r="B278" s="7" t="s">
        <v>1100</v>
      </c>
      <c r="C278" s="7">
        <v>28</v>
      </c>
      <c r="D278" s="7" t="s">
        <v>42</v>
      </c>
      <c r="E278" s="7" t="s">
        <v>58</v>
      </c>
      <c r="F278" s="7" t="s">
        <v>144</v>
      </c>
      <c r="G278" s="7" t="s">
        <v>89</v>
      </c>
      <c r="H278" s="7">
        <v>4</v>
      </c>
      <c r="I278" s="7">
        <v>1</v>
      </c>
      <c r="J278" s="7" t="s">
        <v>100</v>
      </c>
      <c r="L278" s="7" t="s">
        <v>47</v>
      </c>
      <c r="S278" s="7">
        <v>4</v>
      </c>
      <c r="T278" s="7">
        <v>7</v>
      </c>
      <c r="U278" s="7">
        <v>4</v>
      </c>
      <c r="AE278" s="7">
        <v>400</v>
      </c>
      <c r="AF278" s="7" t="s">
        <v>159</v>
      </c>
      <c r="AG278" s="7" t="s">
        <v>284</v>
      </c>
      <c r="AH278" s="7">
        <v>3</v>
      </c>
      <c r="AI278" s="7" t="s">
        <v>344</v>
      </c>
      <c r="AJ278" s="7" t="s">
        <v>277</v>
      </c>
      <c r="AK278" s="7" t="s">
        <v>335</v>
      </c>
      <c r="AL278" s="7" t="s">
        <v>152</v>
      </c>
      <c r="AM278" s="7" t="s">
        <v>368</v>
      </c>
    </row>
    <row r="279" spans="1:40" ht="22.5" customHeight="1" x14ac:dyDescent="0.2">
      <c r="A279" s="6">
        <v>46005.446775243057</v>
      </c>
      <c r="B279" s="7" t="s">
        <v>1101</v>
      </c>
      <c r="C279" s="7">
        <v>32</v>
      </c>
      <c r="D279" s="7" t="s">
        <v>73</v>
      </c>
      <c r="E279" s="7" t="s">
        <v>43</v>
      </c>
      <c r="F279" s="7" t="s">
        <v>74</v>
      </c>
      <c r="G279" s="7" t="s">
        <v>45</v>
      </c>
      <c r="H279" s="7">
        <v>3</v>
      </c>
      <c r="I279" s="7">
        <v>2</v>
      </c>
      <c r="J279" s="7" t="s">
        <v>1102</v>
      </c>
      <c r="K279" s="7" t="s">
        <v>47</v>
      </c>
      <c r="O279" s="7" t="s">
        <v>353</v>
      </c>
      <c r="P279" s="7">
        <v>6</v>
      </c>
      <c r="Q279" s="7">
        <v>10</v>
      </c>
      <c r="R279" s="7">
        <v>6</v>
      </c>
      <c r="AB279" s="7">
        <v>45</v>
      </c>
      <c r="AC279" s="7">
        <v>20</v>
      </c>
      <c r="AD279" s="7">
        <v>2</v>
      </c>
      <c r="AE279" s="7">
        <v>1600</v>
      </c>
      <c r="AF279" s="7" t="s">
        <v>252</v>
      </c>
      <c r="AG279" s="7" t="s">
        <v>361</v>
      </c>
      <c r="AH279" s="7">
        <v>10</v>
      </c>
      <c r="AI279" s="7" t="s">
        <v>255</v>
      </c>
      <c r="AJ279" s="7" t="s">
        <v>85</v>
      </c>
      <c r="AK279" s="7" t="s">
        <v>325</v>
      </c>
      <c r="AL279" s="7" t="s">
        <v>152</v>
      </c>
      <c r="AM279" s="7" t="s">
        <v>401</v>
      </c>
    </row>
    <row r="280" spans="1:40" ht="22.5" customHeight="1" x14ac:dyDescent="0.2">
      <c r="A280" s="6">
        <v>46005.448164085647</v>
      </c>
      <c r="B280" s="7" t="s">
        <v>1103</v>
      </c>
      <c r="C280" s="7">
        <v>50</v>
      </c>
      <c r="D280" s="7" t="s">
        <v>73</v>
      </c>
      <c r="E280" s="7" t="s">
        <v>43</v>
      </c>
      <c r="F280" s="7" t="s">
        <v>172</v>
      </c>
      <c r="G280" s="7" t="s">
        <v>60</v>
      </c>
      <c r="H280" s="7">
        <v>5</v>
      </c>
      <c r="I280" s="7">
        <v>3</v>
      </c>
      <c r="J280" s="7" t="s">
        <v>309</v>
      </c>
      <c r="K280" s="7" t="s">
        <v>47</v>
      </c>
      <c r="M280" s="7" t="s">
        <v>291</v>
      </c>
      <c r="N280" s="7" t="s">
        <v>291</v>
      </c>
      <c r="P280" s="7">
        <v>9</v>
      </c>
      <c r="Q280" s="7">
        <v>6</v>
      </c>
      <c r="R280" s="7">
        <v>4</v>
      </c>
      <c r="V280" s="7">
        <v>7</v>
      </c>
      <c r="W280" s="7">
        <v>18</v>
      </c>
      <c r="X280" s="7">
        <v>20</v>
      </c>
      <c r="Y280" s="7">
        <v>14</v>
      </c>
      <c r="Z280" s="7">
        <v>55</v>
      </c>
      <c r="AA280" s="7">
        <v>85</v>
      </c>
      <c r="AE280" s="7">
        <v>1200</v>
      </c>
      <c r="AF280" s="7" t="s">
        <v>323</v>
      </c>
      <c r="AG280" s="7" t="s">
        <v>295</v>
      </c>
      <c r="AH280" s="7">
        <v>15</v>
      </c>
      <c r="AI280" s="7" t="s">
        <v>559</v>
      </c>
      <c r="AJ280" s="7" t="s">
        <v>362</v>
      </c>
      <c r="AK280" s="7" t="s">
        <v>307</v>
      </c>
      <c r="AL280" s="7" t="s">
        <v>68</v>
      </c>
      <c r="AN280" s="7" t="s">
        <v>259</v>
      </c>
    </row>
    <row r="281" spans="1:40" ht="22.5" customHeight="1" x14ac:dyDescent="0.2">
      <c r="A281" s="6">
        <v>46005.449212280088</v>
      </c>
      <c r="B281" s="7" t="s">
        <v>1104</v>
      </c>
      <c r="C281" s="7">
        <v>28</v>
      </c>
      <c r="D281" s="7" t="s">
        <v>42</v>
      </c>
      <c r="E281" s="7" t="s">
        <v>58</v>
      </c>
      <c r="F281" s="7" t="s">
        <v>74</v>
      </c>
      <c r="G281" s="7" t="s">
        <v>45</v>
      </c>
      <c r="H281" s="7">
        <v>4</v>
      </c>
      <c r="I281" s="7">
        <v>1</v>
      </c>
      <c r="J281" s="7" t="s">
        <v>431</v>
      </c>
      <c r="M281" s="7" t="s">
        <v>47</v>
      </c>
      <c r="V281" s="7">
        <v>2</v>
      </c>
      <c r="W281" s="7">
        <v>39</v>
      </c>
      <c r="X281" s="7">
        <v>26</v>
      </c>
      <c r="AE281" s="7">
        <v>3900</v>
      </c>
      <c r="AF281" s="7" t="s">
        <v>276</v>
      </c>
      <c r="AG281" s="7" t="s">
        <v>317</v>
      </c>
      <c r="AH281" s="7">
        <v>14</v>
      </c>
      <c r="AI281" s="7" t="s">
        <v>255</v>
      </c>
      <c r="AJ281" s="7" t="s">
        <v>96</v>
      </c>
      <c r="AK281" s="7" t="s">
        <v>256</v>
      </c>
      <c r="AL281" s="7" t="s">
        <v>257</v>
      </c>
      <c r="AM281" s="7" t="s">
        <v>286</v>
      </c>
    </row>
    <row r="282" spans="1:40" ht="22.5" customHeight="1" x14ac:dyDescent="0.2">
      <c r="A282" s="6">
        <v>46005.481306979171</v>
      </c>
      <c r="B282" s="7" t="s">
        <v>1105</v>
      </c>
      <c r="C282" s="7">
        <v>29</v>
      </c>
      <c r="D282" s="7" t="s">
        <v>73</v>
      </c>
      <c r="E282" s="7" t="s">
        <v>43</v>
      </c>
      <c r="F282" s="7" t="s">
        <v>74</v>
      </c>
      <c r="G282" s="7" t="s">
        <v>45</v>
      </c>
      <c r="H282" s="7">
        <v>4</v>
      </c>
      <c r="I282" s="7">
        <v>1</v>
      </c>
      <c r="J282" s="7" t="s">
        <v>46</v>
      </c>
      <c r="K282" s="7" t="s">
        <v>47</v>
      </c>
      <c r="P282" s="7">
        <v>4</v>
      </c>
      <c r="Q282" s="7">
        <v>20</v>
      </c>
      <c r="R282" s="7">
        <v>11</v>
      </c>
      <c r="AE282" s="7">
        <v>1450</v>
      </c>
      <c r="AF282" s="7" t="s">
        <v>360</v>
      </c>
      <c r="AG282" s="7" t="s">
        <v>361</v>
      </c>
      <c r="AH282" s="7">
        <v>10</v>
      </c>
      <c r="AI282" s="7" t="s">
        <v>255</v>
      </c>
      <c r="AK282" s="7" t="s">
        <v>467</v>
      </c>
      <c r="AL282" s="7" t="s">
        <v>257</v>
      </c>
      <c r="AM282" s="7" t="s">
        <v>278</v>
      </c>
    </row>
    <row r="283" spans="1:40" ht="22.5" customHeight="1" x14ac:dyDescent="0.2">
      <c r="A283" s="6">
        <v>46005.482745995367</v>
      </c>
      <c r="B283" s="7" t="s">
        <v>1106</v>
      </c>
      <c r="C283" s="7">
        <v>34</v>
      </c>
      <c r="D283" s="7" t="s">
        <v>42</v>
      </c>
      <c r="E283" s="7" t="s">
        <v>58</v>
      </c>
      <c r="F283" s="7" t="s">
        <v>144</v>
      </c>
      <c r="G283" s="7" t="s">
        <v>89</v>
      </c>
      <c r="H283" s="7">
        <v>5</v>
      </c>
      <c r="I283" s="7">
        <v>1</v>
      </c>
      <c r="J283" s="7" t="s">
        <v>100</v>
      </c>
      <c r="L283" s="7" t="s">
        <v>47</v>
      </c>
      <c r="S283" s="7">
        <v>5</v>
      </c>
      <c r="T283" s="7">
        <v>4</v>
      </c>
      <c r="U283" s="7">
        <v>6</v>
      </c>
      <c r="AE283" s="7">
        <v>500</v>
      </c>
      <c r="AF283" s="7" t="s">
        <v>276</v>
      </c>
      <c r="AG283" s="7" t="s">
        <v>284</v>
      </c>
      <c r="AH283" s="7">
        <v>3</v>
      </c>
      <c r="AI283" s="7" t="s">
        <v>306</v>
      </c>
      <c r="AJ283" s="7" t="s">
        <v>85</v>
      </c>
      <c r="AK283" s="7" t="s">
        <v>325</v>
      </c>
      <c r="AL283" s="7" t="s">
        <v>68</v>
      </c>
      <c r="AN283" s="7" t="s">
        <v>638</v>
      </c>
    </row>
    <row r="284" spans="1:40" ht="22.5" customHeight="1" x14ac:dyDescent="0.2">
      <c r="A284" s="6">
        <v>46005.484027673607</v>
      </c>
      <c r="B284" s="7" t="s">
        <v>1107</v>
      </c>
      <c r="C284" s="7">
        <v>41</v>
      </c>
      <c r="D284" s="7" t="s">
        <v>73</v>
      </c>
      <c r="E284" s="7" t="s">
        <v>43</v>
      </c>
      <c r="F284" s="7" t="s">
        <v>44</v>
      </c>
      <c r="G284" s="7" t="s">
        <v>60</v>
      </c>
      <c r="H284" s="7">
        <v>6</v>
      </c>
      <c r="I284" s="7">
        <v>2</v>
      </c>
      <c r="J284" s="7" t="s">
        <v>290</v>
      </c>
      <c r="K284" s="7" t="s">
        <v>47</v>
      </c>
      <c r="N284" s="7" t="s">
        <v>291</v>
      </c>
      <c r="P284" s="7">
        <v>10</v>
      </c>
      <c r="Q284" s="7">
        <v>7</v>
      </c>
      <c r="R284" s="7">
        <v>4</v>
      </c>
      <c r="Y284" s="7">
        <v>13</v>
      </c>
      <c r="Z284" s="7">
        <v>45</v>
      </c>
      <c r="AA284" s="7">
        <v>75</v>
      </c>
      <c r="AE284" s="7">
        <v>9000</v>
      </c>
      <c r="AF284" s="7" t="s">
        <v>252</v>
      </c>
      <c r="AG284" s="7" t="s">
        <v>295</v>
      </c>
      <c r="AH284" s="7">
        <v>6</v>
      </c>
      <c r="AI284" s="7" t="s">
        <v>296</v>
      </c>
      <c r="AJ284" s="7" t="s">
        <v>362</v>
      </c>
      <c r="AK284" s="7" t="s">
        <v>307</v>
      </c>
      <c r="AL284" s="7" t="s">
        <v>257</v>
      </c>
      <c r="AM284" s="7" t="s">
        <v>363</v>
      </c>
    </row>
    <row r="285" spans="1:40" ht="22.5" customHeight="1" x14ac:dyDescent="0.2">
      <c r="A285" s="6">
        <v>46005.485189513885</v>
      </c>
      <c r="B285" s="7" t="s">
        <v>1108</v>
      </c>
      <c r="C285" s="7">
        <v>26</v>
      </c>
      <c r="D285" s="7" t="s">
        <v>73</v>
      </c>
      <c r="E285" s="7" t="s">
        <v>58</v>
      </c>
      <c r="F285" s="7" t="s">
        <v>74</v>
      </c>
      <c r="G285" s="7" t="s">
        <v>45</v>
      </c>
      <c r="H285" s="7">
        <v>4</v>
      </c>
      <c r="I285" s="7">
        <v>1</v>
      </c>
      <c r="J285" s="7" t="s">
        <v>431</v>
      </c>
      <c r="M285" s="7" t="s">
        <v>47</v>
      </c>
      <c r="V285" s="7">
        <v>3</v>
      </c>
      <c r="W285" s="7">
        <v>32</v>
      </c>
      <c r="X285" s="7">
        <v>30</v>
      </c>
      <c r="AE285" s="7">
        <v>4500</v>
      </c>
      <c r="AF285" s="7" t="s">
        <v>857</v>
      </c>
      <c r="AG285" s="7" t="s">
        <v>295</v>
      </c>
      <c r="AH285" s="7">
        <v>14</v>
      </c>
      <c r="AI285" s="7" t="s">
        <v>255</v>
      </c>
      <c r="AJ285" s="7" t="s">
        <v>362</v>
      </c>
      <c r="AK285" s="7" t="s">
        <v>307</v>
      </c>
      <c r="AL285" s="7" t="s">
        <v>68</v>
      </c>
      <c r="AN285" s="7" t="s">
        <v>303</v>
      </c>
    </row>
    <row r="286" spans="1:40" ht="22.5" customHeight="1" x14ac:dyDescent="0.2">
      <c r="A286" s="6">
        <v>46005.486190567128</v>
      </c>
      <c r="B286" s="7" t="s">
        <v>1067</v>
      </c>
      <c r="C286" s="7">
        <v>29</v>
      </c>
      <c r="D286" s="7" t="s">
        <v>42</v>
      </c>
      <c r="E286" s="7" t="s">
        <v>43</v>
      </c>
      <c r="F286" s="7" t="s">
        <v>44</v>
      </c>
      <c r="G286" s="7" t="s">
        <v>45</v>
      </c>
      <c r="H286" s="7">
        <v>5</v>
      </c>
      <c r="I286" s="7">
        <v>1</v>
      </c>
      <c r="J286" s="7" t="s">
        <v>46</v>
      </c>
      <c r="K286" s="7" t="s">
        <v>47</v>
      </c>
      <c r="P286" s="7">
        <v>12</v>
      </c>
      <c r="Q286" s="7">
        <v>6</v>
      </c>
      <c r="R286" s="7">
        <v>4</v>
      </c>
      <c r="AE286" s="7">
        <v>500</v>
      </c>
      <c r="AF286" s="7" t="s">
        <v>276</v>
      </c>
      <c r="AG286" s="7" t="s">
        <v>317</v>
      </c>
      <c r="AH286" s="7">
        <v>4</v>
      </c>
      <c r="AI286" s="7" t="s">
        <v>296</v>
      </c>
      <c r="AJ286" s="7" t="s">
        <v>85</v>
      </c>
      <c r="AK286" s="7" t="s">
        <v>325</v>
      </c>
      <c r="AL286" s="7" t="s">
        <v>257</v>
      </c>
      <c r="AM286" s="7" t="s">
        <v>286</v>
      </c>
    </row>
    <row r="287" spans="1:40" ht="22.5" customHeight="1" x14ac:dyDescent="0.2">
      <c r="A287" s="6">
        <v>46005.487428252316</v>
      </c>
      <c r="B287" s="7" t="s">
        <v>1109</v>
      </c>
      <c r="C287" s="7">
        <v>30</v>
      </c>
      <c r="D287" s="7" t="s">
        <v>73</v>
      </c>
      <c r="E287" s="7" t="s">
        <v>58</v>
      </c>
      <c r="F287" s="7" t="s">
        <v>138</v>
      </c>
      <c r="G287" s="7" t="s">
        <v>45</v>
      </c>
      <c r="H287" s="7">
        <v>4</v>
      </c>
      <c r="I287" s="7">
        <v>2</v>
      </c>
      <c r="J287" s="7" t="s">
        <v>246</v>
      </c>
      <c r="K287" s="7" t="s">
        <v>47</v>
      </c>
      <c r="M287" s="7" t="s">
        <v>47</v>
      </c>
      <c r="P287" s="7">
        <v>7</v>
      </c>
      <c r="Q287" s="7">
        <v>10</v>
      </c>
      <c r="R287" s="7">
        <v>6</v>
      </c>
      <c r="V287" s="7">
        <v>5</v>
      </c>
      <c r="W287" s="7">
        <v>24</v>
      </c>
      <c r="X287" s="7">
        <v>22</v>
      </c>
      <c r="AE287" s="7">
        <v>4200</v>
      </c>
      <c r="AF287" s="7" t="s">
        <v>252</v>
      </c>
      <c r="AG287" s="7" t="s">
        <v>361</v>
      </c>
      <c r="AH287" s="7">
        <v>12</v>
      </c>
      <c r="AI287" s="7" t="s">
        <v>255</v>
      </c>
      <c r="AJ287" s="7" t="s">
        <v>277</v>
      </c>
      <c r="AK287" s="7" t="s">
        <v>467</v>
      </c>
      <c r="AL287" s="7" t="s">
        <v>152</v>
      </c>
      <c r="AM287" s="7" t="s">
        <v>278</v>
      </c>
    </row>
    <row r="288" spans="1:40" ht="22.5" customHeight="1" x14ac:dyDescent="0.2">
      <c r="A288" s="6">
        <v>46005.488400439819</v>
      </c>
      <c r="B288" s="7" t="s">
        <v>1110</v>
      </c>
      <c r="C288" s="7">
        <v>31</v>
      </c>
      <c r="D288" s="7" t="s">
        <v>42</v>
      </c>
      <c r="E288" s="7" t="s">
        <v>58</v>
      </c>
      <c r="F288" s="7" t="s">
        <v>74</v>
      </c>
      <c r="G288" s="7" t="s">
        <v>45</v>
      </c>
      <c r="H288" s="7">
        <v>3</v>
      </c>
      <c r="I288" s="7">
        <v>1</v>
      </c>
      <c r="J288" s="7" t="s">
        <v>100</v>
      </c>
      <c r="L288" s="7" t="s">
        <v>47</v>
      </c>
      <c r="S288" s="7">
        <v>3</v>
      </c>
      <c r="T288" s="7">
        <v>8</v>
      </c>
      <c r="U288" s="7">
        <v>5</v>
      </c>
      <c r="AE288" s="7">
        <v>650</v>
      </c>
      <c r="AF288" s="7" t="s">
        <v>276</v>
      </c>
      <c r="AG288" s="7" t="s">
        <v>284</v>
      </c>
      <c r="AH288" s="7">
        <v>6</v>
      </c>
      <c r="AI288" s="7" t="s">
        <v>255</v>
      </c>
      <c r="AJ288" s="7" t="s">
        <v>85</v>
      </c>
      <c r="AK288" s="7" t="s">
        <v>325</v>
      </c>
      <c r="AL288" s="7" t="s">
        <v>68</v>
      </c>
      <c r="AN288" s="7" t="s">
        <v>373</v>
      </c>
    </row>
    <row r="289" spans="1:40" ht="22.5" customHeight="1" x14ac:dyDescent="0.2">
      <c r="A289" s="6">
        <v>46005.490585196763</v>
      </c>
      <c r="B289" s="7" t="s">
        <v>1111</v>
      </c>
      <c r="C289" s="7">
        <v>54</v>
      </c>
      <c r="D289" s="7" t="s">
        <v>73</v>
      </c>
      <c r="E289" s="7" t="s">
        <v>58</v>
      </c>
      <c r="F289" s="7" t="s">
        <v>172</v>
      </c>
      <c r="G289" s="7" t="s">
        <v>155</v>
      </c>
      <c r="H289" s="7">
        <v>6</v>
      </c>
      <c r="I289" s="7">
        <v>3</v>
      </c>
      <c r="J289" s="7" t="s">
        <v>309</v>
      </c>
      <c r="K289" s="7" t="s">
        <v>47</v>
      </c>
      <c r="M289" s="7" t="s">
        <v>47</v>
      </c>
      <c r="N289" s="7" t="s">
        <v>291</v>
      </c>
      <c r="P289" s="7">
        <v>10</v>
      </c>
      <c r="Q289" s="7">
        <v>5</v>
      </c>
      <c r="R289" s="7">
        <v>3</v>
      </c>
      <c r="V289" s="7">
        <v>8</v>
      </c>
      <c r="W289" s="7">
        <v>20</v>
      </c>
      <c r="X289" s="7">
        <v>22</v>
      </c>
      <c r="Y289" s="7">
        <v>15</v>
      </c>
      <c r="Z289" s="7">
        <v>60</v>
      </c>
      <c r="AA289" s="7">
        <v>90</v>
      </c>
      <c r="AE289" s="7">
        <v>13800</v>
      </c>
      <c r="AF289" s="7" t="s">
        <v>159</v>
      </c>
      <c r="AG289" s="7" t="s">
        <v>295</v>
      </c>
      <c r="AH289" s="7">
        <v>18</v>
      </c>
      <c r="AI289" s="7" t="s">
        <v>255</v>
      </c>
      <c r="AJ289" s="7" t="s">
        <v>362</v>
      </c>
      <c r="AK289" s="7" t="s">
        <v>307</v>
      </c>
      <c r="AL289" s="7" t="s">
        <v>68</v>
      </c>
      <c r="AN289" s="7" t="s">
        <v>684</v>
      </c>
    </row>
    <row r="290" spans="1:40" ht="22.5" customHeight="1" x14ac:dyDescent="0.2">
      <c r="A290" s="6">
        <v>46005.491747731481</v>
      </c>
      <c r="B290" s="7" t="s">
        <v>1112</v>
      </c>
      <c r="C290" s="7">
        <v>23</v>
      </c>
      <c r="D290" s="7" t="s">
        <v>42</v>
      </c>
      <c r="E290" s="7" t="s">
        <v>43</v>
      </c>
      <c r="F290" s="7" t="s">
        <v>562</v>
      </c>
      <c r="G290" s="7" t="s">
        <v>182</v>
      </c>
      <c r="H290" s="7">
        <v>3</v>
      </c>
      <c r="I290" s="7">
        <v>1</v>
      </c>
      <c r="J290" s="7" t="s">
        <v>46</v>
      </c>
      <c r="K290" s="7" t="s">
        <v>47</v>
      </c>
      <c r="P290" s="7">
        <v>2</v>
      </c>
      <c r="Q290" s="7">
        <v>16</v>
      </c>
      <c r="R290" s="7">
        <v>9</v>
      </c>
      <c r="AE290" s="7">
        <v>1100</v>
      </c>
      <c r="AF290" s="7" t="s">
        <v>252</v>
      </c>
      <c r="AG290" s="7" t="s">
        <v>317</v>
      </c>
      <c r="AH290" s="7">
        <v>5</v>
      </c>
      <c r="AI290" s="7" t="s">
        <v>285</v>
      </c>
      <c r="AJ290" s="7" t="s">
        <v>277</v>
      </c>
      <c r="AK290" s="7" t="s">
        <v>256</v>
      </c>
      <c r="AL290" s="7" t="s">
        <v>68</v>
      </c>
      <c r="AN290" s="7" t="s">
        <v>259</v>
      </c>
    </row>
    <row r="291" spans="1:40" ht="22.5" customHeight="1" x14ac:dyDescent="0.2">
      <c r="A291" s="6">
        <v>46005.492921770834</v>
      </c>
      <c r="B291" s="7" t="s">
        <v>1113</v>
      </c>
      <c r="C291" s="7">
        <v>44</v>
      </c>
      <c r="D291" s="7" t="s">
        <v>73</v>
      </c>
      <c r="E291" s="7" t="s">
        <v>43</v>
      </c>
      <c r="F291" s="7" t="s">
        <v>44</v>
      </c>
      <c r="G291" s="7" t="s">
        <v>60</v>
      </c>
      <c r="H291" s="7">
        <v>5</v>
      </c>
      <c r="I291" s="7">
        <v>2</v>
      </c>
      <c r="J291" s="7" t="s">
        <v>290</v>
      </c>
      <c r="K291" s="7" t="s">
        <v>47</v>
      </c>
      <c r="N291" s="7" t="s">
        <v>291</v>
      </c>
      <c r="P291" s="7">
        <v>9</v>
      </c>
      <c r="Q291" s="7">
        <v>8</v>
      </c>
      <c r="R291" s="7">
        <v>5</v>
      </c>
      <c r="Y291" s="7">
        <v>14</v>
      </c>
      <c r="Z291" s="7">
        <v>50</v>
      </c>
      <c r="AA291" s="7">
        <v>88</v>
      </c>
      <c r="AE291" s="7">
        <v>10200</v>
      </c>
      <c r="AF291" s="7" t="s">
        <v>252</v>
      </c>
      <c r="AG291" s="7" t="s">
        <v>253</v>
      </c>
      <c r="AH291" s="7">
        <v>7</v>
      </c>
      <c r="AI291" s="7" t="s">
        <v>296</v>
      </c>
      <c r="AJ291" s="7" t="s">
        <v>362</v>
      </c>
      <c r="AK291" s="7" t="s">
        <v>307</v>
      </c>
      <c r="AL291" s="7" t="s">
        <v>257</v>
      </c>
      <c r="AM291" s="7" t="s">
        <v>363</v>
      </c>
    </row>
    <row r="292" spans="1:40" ht="22.5" customHeight="1" x14ac:dyDescent="0.2">
      <c r="A292" s="6">
        <v>46006.417300462963</v>
      </c>
      <c r="B292" s="7" t="s">
        <v>1114</v>
      </c>
      <c r="C292" s="7">
        <v>29</v>
      </c>
      <c r="D292" s="7" t="s">
        <v>73</v>
      </c>
      <c r="E292" s="7" t="s">
        <v>43</v>
      </c>
      <c r="F292" s="7" t="s">
        <v>74</v>
      </c>
      <c r="G292" s="7" t="s">
        <v>45</v>
      </c>
      <c r="H292" s="7">
        <v>4</v>
      </c>
      <c r="I292" s="7">
        <v>1</v>
      </c>
      <c r="J292" s="7" t="s">
        <v>46</v>
      </c>
      <c r="K292" s="7" t="s">
        <v>47</v>
      </c>
      <c r="P292" s="7">
        <v>6</v>
      </c>
      <c r="Q292" s="7">
        <v>16</v>
      </c>
      <c r="R292" s="7">
        <v>9</v>
      </c>
      <c r="AE292" s="7">
        <v>1150</v>
      </c>
      <c r="AF292" s="7" t="s">
        <v>276</v>
      </c>
      <c r="AG292" s="7" t="s">
        <v>317</v>
      </c>
      <c r="AH292" s="7">
        <v>8</v>
      </c>
      <c r="AI292" s="7" t="s">
        <v>255</v>
      </c>
      <c r="AJ292" s="7" t="s">
        <v>96</v>
      </c>
      <c r="AK292" s="7" t="s">
        <v>467</v>
      </c>
      <c r="AL292" s="7" t="s">
        <v>68</v>
      </c>
      <c r="AN292" s="7" t="s">
        <v>684</v>
      </c>
    </row>
    <row r="293" spans="1:40" ht="22.5" customHeight="1" x14ac:dyDescent="0.2">
      <c r="A293" s="6">
        <v>46006.418256898149</v>
      </c>
      <c r="B293" s="7" t="s">
        <v>1115</v>
      </c>
      <c r="C293" s="7">
        <v>27</v>
      </c>
      <c r="D293" s="7" t="s">
        <v>42</v>
      </c>
      <c r="E293" s="7" t="s">
        <v>58</v>
      </c>
      <c r="F293" s="7" t="s">
        <v>74</v>
      </c>
      <c r="G293" s="7" t="s">
        <v>45</v>
      </c>
      <c r="H293" s="7">
        <v>3</v>
      </c>
      <c r="I293" s="7">
        <v>1</v>
      </c>
      <c r="J293" s="7" t="s">
        <v>100</v>
      </c>
      <c r="K293" s="7" t="s">
        <v>47</v>
      </c>
      <c r="S293" s="7">
        <v>3</v>
      </c>
      <c r="T293" s="7">
        <v>9</v>
      </c>
      <c r="U293" s="7">
        <v>5</v>
      </c>
      <c r="AE293" s="7">
        <v>650</v>
      </c>
      <c r="AF293" s="7" t="s">
        <v>276</v>
      </c>
      <c r="AG293" s="7" t="s">
        <v>284</v>
      </c>
      <c r="AH293" s="7">
        <v>6</v>
      </c>
      <c r="AI293" s="7" t="s">
        <v>255</v>
      </c>
      <c r="AJ293" s="7" t="s">
        <v>96</v>
      </c>
      <c r="AK293" s="7" t="s">
        <v>335</v>
      </c>
      <c r="AL293" s="7" t="s">
        <v>68</v>
      </c>
      <c r="AN293" s="7" t="s">
        <v>303</v>
      </c>
    </row>
    <row r="294" spans="1:40" ht="22.5" customHeight="1" x14ac:dyDescent="0.2">
      <c r="A294" s="6">
        <v>46006.419820289353</v>
      </c>
      <c r="B294" s="7" t="s">
        <v>1116</v>
      </c>
      <c r="C294" s="7">
        <v>52</v>
      </c>
      <c r="D294" s="7" t="s">
        <v>73</v>
      </c>
      <c r="E294" s="7" t="s">
        <v>43</v>
      </c>
      <c r="F294" s="7" t="s">
        <v>172</v>
      </c>
      <c r="G294" s="7" t="s">
        <v>109</v>
      </c>
      <c r="H294" s="7">
        <v>4</v>
      </c>
      <c r="I294" s="7">
        <v>3</v>
      </c>
      <c r="J294" s="7" t="s">
        <v>309</v>
      </c>
      <c r="K294" s="7" t="s">
        <v>47</v>
      </c>
      <c r="M294" s="7" t="s">
        <v>47</v>
      </c>
      <c r="N294" s="7" t="s">
        <v>291</v>
      </c>
      <c r="P294" s="7">
        <v>12</v>
      </c>
      <c r="Q294" s="7">
        <v>5</v>
      </c>
      <c r="R294" s="7">
        <v>3</v>
      </c>
      <c r="V294" s="7">
        <v>9</v>
      </c>
      <c r="W294" s="7">
        <v>18</v>
      </c>
      <c r="X294" s="7">
        <v>20</v>
      </c>
      <c r="Y294" s="7">
        <v>16</v>
      </c>
      <c r="Z294" s="7">
        <v>65</v>
      </c>
      <c r="AA294" s="7">
        <v>100</v>
      </c>
      <c r="AE294" s="7">
        <v>14500</v>
      </c>
      <c r="AF294" s="7" t="s">
        <v>252</v>
      </c>
      <c r="AG294" s="7" t="s">
        <v>253</v>
      </c>
      <c r="AH294" s="7">
        <v>20</v>
      </c>
      <c r="AI294" s="7" t="s">
        <v>559</v>
      </c>
      <c r="AJ294" s="7" t="s">
        <v>85</v>
      </c>
      <c r="AK294" s="7" t="s">
        <v>256</v>
      </c>
      <c r="AL294" s="7" t="s">
        <v>152</v>
      </c>
      <c r="AM294" s="7" t="s">
        <v>368</v>
      </c>
    </row>
    <row r="295" spans="1:40" ht="22.5" customHeight="1" x14ac:dyDescent="0.2">
      <c r="A295" s="6">
        <v>46006.421066539348</v>
      </c>
      <c r="B295" s="7" t="s">
        <v>1117</v>
      </c>
      <c r="C295" s="7">
        <v>31</v>
      </c>
      <c r="D295" s="7" t="s">
        <v>42</v>
      </c>
      <c r="E295" s="7" t="s">
        <v>58</v>
      </c>
      <c r="F295" s="7" t="s">
        <v>138</v>
      </c>
      <c r="G295" s="7" t="s">
        <v>45</v>
      </c>
      <c r="H295" s="7">
        <v>3</v>
      </c>
      <c r="I295" s="7">
        <v>1</v>
      </c>
      <c r="J295" s="7" t="s">
        <v>431</v>
      </c>
      <c r="M295" s="7" t="s">
        <v>47</v>
      </c>
      <c r="V295" s="7">
        <v>4</v>
      </c>
      <c r="W295" s="7">
        <v>28</v>
      </c>
      <c r="X295" s="7">
        <v>25</v>
      </c>
      <c r="AE295" s="7">
        <v>3800</v>
      </c>
      <c r="AF295" s="7" t="s">
        <v>360</v>
      </c>
      <c r="AG295" s="7" t="s">
        <v>1118</v>
      </c>
      <c r="AH295" s="7">
        <v>14</v>
      </c>
      <c r="AI295" s="7" t="s">
        <v>255</v>
      </c>
      <c r="AJ295" s="7" t="s">
        <v>362</v>
      </c>
      <c r="AK295" s="7" t="s">
        <v>307</v>
      </c>
      <c r="AL295" s="7" t="s">
        <v>257</v>
      </c>
      <c r="AN295" s="7" t="s">
        <v>684</v>
      </c>
    </row>
    <row r="296" spans="1:40" ht="22.5" customHeight="1" x14ac:dyDescent="0.2">
      <c r="A296" s="6">
        <v>46006.422013113421</v>
      </c>
      <c r="B296" s="7" t="s">
        <v>1119</v>
      </c>
      <c r="C296" s="7">
        <v>35</v>
      </c>
      <c r="D296" s="7" t="s">
        <v>73</v>
      </c>
      <c r="E296" s="7" t="s">
        <v>43</v>
      </c>
      <c r="F296" s="7" t="s">
        <v>339</v>
      </c>
      <c r="G296" s="7" t="s">
        <v>45</v>
      </c>
      <c r="H296" s="7">
        <v>5</v>
      </c>
      <c r="J296" s="7" t="s">
        <v>46</v>
      </c>
      <c r="K296" s="7" t="s">
        <v>47</v>
      </c>
      <c r="P296" s="7">
        <v>7</v>
      </c>
      <c r="Q296" s="7">
        <v>14</v>
      </c>
      <c r="R296" s="7">
        <v>8</v>
      </c>
      <c r="AE296" s="7">
        <v>1000</v>
      </c>
      <c r="AF296" s="7" t="s">
        <v>276</v>
      </c>
      <c r="AG296" s="7" t="s">
        <v>284</v>
      </c>
      <c r="AH296" s="7">
        <v>6</v>
      </c>
      <c r="AI296" s="7" t="s">
        <v>724</v>
      </c>
      <c r="AJ296" s="7" t="s">
        <v>85</v>
      </c>
      <c r="AK296" s="7" t="s">
        <v>325</v>
      </c>
      <c r="AL296" s="7" t="s">
        <v>152</v>
      </c>
      <c r="AM296" s="7" t="s">
        <v>278</v>
      </c>
    </row>
    <row r="297" spans="1:40" ht="22.5" customHeight="1" x14ac:dyDescent="0.2">
      <c r="A297" s="6">
        <v>46006.42456402778</v>
      </c>
      <c r="B297" s="7" t="s">
        <v>1120</v>
      </c>
      <c r="C297" s="7">
        <v>24</v>
      </c>
      <c r="D297" s="7" t="s">
        <v>42</v>
      </c>
      <c r="E297" s="7" t="s">
        <v>58</v>
      </c>
      <c r="F297" s="7" t="s">
        <v>562</v>
      </c>
      <c r="G297" s="7" t="s">
        <v>182</v>
      </c>
      <c r="H297" s="7">
        <v>6</v>
      </c>
      <c r="I297" s="7">
        <v>1</v>
      </c>
      <c r="J297" s="7" t="s">
        <v>46</v>
      </c>
      <c r="K297" s="7" t="s">
        <v>47</v>
      </c>
      <c r="P297" s="7">
        <v>1</v>
      </c>
      <c r="Q297" s="7">
        <v>18</v>
      </c>
      <c r="R297" s="7">
        <v>10</v>
      </c>
      <c r="AE297" s="7">
        <v>1250</v>
      </c>
      <c r="AF297" s="7" t="s">
        <v>360</v>
      </c>
      <c r="AG297" s="7" t="s">
        <v>317</v>
      </c>
      <c r="AH297" s="7">
        <v>9</v>
      </c>
      <c r="AI297" s="7" t="s">
        <v>285</v>
      </c>
      <c r="AJ297" s="7" t="s">
        <v>277</v>
      </c>
      <c r="AK297" s="7" t="s">
        <v>256</v>
      </c>
      <c r="AL297" s="7" t="s">
        <v>68</v>
      </c>
      <c r="AN297" s="7" t="s">
        <v>460</v>
      </c>
    </row>
    <row r="298" spans="1:40" ht="22.5" customHeight="1" x14ac:dyDescent="0.2">
      <c r="A298" s="6">
        <v>46006.426065856482</v>
      </c>
      <c r="B298" s="7" t="s">
        <v>1121</v>
      </c>
      <c r="C298" s="7">
        <v>48</v>
      </c>
      <c r="D298" s="7" t="s">
        <v>73</v>
      </c>
      <c r="E298" s="7" t="s">
        <v>43</v>
      </c>
      <c r="F298" s="7" t="s">
        <v>44</v>
      </c>
      <c r="G298" s="7" t="s">
        <v>60</v>
      </c>
      <c r="H298" s="7">
        <v>5</v>
      </c>
      <c r="I298" s="7">
        <v>2</v>
      </c>
      <c r="J298" s="7" t="s">
        <v>290</v>
      </c>
      <c r="K298" s="7" t="s">
        <v>47</v>
      </c>
      <c r="N298" s="7" t="s">
        <v>291</v>
      </c>
      <c r="P298" s="7">
        <v>11</v>
      </c>
      <c r="Q298" s="7">
        <v>6</v>
      </c>
      <c r="R298" s="7">
        <v>4</v>
      </c>
      <c r="Y298" s="7">
        <v>15</v>
      </c>
      <c r="Z298" s="7">
        <v>55</v>
      </c>
      <c r="AA298" s="7">
        <v>85</v>
      </c>
      <c r="AE298" s="7">
        <v>10800</v>
      </c>
      <c r="AF298" s="7" t="s">
        <v>252</v>
      </c>
      <c r="AG298" s="7" t="s">
        <v>253</v>
      </c>
      <c r="AH298" s="7">
        <v>6</v>
      </c>
      <c r="AI298" s="7" t="s">
        <v>296</v>
      </c>
      <c r="AJ298" s="7" t="s">
        <v>85</v>
      </c>
      <c r="AK298" s="7" t="s">
        <v>256</v>
      </c>
      <c r="AL298" s="7" t="s">
        <v>257</v>
      </c>
      <c r="AM298" s="7" t="s">
        <v>286</v>
      </c>
    </row>
    <row r="299" spans="1:40" ht="22.5" customHeight="1" x14ac:dyDescent="0.2">
      <c r="A299" s="6">
        <v>46006.426944594903</v>
      </c>
      <c r="B299" s="7" t="s">
        <v>1122</v>
      </c>
      <c r="C299" s="7">
        <v>19</v>
      </c>
      <c r="D299" s="7" t="s">
        <v>42</v>
      </c>
      <c r="E299" s="7" t="s">
        <v>58</v>
      </c>
      <c r="F299" s="7" t="s">
        <v>74</v>
      </c>
      <c r="G299" s="7" t="s">
        <v>45</v>
      </c>
      <c r="H299" s="7">
        <v>4</v>
      </c>
      <c r="I299" s="7">
        <v>1</v>
      </c>
      <c r="J299" s="7" t="s">
        <v>100</v>
      </c>
      <c r="L299" s="7" t="s">
        <v>47</v>
      </c>
      <c r="S299" s="7">
        <v>4</v>
      </c>
      <c r="T299" s="7">
        <v>8</v>
      </c>
      <c r="U299" s="7">
        <v>5</v>
      </c>
      <c r="AE299" s="7">
        <v>650</v>
      </c>
      <c r="AF299" s="7" t="s">
        <v>323</v>
      </c>
      <c r="AG299" s="7" t="s">
        <v>317</v>
      </c>
      <c r="AH299" s="7">
        <v>6</v>
      </c>
      <c r="AI299" s="7" t="s">
        <v>255</v>
      </c>
      <c r="AJ299" s="7" t="s">
        <v>277</v>
      </c>
      <c r="AK299" s="7" t="s">
        <v>256</v>
      </c>
      <c r="AL299" s="7" t="s">
        <v>152</v>
      </c>
      <c r="AM299" s="7" t="s">
        <v>368</v>
      </c>
    </row>
    <row r="300" spans="1:40" ht="22.5" customHeight="1" x14ac:dyDescent="0.2">
      <c r="A300" s="6">
        <v>46006.428285636575</v>
      </c>
      <c r="B300" s="7" t="s">
        <v>1123</v>
      </c>
      <c r="C300" s="7">
        <v>55</v>
      </c>
      <c r="D300" s="7" t="s">
        <v>73</v>
      </c>
      <c r="E300" s="7" t="s">
        <v>43</v>
      </c>
      <c r="F300" s="7" t="s">
        <v>172</v>
      </c>
      <c r="G300" s="7" t="s">
        <v>155</v>
      </c>
      <c r="H300" s="7">
        <v>4</v>
      </c>
      <c r="I300" s="7">
        <v>3</v>
      </c>
      <c r="J300" s="7" t="s">
        <v>309</v>
      </c>
      <c r="K300" s="7" t="s">
        <v>47</v>
      </c>
      <c r="M300" s="7" t="s">
        <v>47</v>
      </c>
      <c r="N300" s="7" t="s">
        <v>291</v>
      </c>
      <c r="P300" s="7">
        <v>13</v>
      </c>
      <c r="Q300" s="7">
        <v>4</v>
      </c>
      <c r="R300" s="7">
        <v>3</v>
      </c>
      <c r="V300" s="7">
        <v>10</v>
      </c>
      <c r="W300" s="7">
        <v>16</v>
      </c>
      <c r="X300" s="7">
        <v>18</v>
      </c>
      <c r="Y300" s="7">
        <v>18</v>
      </c>
      <c r="Z300" s="7">
        <v>70</v>
      </c>
      <c r="AA300" s="7">
        <v>110</v>
      </c>
      <c r="AE300" s="7">
        <v>15600</v>
      </c>
      <c r="AF300" s="7" t="s">
        <v>159</v>
      </c>
      <c r="AG300" s="7" t="s">
        <v>284</v>
      </c>
      <c r="AH300" s="7">
        <v>22</v>
      </c>
      <c r="AI300" s="7" t="s">
        <v>559</v>
      </c>
      <c r="AJ300" s="7" t="s">
        <v>362</v>
      </c>
      <c r="AK300" s="7" t="s">
        <v>307</v>
      </c>
      <c r="AL300" s="7" t="s">
        <v>68</v>
      </c>
      <c r="AN300" s="7" t="s">
        <v>1124</v>
      </c>
    </row>
    <row r="301" spans="1:40" ht="22.5" customHeight="1" x14ac:dyDescent="0.2">
      <c r="A301" s="6">
        <v>46006.429168425922</v>
      </c>
      <c r="B301" s="7" t="s">
        <v>1125</v>
      </c>
      <c r="C301" s="7">
        <v>26</v>
      </c>
      <c r="D301" s="7" t="s">
        <v>42</v>
      </c>
      <c r="E301" s="7" t="s">
        <v>58</v>
      </c>
      <c r="F301" s="7" t="s">
        <v>74</v>
      </c>
      <c r="G301" s="7" t="s">
        <v>89</v>
      </c>
      <c r="H301" s="7">
        <v>5</v>
      </c>
      <c r="I301" s="7">
        <v>1</v>
      </c>
      <c r="J301" s="7" t="s">
        <v>431</v>
      </c>
      <c r="M301" s="7" t="s">
        <v>47</v>
      </c>
      <c r="V301" s="7">
        <v>2</v>
      </c>
      <c r="W301" s="7">
        <v>34</v>
      </c>
      <c r="X301" s="7">
        <v>30</v>
      </c>
      <c r="AE301" s="7">
        <v>4400</v>
      </c>
      <c r="AF301" s="7" t="s">
        <v>159</v>
      </c>
      <c r="AG301" s="7" t="s">
        <v>361</v>
      </c>
      <c r="AH301" s="7">
        <v>15</v>
      </c>
      <c r="AI301" s="7" t="s">
        <v>255</v>
      </c>
      <c r="AJ301" s="7" t="s">
        <v>362</v>
      </c>
      <c r="AK301" s="7" t="s">
        <v>307</v>
      </c>
      <c r="AL301" s="7" t="s">
        <v>152</v>
      </c>
      <c r="AM301" s="7" t="s">
        <v>363</v>
      </c>
    </row>
    <row r="302" spans="1:40" ht="22.5" customHeight="1" x14ac:dyDescent="0.2">
      <c r="A302" s="6">
        <v>46006.4319684375</v>
      </c>
      <c r="B302" s="7" t="s">
        <v>1126</v>
      </c>
      <c r="C302" s="7">
        <v>31</v>
      </c>
      <c r="D302" s="7" t="s">
        <v>73</v>
      </c>
      <c r="E302" s="7" t="s">
        <v>58</v>
      </c>
      <c r="F302" s="7" t="s">
        <v>74</v>
      </c>
      <c r="G302" s="7" t="s">
        <v>45</v>
      </c>
      <c r="H302" s="7">
        <v>4</v>
      </c>
      <c r="I302" s="7">
        <v>2</v>
      </c>
      <c r="J302" s="7" t="s">
        <v>61</v>
      </c>
      <c r="K302" s="7" t="s">
        <v>47</v>
      </c>
      <c r="L302" s="7" t="s">
        <v>47</v>
      </c>
      <c r="P302" s="7">
        <v>5</v>
      </c>
      <c r="Q302" s="7">
        <v>15</v>
      </c>
      <c r="R302" s="7">
        <v>9</v>
      </c>
      <c r="S302" s="7">
        <v>3</v>
      </c>
      <c r="T302" s="7">
        <v>6</v>
      </c>
      <c r="U302" s="7">
        <v>4</v>
      </c>
      <c r="AE302" s="7">
        <v>1800</v>
      </c>
      <c r="AF302" s="7" t="s">
        <v>252</v>
      </c>
      <c r="AG302" s="7" t="s">
        <v>295</v>
      </c>
      <c r="AH302" s="7">
        <v>8</v>
      </c>
      <c r="AI302" s="7" t="s">
        <v>255</v>
      </c>
      <c r="AJ302" s="7" t="s">
        <v>85</v>
      </c>
      <c r="AK302" s="7" t="s">
        <v>325</v>
      </c>
      <c r="AL302" s="7" t="s">
        <v>68</v>
      </c>
      <c r="AN302" s="7" t="s">
        <v>259</v>
      </c>
    </row>
    <row r="303" spans="1:40" ht="22.5" customHeight="1" x14ac:dyDescent="0.2">
      <c r="A303" s="6">
        <v>46006.433021886573</v>
      </c>
      <c r="B303" s="7" t="s">
        <v>1127</v>
      </c>
      <c r="C303" s="7">
        <v>24</v>
      </c>
      <c r="D303" s="7" t="s">
        <v>42</v>
      </c>
      <c r="E303" s="7" t="s">
        <v>58</v>
      </c>
      <c r="F303" s="7" t="s">
        <v>562</v>
      </c>
      <c r="G303" s="7" t="s">
        <v>182</v>
      </c>
      <c r="H303" s="7">
        <v>3</v>
      </c>
      <c r="I303" s="7">
        <v>1</v>
      </c>
      <c r="J303" s="7" t="s">
        <v>100</v>
      </c>
      <c r="L303" s="7" t="s">
        <v>47</v>
      </c>
      <c r="S303" s="7">
        <v>2</v>
      </c>
      <c r="T303" s="7">
        <v>7</v>
      </c>
      <c r="U303" s="7">
        <v>4</v>
      </c>
      <c r="AE303" s="7">
        <v>520</v>
      </c>
      <c r="AF303" s="7" t="s">
        <v>323</v>
      </c>
      <c r="AG303" s="7" t="s">
        <v>295</v>
      </c>
      <c r="AH303" s="7">
        <v>4</v>
      </c>
      <c r="AI303" s="7" t="s">
        <v>285</v>
      </c>
      <c r="AJ303" s="7" t="s">
        <v>96</v>
      </c>
      <c r="AK303" s="7" t="s">
        <v>256</v>
      </c>
      <c r="AL303" s="7" t="s">
        <v>257</v>
      </c>
      <c r="AM303" s="7" t="s">
        <v>401</v>
      </c>
    </row>
    <row r="304" spans="1:40" ht="22.5" customHeight="1" x14ac:dyDescent="0.2">
      <c r="A304" s="6">
        <v>46006.434200497686</v>
      </c>
      <c r="B304" s="7" t="s">
        <v>1128</v>
      </c>
      <c r="C304" s="7">
        <v>29</v>
      </c>
      <c r="D304" s="7" t="s">
        <v>73</v>
      </c>
      <c r="E304" s="7" t="s">
        <v>43</v>
      </c>
      <c r="F304" s="7" t="s">
        <v>172</v>
      </c>
      <c r="G304" s="7" t="s">
        <v>60</v>
      </c>
      <c r="H304" s="7">
        <v>5</v>
      </c>
      <c r="I304" s="7">
        <v>2</v>
      </c>
      <c r="J304" s="7" t="s">
        <v>246</v>
      </c>
      <c r="K304" s="7" t="s">
        <v>47</v>
      </c>
      <c r="M304" s="7" t="s">
        <v>47</v>
      </c>
      <c r="P304" s="7">
        <v>6</v>
      </c>
      <c r="Q304" s="7">
        <v>10</v>
      </c>
      <c r="R304" s="7">
        <v>6</v>
      </c>
      <c r="V304" s="7">
        <v>4</v>
      </c>
      <c r="W304" s="7">
        <v>18</v>
      </c>
      <c r="X304" s="7">
        <v>20</v>
      </c>
      <c r="AE304" s="7">
        <v>3609</v>
      </c>
      <c r="AF304" s="7" t="s">
        <v>159</v>
      </c>
      <c r="AG304" s="7" t="s">
        <v>361</v>
      </c>
      <c r="AH304" s="7">
        <v>10</v>
      </c>
      <c r="AI304" s="7" t="s">
        <v>255</v>
      </c>
      <c r="AJ304" s="7" t="s">
        <v>277</v>
      </c>
      <c r="AK304" s="7" t="s">
        <v>256</v>
      </c>
      <c r="AL304" s="7" t="s">
        <v>68</v>
      </c>
      <c r="AN304" s="7" t="s">
        <v>259</v>
      </c>
    </row>
    <row r="305" spans="1:40" ht="22.5" customHeight="1" x14ac:dyDescent="0.2">
      <c r="A305" s="6">
        <v>46006.435345763894</v>
      </c>
      <c r="B305" s="7" t="s">
        <v>1129</v>
      </c>
      <c r="C305" s="7">
        <v>27</v>
      </c>
      <c r="D305" s="7" t="s">
        <v>73</v>
      </c>
      <c r="E305" s="7" t="s">
        <v>43</v>
      </c>
      <c r="F305" s="7" t="s">
        <v>44</v>
      </c>
      <c r="G305" s="7" t="s">
        <v>45</v>
      </c>
      <c r="H305" s="7">
        <v>5</v>
      </c>
      <c r="I305" s="7">
        <v>2</v>
      </c>
      <c r="J305" s="7" t="s">
        <v>290</v>
      </c>
      <c r="K305" s="7" t="s">
        <v>47</v>
      </c>
      <c r="N305" s="7" t="s">
        <v>291</v>
      </c>
      <c r="P305" s="7">
        <v>9</v>
      </c>
      <c r="Q305" s="7">
        <v>7</v>
      </c>
      <c r="R305" s="7">
        <v>5</v>
      </c>
      <c r="Y305" s="7">
        <v>13</v>
      </c>
      <c r="Z305" s="7">
        <v>42</v>
      </c>
      <c r="AA305" s="7">
        <v>72</v>
      </c>
      <c r="AE305" s="7">
        <v>9200</v>
      </c>
      <c r="AF305" s="7" t="s">
        <v>252</v>
      </c>
      <c r="AG305" s="7" t="s">
        <v>253</v>
      </c>
      <c r="AH305" s="7">
        <v>6</v>
      </c>
      <c r="AI305" s="7" t="s">
        <v>296</v>
      </c>
      <c r="AJ305" s="7" t="s">
        <v>362</v>
      </c>
      <c r="AK305" s="7" t="s">
        <v>307</v>
      </c>
      <c r="AL305" s="7" t="s">
        <v>257</v>
      </c>
      <c r="AM305" s="7" t="s">
        <v>1038</v>
      </c>
    </row>
    <row r="306" spans="1:40" ht="22.5" customHeight="1" x14ac:dyDescent="0.2">
      <c r="A306" s="6">
        <v>46006.436242083335</v>
      </c>
      <c r="B306" s="7" t="s">
        <v>1130</v>
      </c>
      <c r="C306" s="7">
        <v>28</v>
      </c>
      <c r="D306" s="7" t="s">
        <v>42</v>
      </c>
      <c r="E306" s="7" t="s">
        <v>58</v>
      </c>
      <c r="F306" s="7" t="s">
        <v>138</v>
      </c>
      <c r="G306" s="7" t="s">
        <v>45</v>
      </c>
      <c r="H306" s="7">
        <v>6</v>
      </c>
      <c r="I306" s="7">
        <v>1</v>
      </c>
      <c r="J306" s="7" t="s">
        <v>431</v>
      </c>
      <c r="M306" s="7" t="s">
        <v>47</v>
      </c>
      <c r="V306" s="7">
        <v>5</v>
      </c>
      <c r="W306" s="7">
        <v>26</v>
      </c>
      <c r="X306" s="7">
        <v>24</v>
      </c>
      <c r="AE306" s="7">
        <v>3700</v>
      </c>
      <c r="AF306" s="7" t="s">
        <v>276</v>
      </c>
      <c r="AG306" s="7" t="s">
        <v>317</v>
      </c>
      <c r="AH306" s="7">
        <v>13</v>
      </c>
      <c r="AI306" s="7" t="s">
        <v>255</v>
      </c>
      <c r="AJ306" s="7" t="s">
        <v>85</v>
      </c>
      <c r="AK306" s="7" t="s">
        <v>256</v>
      </c>
      <c r="AL306" s="7" t="s">
        <v>257</v>
      </c>
      <c r="AM306" s="7" t="s">
        <v>286</v>
      </c>
    </row>
    <row r="307" spans="1:40" ht="22.5" customHeight="1" x14ac:dyDescent="0.2">
      <c r="A307" s="6">
        <v>46006.437258321763</v>
      </c>
      <c r="B307" s="7" t="s">
        <v>1131</v>
      </c>
      <c r="C307" s="7">
        <v>28</v>
      </c>
      <c r="D307" s="7" t="s">
        <v>73</v>
      </c>
      <c r="E307" s="7" t="s">
        <v>43</v>
      </c>
      <c r="F307" s="7" t="s">
        <v>339</v>
      </c>
      <c r="G307" s="7" t="s">
        <v>45</v>
      </c>
      <c r="H307" s="7">
        <v>4</v>
      </c>
      <c r="I307" s="7">
        <v>1</v>
      </c>
      <c r="J307" s="7" t="s">
        <v>46</v>
      </c>
      <c r="K307" s="7" t="s">
        <v>47</v>
      </c>
      <c r="P307" s="7">
        <v>6</v>
      </c>
      <c r="Q307" s="7">
        <v>12</v>
      </c>
      <c r="R307" s="7">
        <v>7</v>
      </c>
      <c r="AE307" s="7">
        <v>900</v>
      </c>
      <c r="AF307" s="7" t="s">
        <v>360</v>
      </c>
      <c r="AG307" s="7" t="s">
        <v>295</v>
      </c>
      <c r="AH307" s="7">
        <v>6</v>
      </c>
      <c r="AI307" s="7" t="s">
        <v>724</v>
      </c>
      <c r="AJ307" s="7" t="s">
        <v>85</v>
      </c>
      <c r="AK307" s="7" t="s">
        <v>256</v>
      </c>
      <c r="AL307" s="7" t="s">
        <v>257</v>
      </c>
      <c r="AM307" s="7" t="s">
        <v>368</v>
      </c>
    </row>
    <row r="308" spans="1:40" ht="22.5" customHeight="1" x14ac:dyDescent="0.2">
      <c r="A308" s="6">
        <v>46006.438172499998</v>
      </c>
      <c r="B308" s="7" t="s">
        <v>1132</v>
      </c>
      <c r="C308" s="7">
        <v>31</v>
      </c>
      <c r="D308" s="7" t="s">
        <v>42</v>
      </c>
      <c r="E308" s="7" t="s">
        <v>58</v>
      </c>
      <c r="F308" s="7" t="s">
        <v>74</v>
      </c>
      <c r="G308" s="7" t="s">
        <v>45</v>
      </c>
      <c r="H308" s="7">
        <v>2</v>
      </c>
      <c r="I308" s="7">
        <v>1</v>
      </c>
      <c r="J308" s="7" t="s">
        <v>100</v>
      </c>
      <c r="L308" s="7" t="s">
        <v>47</v>
      </c>
      <c r="S308" s="7">
        <v>4</v>
      </c>
      <c r="T308" s="7">
        <v>8</v>
      </c>
      <c r="U308" s="7">
        <v>5</v>
      </c>
      <c r="AE308" s="7">
        <v>650</v>
      </c>
      <c r="AF308" s="7" t="s">
        <v>252</v>
      </c>
      <c r="AG308" s="7" t="s">
        <v>284</v>
      </c>
      <c r="AH308" s="7">
        <v>4</v>
      </c>
      <c r="AI308" s="7" t="s">
        <v>255</v>
      </c>
      <c r="AJ308" s="7" t="s">
        <v>96</v>
      </c>
      <c r="AK308" s="7" t="s">
        <v>325</v>
      </c>
      <c r="AL308" s="7" t="s">
        <v>68</v>
      </c>
      <c r="AN308" s="7" t="s">
        <v>303</v>
      </c>
    </row>
    <row r="309" spans="1:40" ht="22.5" customHeight="1" x14ac:dyDescent="0.2">
      <c r="A309" s="6">
        <v>46006.439457256944</v>
      </c>
      <c r="B309" s="7" t="s">
        <v>1133</v>
      </c>
      <c r="C309" s="7">
        <v>55</v>
      </c>
      <c r="D309" s="7" t="s">
        <v>73</v>
      </c>
      <c r="E309" s="7" t="s">
        <v>43</v>
      </c>
      <c r="F309" s="7" t="s">
        <v>172</v>
      </c>
      <c r="G309" s="7" t="s">
        <v>155</v>
      </c>
      <c r="H309" s="7">
        <v>5</v>
      </c>
      <c r="I309" s="7">
        <v>3</v>
      </c>
      <c r="J309" s="7" t="s">
        <v>309</v>
      </c>
      <c r="K309" s="7" t="s">
        <v>47</v>
      </c>
      <c r="M309" s="7" t="s">
        <v>47</v>
      </c>
      <c r="N309" s="7" t="s">
        <v>291</v>
      </c>
      <c r="P309" s="7">
        <v>12</v>
      </c>
      <c r="Q309" s="7">
        <v>5</v>
      </c>
      <c r="R309" s="7">
        <v>3</v>
      </c>
      <c r="V309" s="7">
        <v>8</v>
      </c>
      <c r="W309" s="7">
        <v>20</v>
      </c>
      <c r="X309" s="7">
        <v>22</v>
      </c>
      <c r="Y309" s="7">
        <v>17</v>
      </c>
      <c r="Z309" s="7">
        <v>68</v>
      </c>
      <c r="AA309" s="7">
        <v>105</v>
      </c>
      <c r="AE309" s="7">
        <v>14800</v>
      </c>
      <c r="AF309" s="7" t="s">
        <v>323</v>
      </c>
      <c r="AG309" s="7" t="s">
        <v>317</v>
      </c>
      <c r="AH309" s="7">
        <v>19</v>
      </c>
      <c r="AI309" s="7" t="s">
        <v>559</v>
      </c>
      <c r="AJ309" s="7" t="s">
        <v>362</v>
      </c>
      <c r="AK309" s="7" t="s">
        <v>307</v>
      </c>
      <c r="AL309" s="7" t="s">
        <v>68</v>
      </c>
      <c r="AN309" s="7" t="s">
        <v>373</v>
      </c>
    </row>
    <row r="310" spans="1:40" ht="22.5" customHeight="1" x14ac:dyDescent="0.2">
      <c r="A310" s="6">
        <v>46006.440408240742</v>
      </c>
      <c r="B310" s="7" t="s">
        <v>1134</v>
      </c>
      <c r="C310" s="7">
        <v>22</v>
      </c>
      <c r="D310" s="7" t="s">
        <v>42</v>
      </c>
      <c r="E310" s="7" t="s">
        <v>58</v>
      </c>
      <c r="F310" s="7" t="s">
        <v>562</v>
      </c>
      <c r="G310" s="7" t="s">
        <v>182</v>
      </c>
      <c r="H310" s="7">
        <v>3</v>
      </c>
      <c r="I310" s="7">
        <v>1</v>
      </c>
      <c r="J310" s="7" t="s">
        <v>46</v>
      </c>
      <c r="K310" s="7" t="s">
        <v>47</v>
      </c>
      <c r="P310" s="7">
        <v>1</v>
      </c>
      <c r="Q310" s="7">
        <v>14</v>
      </c>
      <c r="R310" s="7">
        <v>8</v>
      </c>
      <c r="AE310" s="7">
        <v>1000</v>
      </c>
      <c r="AF310" s="7" t="s">
        <v>252</v>
      </c>
      <c r="AG310" s="7" t="s">
        <v>361</v>
      </c>
      <c r="AH310" s="7">
        <v>7</v>
      </c>
      <c r="AI310" s="7" t="s">
        <v>285</v>
      </c>
      <c r="AJ310" s="7" t="s">
        <v>96</v>
      </c>
      <c r="AL310" s="7" t="s">
        <v>68</v>
      </c>
      <c r="AN310" s="7" t="s">
        <v>259</v>
      </c>
    </row>
    <row r="311" spans="1:40" ht="22.5" customHeight="1" x14ac:dyDescent="0.2">
      <c r="A311" s="6">
        <v>46006.441325578708</v>
      </c>
      <c r="B311" s="7" t="s">
        <v>1135</v>
      </c>
      <c r="C311" s="7">
        <v>32</v>
      </c>
      <c r="D311" s="7" t="s">
        <v>73</v>
      </c>
      <c r="E311" s="7" t="s">
        <v>43</v>
      </c>
      <c r="F311" s="7" t="s">
        <v>74</v>
      </c>
      <c r="G311" s="7" t="s">
        <v>60</v>
      </c>
      <c r="H311" s="7">
        <v>5</v>
      </c>
      <c r="I311" s="7">
        <v>1</v>
      </c>
      <c r="J311" s="7" t="s">
        <v>46</v>
      </c>
      <c r="K311" s="7" t="s">
        <v>47</v>
      </c>
      <c r="P311" s="7">
        <v>7</v>
      </c>
      <c r="Q311" s="7">
        <v>30</v>
      </c>
      <c r="R311" s="7">
        <v>35</v>
      </c>
      <c r="AE311" s="7">
        <v>1900</v>
      </c>
      <c r="AF311" s="7" t="s">
        <v>323</v>
      </c>
      <c r="AG311" s="7" t="s">
        <v>295</v>
      </c>
      <c r="AH311" s="7">
        <v>15</v>
      </c>
      <c r="AI311" s="7" t="s">
        <v>724</v>
      </c>
      <c r="AJ311" s="7" t="s">
        <v>362</v>
      </c>
      <c r="AK311" s="7" t="s">
        <v>307</v>
      </c>
      <c r="AL311" s="7" t="s">
        <v>68</v>
      </c>
      <c r="AN311" s="7" t="s">
        <v>684</v>
      </c>
    </row>
    <row r="312" spans="1:40" ht="22.5" customHeight="1" x14ac:dyDescent="0.2">
      <c r="A312" s="6">
        <v>46006.442225949075</v>
      </c>
      <c r="B312" s="7" t="s">
        <v>1136</v>
      </c>
      <c r="C312" s="7">
        <v>22</v>
      </c>
      <c r="D312" s="7" t="s">
        <v>73</v>
      </c>
      <c r="E312" s="7" t="s">
        <v>43</v>
      </c>
      <c r="F312" s="7" t="s">
        <v>562</v>
      </c>
      <c r="G312" s="7" t="s">
        <v>182</v>
      </c>
      <c r="H312" s="7">
        <v>4</v>
      </c>
      <c r="I312" s="7">
        <v>1</v>
      </c>
      <c r="J312" s="7" t="s">
        <v>46</v>
      </c>
      <c r="K312" s="7" t="s">
        <v>47</v>
      </c>
      <c r="P312" s="7">
        <v>4</v>
      </c>
      <c r="Q312" s="7">
        <v>18</v>
      </c>
      <c r="R312" s="7">
        <v>10</v>
      </c>
      <c r="AE312" s="7">
        <v>1300</v>
      </c>
      <c r="AF312" s="7" t="s">
        <v>159</v>
      </c>
      <c r="AG312" s="7" t="s">
        <v>295</v>
      </c>
      <c r="AH312" s="7">
        <v>9</v>
      </c>
      <c r="AI312" s="7" t="s">
        <v>285</v>
      </c>
      <c r="AJ312" s="7" t="s">
        <v>362</v>
      </c>
      <c r="AK312" s="7" t="s">
        <v>307</v>
      </c>
      <c r="AL312" s="7" t="s">
        <v>68</v>
      </c>
      <c r="AN312" s="7" t="s">
        <v>373</v>
      </c>
    </row>
    <row r="313" spans="1:40" ht="22.5" customHeight="1" x14ac:dyDescent="0.2">
      <c r="A313" s="6">
        <v>46006.443291863427</v>
      </c>
      <c r="B313" s="7" t="s">
        <v>1137</v>
      </c>
      <c r="C313" s="7">
        <v>33</v>
      </c>
      <c r="D313" s="7" t="s">
        <v>42</v>
      </c>
      <c r="E313" s="7" t="s">
        <v>43</v>
      </c>
      <c r="F313" s="7" t="s">
        <v>144</v>
      </c>
      <c r="G313" s="7" t="s">
        <v>89</v>
      </c>
      <c r="H313" s="7">
        <v>5</v>
      </c>
      <c r="I313" s="7">
        <v>1</v>
      </c>
      <c r="J313" s="7" t="s">
        <v>100</v>
      </c>
      <c r="L313" s="7" t="s">
        <v>47</v>
      </c>
      <c r="S313" s="7">
        <v>6</v>
      </c>
      <c r="T313" s="7">
        <v>5</v>
      </c>
      <c r="U313" s="7">
        <v>3</v>
      </c>
      <c r="AE313" s="7">
        <v>400</v>
      </c>
      <c r="AF313" s="7" t="s">
        <v>276</v>
      </c>
      <c r="AG313" s="7" t="s">
        <v>317</v>
      </c>
      <c r="AH313" s="7">
        <v>3</v>
      </c>
      <c r="AI313" s="7" t="s">
        <v>344</v>
      </c>
      <c r="AJ313" s="7" t="s">
        <v>96</v>
      </c>
      <c r="AK313" s="7" t="s">
        <v>325</v>
      </c>
      <c r="AL313" s="7" t="s">
        <v>68</v>
      </c>
      <c r="AN313" s="7" t="s">
        <v>684</v>
      </c>
    </row>
    <row r="314" spans="1:40" ht="22.5" customHeight="1" x14ac:dyDescent="0.2">
      <c r="A314" s="6">
        <v>46006.444479976853</v>
      </c>
      <c r="B314" s="7" t="s">
        <v>1138</v>
      </c>
      <c r="C314" s="7">
        <v>55</v>
      </c>
      <c r="D314" s="7" t="s">
        <v>73</v>
      </c>
      <c r="E314" s="7" t="s">
        <v>43</v>
      </c>
      <c r="F314" s="7" t="s">
        <v>44</v>
      </c>
      <c r="G314" s="7" t="s">
        <v>60</v>
      </c>
      <c r="H314" s="7">
        <v>4</v>
      </c>
      <c r="I314" s="7">
        <v>3</v>
      </c>
      <c r="J314" s="7" t="s">
        <v>290</v>
      </c>
      <c r="K314" s="7" t="s">
        <v>47</v>
      </c>
      <c r="N314" s="7" t="s">
        <v>291</v>
      </c>
      <c r="P314" s="7">
        <v>10</v>
      </c>
      <c r="Q314" s="7">
        <v>7</v>
      </c>
      <c r="R314" s="7">
        <v>4</v>
      </c>
      <c r="Y314" s="7">
        <v>14</v>
      </c>
      <c r="Z314" s="7">
        <v>48</v>
      </c>
      <c r="AA314" s="7">
        <v>68</v>
      </c>
      <c r="AE314" s="7">
        <v>9700</v>
      </c>
      <c r="AF314" s="7" t="s">
        <v>323</v>
      </c>
      <c r="AG314" s="7" t="s">
        <v>284</v>
      </c>
      <c r="AH314" s="7">
        <v>6</v>
      </c>
      <c r="AI314" s="7" t="s">
        <v>296</v>
      </c>
      <c r="AJ314" s="7" t="s">
        <v>362</v>
      </c>
      <c r="AK314" s="7" t="s">
        <v>307</v>
      </c>
      <c r="AL314" s="7" t="s">
        <v>68</v>
      </c>
      <c r="AN314" s="7" t="s">
        <v>460</v>
      </c>
    </row>
    <row r="315" spans="1:40" ht="22.5" customHeight="1" x14ac:dyDescent="0.2">
      <c r="A315" s="6">
        <v>46006.452236712961</v>
      </c>
      <c r="B315" s="7" t="s">
        <v>1139</v>
      </c>
      <c r="C315" s="7">
        <v>21</v>
      </c>
      <c r="D315" s="7" t="s">
        <v>42</v>
      </c>
      <c r="E315" s="7" t="s">
        <v>58</v>
      </c>
      <c r="F315" s="7" t="s">
        <v>562</v>
      </c>
      <c r="G315" s="7" t="s">
        <v>182</v>
      </c>
      <c r="H315" s="7">
        <v>5</v>
      </c>
      <c r="I315" s="7">
        <v>1</v>
      </c>
      <c r="J315" s="7" t="s">
        <v>46</v>
      </c>
      <c r="K315" s="7" t="s">
        <v>47</v>
      </c>
      <c r="P315" s="7">
        <v>2</v>
      </c>
      <c r="Q315" s="7">
        <v>15</v>
      </c>
      <c r="R315" s="7">
        <v>9</v>
      </c>
      <c r="AE315" s="7">
        <v>1100</v>
      </c>
      <c r="AF315" s="7" t="s">
        <v>276</v>
      </c>
      <c r="AG315" s="7" t="s">
        <v>253</v>
      </c>
      <c r="AH315" s="7">
        <v>7</v>
      </c>
      <c r="AI315" s="7" t="s">
        <v>285</v>
      </c>
      <c r="AJ315" s="7" t="s">
        <v>96</v>
      </c>
      <c r="AK315" s="7" t="s">
        <v>256</v>
      </c>
      <c r="AL315" s="7" t="s">
        <v>152</v>
      </c>
      <c r="AM315" s="7" t="s">
        <v>368</v>
      </c>
    </row>
    <row r="316" spans="1:40" ht="22.5" customHeight="1" x14ac:dyDescent="0.2">
      <c r="A316" s="6">
        <v>46006.453070543983</v>
      </c>
      <c r="B316" s="7" t="s">
        <v>1140</v>
      </c>
      <c r="C316" s="7">
        <v>37</v>
      </c>
      <c r="D316" s="7" t="s">
        <v>73</v>
      </c>
      <c r="E316" s="7" t="s">
        <v>58</v>
      </c>
      <c r="F316" s="7" t="s">
        <v>138</v>
      </c>
      <c r="G316" s="7" t="s">
        <v>45</v>
      </c>
      <c r="H316" s="7">
        <v>3</v>
      </c>
      <c r="I316" s="7">
        <v>1</v>
      </c>
      <c r="J316" s="7" t="s">
        <v>431</v>
      </c>
      <c r="M316" s="7" t="s">
        <v>47</v>
      </c>
      <c r="V316" s="7">
        <v>2</v>
      </c>
      <c r="W316" s="7">
        <v>27</v>
      </c>
      <c r="X316" s="7">
        <v>25</v>
      </c>
      <c r="AE316" s="7">
        <v>3900</v>
      </c>
      <c r="AF316" s="7" t="s">
        <v>276</v>
      </c>
      <c r="AG316" s="7" t="s">
        <v>253</v>
      </c>
      <c r="AH316" s="7">
        <v>13</v>
      </c>
      <c r="AI316" s="7" t="s">
        <v>255</v>
      </c>
      <c r="AJ316" s="7" t="s">
        <v>277</v>
      </c>
      <c r="AK316" s="7" t="s">
        <v>325</v>
      </c>
      <c r="AL316" s="7" t="s">
        <v>257</v>
      </c>
      <c r="AM316" s="7" t="s">
        <v>286</v>
      </c>
    </row>
    <row r="317" spans="1:40" ht="22.5" customHeight="1" x14ac:dyDescent="0.2">
      <c r="A317" s="6">
        <v>46006.454035891205</v>
      </c>
      <c r="B317" s="7" t="s">
        <v>1141</v>
      </c>
      <c r="C317" s="7">
        <v>44</v>
      </c>
      <c r="D317" s="7" t="s">
        <v>73</v>
      </c>
      <c r="E317" s="7" t="s">
        <v>43</v>
      </c>
      <c r="F317" s="7" t="s">
        <v>172</v>
      </c>
      <c r="G317" s="7" t="s">
        <v>60</v>
      </c>
      <c r="H317" s="7">
        <v>5</v>
      </c>
      <c r="I317" s="7">
        <v>2</v>
      </c>
      <c r="J317" s="7" t="s">
        <v>246</v>
      </c>
      <c r="K317" s="7" t="s">
        <v>47</v>
      </c>
      <c r="M317" s="7" t="s">
        <v>47</v>
      </c>
      <c r="P317" s="7">
        <v>8</v>
      </c>
      <c r="Q317" s="7">
        <v>9</v>
      </c>
      <c r="R317" s="7">
        <v>6</v>
      </c>
      <c r="V317" s="7">
        <v>5</v>
      </c>
      <c r="W317" s="7">
        <v>21</v>
      </c>
      <c r="X317" s="7">
        <v>20</v>
      </c>
      <c r="AE317" s="7">
        <v>3700</v>
      </c>
      <c r="AF317" s="7" t="s">
        <v>323</v>
      </c>
      <c r="AG317" s="7" t="s">
        <v>1070</v>
      </c>
      <c r="AH317" s="7">
        <v>12</v>
      </c>
      <c r="AI317" s="7" t="s">
        <v>559</v>
      </c>
      <c r="AJ317" s="7" t="s">
        <v>362</v>
      </c>
      <c r="AK317" s="7" t="s">
        <v>307</v>
      </c>
      <c r="AL317" s="7" t="s">
        <v>68</v>
      </c>
      <c r="AN317" s="7" t="s">
        <v>259</v>
      </c>
    </row>
    <row r="318" spans="1:40" ht="22.5" customHeight="1" x14ac:dyDescent="0.2">
      <c r="A318" s="6">
        <v>46006.454886307867</v>
      </c>
      <c r="B318" s="7" t="s">
        <v>1142</v>
      </c>
      <c r="C318" s="7">
        <v>29</v>
      </c>
      <c r="D318" s="7" t="s">
        <v>42</v>
      </c>
      <c r="E318" s="7" t="s">
        <v>58</v>
      </c>
      <c r="F318" s="7" t="s">
        <v>74</v>
      </c>
      <c r="G318" s="7" t="s">
        <v>45</v>
      </c>
      <c r="H318" s="7">
        <v>2</v>
      </c>
      <c r="I318" s="7">
        <v>1</v>
      </c>
      <c r="J318" s="7" t="s">
        <v>100</v>
      </c>
      <c r="L318" s="7" t="s">
        <v>47</v>
      </c>
      <c r="S318" s="7">
        <v>3</v>
      </c>
      <c r="T318" s="7">
        <v>7</v>
      </c>
      <c r="U318" s="7">
        <v>4</v>
      </c>
      <c r="AE318" s="7">
        <v>550</v>
      </c>
      <c r="AF318" s="7" t="s">
        <v>252</v>
      </c>
      <c r="AG318" s="7" t="s">
        <v>284</v>
      </c>
      <c r="AH318" s="7">
        <v>4</v>
      </c>
      <c r="AI318" s="7" t="s">
        <v>255</v>
      </c>
      <c r="AJ318" s="7" t="s">
        <v>277</v>
      </c>
      <c r="AK318" s="7" t="s">
        <v>256</v>
      </c>
      <c r="AL318" s="7" t="s">
        <v>152</v>
      </c>
      <c r="AM318" s="7" t="s">
        <v>368</v>
      </c>
    </row>
    <row r="319" spans="1:40" ht="22.5" customHeight="1" x14ac:dyDescent="0.2">
      <c r="A319" s="6">
        <v>46006.455833101849</v>
      </c>
      <c r="B319" s="7" t="s">
        <v>1143</v>
      </c>
      <c r="C319" s="7">
        <v>53</v>
      </c>
      <c r="D319" s="7" t="s">
        <v>73</v>
      </c>
      <c r="E319" s="7" t="s">
        <v>43</v>
      </c>
      <c r="F319" s="7" t="s">
        <v>44</v>
      </c>
      <c r="G319" s="7" t="s">
        <v>45</v>
      </c>
      <c r="H319" s="7">
        <v>6</v>
      </c>
      <c r="I319" s="7">
        <v>2</v>
      </c>
      <c r="J319" s="7" t="s">
        <v>290</v>
      </c>
      <c r="K319" s="7" t="s">
        <v>47</v>
      </c>
      <c r="N319" s="7" t="s">
        <v>291</v>
      </c>
      <c r="P319" s="7">
        <v>12</v>
      </c>
      <c r="Q319" s="7">
        <v>6</v>
      </c>
      <c r="R319" s="7">
        <v>4</v>
      </c>
      <c r="Y319" s="7">
        <v>16</v>
      </c>
      <c r="Z319" s="7">
        <v>55</v>
      </c>
      <c r="AA319" s="7">
        <v>88</v>
      </c>
      <c r="AE319" s="7">
        <v>11000</v>
      </c>
      <c r="AF319" s="7" t="s">
        <v>252</v>
      </c>
      <c r="AG319" s="7" t="s">
        <v>361</v>
      </c>
      <c r="AH319" s="7">
        <v>7</v>
      </c>
      <c r="AI319" s="7" t="s">
        <v>296</v>
      </c>
      <c r="AJ319" s="7" t="s">
        <v>85</v>
      </c>
      <c r="AK319" s="7" t="s">
        <v>256</v>
      </c>
      <c r="AL319" s="7" t="s">
        <v>257</v>
      </c>
      <c r="AM319" s="7" t="s">
        <v>278</v>
      </c>
    </row>
    <row r="320" spans="1:40" ht="22.5" customHeight="1" x14ac:dyDescent="0.2">
      <c r="A320" s="6">
        <v>46006.456688865743</v>
      </c>
      <c r="B320" s="7" t="s">
        <v>1144</v>
      </c>
      <c r="C320" s="7">
        <v>23</v>
      </c>
      <c r="D320" s="7" t="s">
        <v>42</v>
      </c>
      <c r="E320" s="7" t="s">
        <v>58</v>
      </c>
      <c r="F320" s="7" t="s">
        <v>562</v>
      </c>
      <c r="G320" s="7" t="s">
        <v>182</v>
      </c>
      <c r="H320" s="7">
        <v>3</v>
      </c>
      <c r="I320" s="7">
        <v>1</v>
      </c>
      <c r="J320" s="7" t="s">
        <v>46</v>
      </c>
      <c r="K320" s="7" t="s">
        <v>47</v>
      </c>
      <c r="P320" s="7">
        <v>1</v>
      </c>
      <c r="Q320" s="7">
        <v>13</v>
      </c>
      <c r="R320" s="7">
        <v>8</v>
      </c>
      <c r="AE320" s="7">
        <v>1000</v>
      </c>
      <c r="AF320" s="7" t="s">
        <v>252</v>
      </c>
      <c r="AG320" s="7" t="s">
        <v>317</v>
      </c>
      <c r="AH320" s="7">
        <v>7</v>
      </c>
      <c r="AI320" s="7" t="s">
        <v>285</v>
      </c>
      <c r="AJ320" s="7" t="s">
        <v>96</v>
      </c>
      <c r="AK320" s="7" t="s">
        <v>256</v>
      </c>
      <c r="AL320" s="7" t="s">
        <v>152</v>
      </c>
      <c r="AM320" s="7" t="s">
        <v>368</v>
      </c>
    </row>
    <row r="321" spans="1:40" ht="22.5" customHeight="1" x14ac:dyDescent="0.2">
      <c r="A321" s="6">
        <v>46006.459350590274</v>
      </c>
      <c r="B321" s="7" t="s">
        <v>1145</v>
      </c>
      <c r="C321" s="7">
        <v>49</v>
      </c>
      <c r="D321" s="7" t="s">
        <v>73</v>
      </c>
      <c r="E321" s="7" t="s">
        <v>43</v>
      </c>
      <c r="F321" s="7" t="s">
        <v>74</v>
      </c>
      <c r="G321" s="7" t="s">
        <v>45</v>
      </c>
      <c r="H321" s="7">
        <v>5</v>
      </c>
      <c r="I321" s="7">
        <v>2</v>
      </c>
      <c r="J321" s="7" t="s">
        <v>246</v>
      </c>
      <c r="K321" s="7" t="s">
        <v>47</v>
      </c>
      <c r="M321" s="7" t="s">
        <v>47</v>
      </c>
      <c r="P321" s="7">
        <v>9</v>
      </c>
      <c r="Q321" s="7">
        <v>8</v>
      </c>
      <c r="R321" s="7">
        <v>5</v>
      </c>
      <c r="V321" s="7">
        <v>7</v>
      </c>
      <c r="W321" s="7">
        <v>23</v>
      </c>
      <c r="X321" s="7">
        <v>22</v>
      </c>
      <c r="AE321" s="7">
        <v>4000</v>
      </c>
      <c r="AF321" s="7" t="s">
        <v>159</v>
      </c>
      <c r="AG321" s="7" t="s">
        <v>317</v>
      </c>
      <c r="AH321" s="7">
        <v>11</v>
      </c>
      <c r="AI321" s="7" t="s">
        <v>255</v>
      </c>
      <c r="AJ321" s="7" t="s">
        <v>85</v>
      </c>
      <c r="AK321" s="7" t="s">
        <v>256</v>
      </c>
      <c r="AL321" s="7" t="s">
        <v>68</v>
      </c>
      <c r="AN321" s="7" t="s">
        <v>373</v>
      </c>
    </row>
    <row r="322" spans="1:40" ht="22.5" customHeight="1" x14ac:dyDescent="0.2">
      <c r="A322" s="6">
        <v>46006.544514143519</v>
      </c>
      <c r="B322" s="7" t="s">
        <v>1146</v>
      </c>
      <c r="C322" s="7">
        <v>34</v>
      </c>
      <c r="D322" s="7" t="s">
        <v>73</v>
      </c>
      <c r="E322" s="7" t="s">
        <v>43</v>
      </c>
      <c r="F322" s="7" t="s">
        <v>74</v>
      </c>
      <c r="G322" s="7" t="s">
        <v>45</v>
      </c>
      <c r="H322" s="7">
        <v>5</v>
      </c>
      <c r="I322" s="7">
        <v>1</v>
      </c>
      <c r="J322" s="7" t="s">
        <v>46</v>
      </c>
      <c r="K322" s="7" t="s">
        <v>47</v>
      </c>
      <c r="P322" s="7">
        <v>5</v>
      </c>
      <c r="Q322" s="7">
        <v>22</v>
      </c>
      <c r="R322" s="7">
        <v>12</v>
      </c>
      <c r="AE322" s="7">
        <v>1550</v>
      </c>
      <c r="AF322" s="7" t="s">
        <v>360</v>
      </c>
      <c r="AG322" s="7" t="s">
        <v>295</v>
      </c>
      <c r="AH322" s="7">
        <v>11</v>
      </c>
      <c r="AI322" s="7" t="s">
        <v>255</v>
      </c>
      <c r="AJ322" s="7" t="s">
        <v>85</v>
      </c>
      <c r="AK322" s="7" t="s">
        <v>325</v>
      </c>
      <c r="AL322" s="7" t="s">
        <v>152</v>
      </c>
      <c r="AM322" s="7" t="s">
        <v>401</v>
      </c>
    </row>
    <row r="323" spans="1:40" ht="22.5" customHeight="1" x14ac:dyDescent="0.2">
      <c r="A323" s="6">
        <v>46006.655171168983</v>
      </c>
      <c r="B323" s="7" t="s">
        <v>1147</v>
      </c>
      <c r="C323" s="7">
        <v>20</v>
      </c>
      <c r="D323" s="7" t="s">
        <v>42</v>
      </c>
      <c r="E323" s="7" t="s">
        <v>43</v>
      </c>
      <c r="F323" s="7" t="s">
        <v>562</v>
      </c>
      <c r="G323" s="7" t="s">
        <v>182</v>
      </c>
      <c r="H323" s="7">
        <v>5</v>
      </c>
      <c r="I323" s="7">
        <v>1</v>
      </c>
      <c r="J323" s="7" t="s">
        <v>100</v>
      </c>
      <c r="L323" s="7" t="s">
        <v>47</v>
      </c>
      <c r="S323" s="7">
        <v>4</v>
      </c>
      <c r="T323" s="7">
        <v>10</v>
      </c>
      <c r="U323" s="7">
        <v>6</v>
      </c>
      <c r="AE323" s="7">
        <v>780</v>
      </c>
      <c r="AF323" s="7" t="s">
        <v>323</v>
      </c>
      <c r="AG323" s="7" t="s">
        <v>295</v>
      </c>
      <c r="AH323" s="7">
        <v>6</v>
      </c>
      <c r="AI323" s="7" t="s">
        <v>285</v>
      </c>
      <c r="AJ323" s="7" t="s">
        <v>277</v>
      </c>
      <c r="AK323" s="7" t="s">
        <v>256</v>
      </c>
      <c r="AL323" s="7" t="s">
        <v>257</v>
      </c>
      <c r="AM323" s="7" t="s">
        <v>368</v>
      </c>
    </row>
    <row r="324" spans="1:40" ht="22.5" customHeight="1" x14ac:dyDescent="0.2">
      <c r="A324" s="6">
        <v>46006.656803437501</v>
      </c>
      <c r="B324" s="7" t="s">
        <v>1148</v>
      </c>
      <c r="C324" s="7">
        <v>51</v>
      </c>
      <c r="D324" s="7" t="s">
        <v>73</v>
      </c>
      <c r="E324" s="7" t="s">
        <v>43</v>
      </c>
      <c r="F324" s="7" t="s">
        <v>44</v>
      </c>
      <c r="G324" s="7" t="s">
        <v>45</v>
      </c>
      <c r="H324" s="7">
        <v>6</v>
      </c>
      <c r="I324" s="7">
        <v>2</v>
      </c>
      <c r="J324" s="7" t="s">
        <v>290</v>
      </c>
      <c r="K324" s="7" t="s">
        <v>47</v>
      </c>
      <c r="N324" s="7" t="s">
        <v>291</v>
      </c>
      <c r="P324" s="7">
        <v>10</v>
      </c>
      <c r="Q324" s="7">
        <v>6</v>
      </c>
      <c r="R324" s="7">
        <v>4</v>
      </c>
      <c r="Y324" s="7">
        <v>14</v>
      </c>
      <c r="Z324" s="7">
        <v>55</v>
      </c>
      <c r="AA324" s="7">
        <v>90</v>
      </c>
      <c r="AE324" s="7">
        <v>11500</v>
      </c>
      <c r="AF324" s="7" t="s">
        <v>252</v>
      </c>
      <c r="AG324" s="7" t="s">
        <v>253</v>
      </c>
      <c r="AH324" s="7">
        <v>8</v>
      </c>
      <c r="AI324" s="7" t="s">
        <v>296</v>
      </c>
      <c r="AJ324" s="7" t="s">
        <v>362</v>
      </c>
      <c r="AK324" s="7" t="s">
        <v>307</v>
      </c>
      <c r="AL324" s="7" t="s">
        <v>68</v>
      </c>
      <c r="AN324" s="7" t="s">
        <v>460</v>
      </c>
    </row>
    <row r="325" spans="1:40" ht="22.5" customHeight="1" x14ac:dyDescent="0.2">
      <c r="A325" s="6">
        <v>46006.658129976851</v>
      </c>
      <c r="B325" s="7" t="s">
        <v>1149</v>
      </c>
      <c r="C325" s="7">
        <v>32</v>
      </c>
      <c r="D325" s="7" t="s">
        <v>42</v>
      </c>
      <c r="E325" s="7" t="s">
        <v>58</v>
      </c>
      <c r="F325" s="7" t="s">
        <v>138</v>
      </c>
      <c r="G325" s="7" t="s">
        <v>45</v>
      </c>
      <c r="H325" s="7">
        <v>4</v>
      </c>
      <c r="I325" s="7">
        <v>1</v>
      </c>
      <c r="J325" s="7" t="s">
        <v>431</v>
      </c>
      <c r="M325" s="7" t="s">
        <v>47</v>
      </c>
      <c r="V325" s="7">
        <v>5</v>
      </c>
      <c r="W325" s="7">
        <v>28</v>
      </c>
      <c r="X325" s="7">
        <v>26</v>
      </c>
      <c r="AE325" s="7">
        <v>4000</v>
      </c>
      <c r="AF325" s="7" t="s">
        <v>276</v>
      </c>
      <c r="AG325" s="7" t="s">
        <v>284</v>
      </c>
      <c r="AH325" s="7">
        <v>14</v>
      </c>
      <c r="AI325" s="7" t="s">
        <v>255</v>
      </c>
      <c r="AJ325" s="7" t="s">
        <v>85</v>
      </c>
      <c r="AK325" s="7" t="s">
        <v>256</v>
      </c>
      <c r="AL325" s="7" t="s">
        <v>152</v>
      </c>
      <c r="AM325" s="7" t="s">
        <v>401</v>
      </c>
    </row>
    <row r="326" spans="1:40" ht="22.5" customHeight="1" x14ac:dyDescent="0.2">
      <c r="A326" s="6">
        <v>46006.659197175926</v>
      </c>
      <c r="B326" s="7" t="s">
        <v>1150</v>
      </c>
      <c r="C326" s="7">
        <v>42</v>
      </c>
      <c r="D326" s="7" t="s">
        <v>73</v>
      </c>
      <c r="E326" s="7" t="s">
        <v>43</v>
      </c>
      <c r="F326" s="7" t="s">
        <v>172</v>
      </c>
      <c r="G326" s="7" t="s">
        <v>60</v>
      </c>
      <c r="H326" s="7">
        <v>5</v>
      </c>
      <c r="I326" s="7">
        <v>2</v>
      </c>
      <c r="J326" s="7" t="s">
        <v>246</v>
      </c>
      <c r="K326" s="7" t="s">
        <v>47</v>
      </c>
      <c r="M326" s="7" t="s">
        <v>47</v>
      </c>
      <c r="P326" s="7">
        <v>8</v>
      </c>
      <c r="Q326" s="7">
        <v>10</v>
      </c>
      <c r="R326" s="7">
        <v>6</v>
      </c>
      <c r="V326" s="7">
        <v>6</v>
      </c>
      <c r="W326" s="7">
        <v>25</v>
      </c>
      <c r="X326" s="7">
        <v>23</v>
      </c>
      <c r="AE326" s="7">
        <v>4200</v>
      </c>
      <c r="AF326" s="7" t="s">
        <v>159</v>
      </c>
      <c r="AG326" s="7" t="s">
        <v>361</v>
      </c>
      <c r="AH326" s="7">
        <v>13</v>
      </c>
      <c r="AI326" s="7" t="s">
        <v>559</v>
      </c>
      <c r="AJ326" s="7" t="s">
        <v>362</v>
      </c>
      <c r="AK326" s="7" t="s">
        <v>307</v>
      </c>
      <c r="AL326" s="7" t="s">
        <v>68</v>
      </c>
      <c r="AN326" s="7" t="s">
        <v>373</v>
      </c>
    </row>
    <row r="327" spans="1:40" ht="22.5" customHeight="1" x14ac:dyDescent="0.2">
      <c r="A327" s="6">
        <v>46006.660027175923</v>
      </c>
      <c r="B327" s="7" t="s">
        <v>1151</v>
      </c>
      <c r="C327" s="7">
        <v>23</v>
      </c>
      <c r="D327" s="7" t="s">
        <v>42</v>
      </c>
      <c r="E327" s="7" t="s">
        <v>58</v>
      </c>
      <c r="F327" s="7" t="s">
        <v>562</v>
      </c>
      <c r="G327" s="7" t="s">
        <v>182</v>
      </c>
      <c r="H327" s="7">
        <v>4</v>
      </c>
      <c r="I327" s="7">
        <v>1</v>
      </c>
      <c r="J327" s="7" t="s">
        <v>46</v>
      </c>
      <c r="K327" s="7" t="s">
        <v>47</v>
      </c>
      <c r="P327" s="7">
        <v>1</v>
      </c>
      <c r="Q327" s="7">
        <v>14</v>
      </c>
      <c r="R327" s="7">
        <v>9</v>
      </c>
      <c r="AE327" s="7">
        <v>1100</v>
      </c>
      <c r="AF327" s="7" t="s">
        <v>323</v>
      </c>
      <c r="AG327" s="7" t="s">
        <v>317</v>
      </c>
      <c r="AH327" s="7">
        <v>7</v>
      </c>
      <c r="AI327" s="7" t="s">
        <v>285</v>
      </c>
      <c r="AJ327" s="7" t="s">
        <v>277</v>
      </c>
      <c r="AK327" s="7" t="s">
        <v>256</v>
      </c>
      <c r="AL327" s="7" t="s">
        <v>257</v>
      </c>
      <c r="AM327" s="7" t="s">
        <v>368</v>
      </c>
    </row>
    <row r="328" spans="1:40" ht="22.5" customHeight="1" x14ac:dyDescent="0.2">
      <c r="A328" s="6">
        <v>46006.661046666668</v>
      </c>
      <c r="B328" s="7" t="s">
        <v>1152</v>
      </c>
      <c r="C328" s="7">
        <v>56</v>
      </c>
      <c r="D328" s="7" t="s">
        <v>73</v>
      </c>
      <c r="E328" s="7" t="s">
        <v>43</v>
      </c>
      <c r="F328" s="7" t="s">
        <v>44</v>
      </c>
      <c r="G328" s="7" t="s">
        <v>60</v>
      </c>
      <c r="H328" s="7">
        <v>5</v>
      </c>
      <c r="I328" s="7">
        <v>2</v>
      </c>
      <c r="J328" s="7" t="s">
        <v>290</v>
      </c>
      <c r="K328" s="7" t="s">
        <v>47</v>
      </c>
      <c r="N328" s="7" t="s">
        <v>291</v>
      </c>
      <c r="P328" s="7">
        <v>12</v>
      </c>
      <c r="Q328" s="7">
        <v>5</v>
      </c>
      <c r="R328" s="7">
        <v>3</v>
      </c>
      <c r="Y328" s="7">
        <v>17</v>
      </c>
      <c r="Z328" s="7">
        <v>60</v>
      </c>
      <c r="AA328" s="7">
        <v>90</v>
      </c>
      <c r="AE328" s="7">
        <v>12000</v>
      </c>
      <c r="AF328" s="7" t="s">
        <v>252</v>
      </c>
      <c r="AG328" s="7" t="s">
        <v>361</v>
      </c>
      <c r="AH328" s="7">
        <v>9</v>
      </c>
      <c r="AI328" s="7" t="s">
        <v>296</v>
      </c>
      <c r="AJ328" s="7" t="s">
        <v>362</v>
      </c>
      <c r="AK328" s="7" t="s">
        <v>307</v>
      </c>
      <c r="AL328" s="7" t="s">
        <v>68</v>
      </c>
      <c r="AN328" s="7" t="s">
        <v>303</v>
      </c>
    </row>
    <row r="329" spans="1:40" ht="22.5" customHeight="1" x14ac:dyDescent="0.2">
      <c r="A329" s="6">
        <v>46006.661889178242</v>
      </c>
      <c r="B329" s="7" t="s">
        <v>1153</v>
      </c>
      <c r="C329" s="7">
        <v>31</v>
      </c>
      <c r="D329" s="7" t="s">
        <v>73</v>
      </c>
      <c r="E329" s="7" t="s">
        <v>58</v>
      </c>
      <c r="F329" s="7" t="s">
        <v>74</v>
      </c>
      <c r="G329" s="7" t="s">
        <v>45</v>
      </c>
      <c r="H329" s="7">
        <v>3</v>
      </c>
      <c r="I329" s="7">
        <v>1</v>
      </c>
      <c r="J329" s="7" t="s">
        <v>431</v>
      </c>
      <c r="M329" s="7" t="s">
        <v>47</v>
      </c>
      <c r="V329" s="7">
        <v>4</v>
      </c>
      <c r="W329" s="7">
        <v>30</v>
      </c>
      <c r="X329" s="7">
        <v>27</v>
      </c>
      <c r="AE329" s="7">
        <v>4700</v>
      </c>
      <c r="AF329" s="7" t="s">
        <v>276</v>
      </c>
      <c r="AG329" s="7" t="s">
        <v>253</v>
      </c>
      <c r="AH329" s="7">
        <v>15</v>
      </c>
      <c r="AI329" s="7" t="s">
        <v>255</v>
      </c>
      <c r="AJ329" s="7" t="s">
        <v>362</v>
      </c>
      <c r="AK329" s="7" t="s">
        <v>307</v>
      </c>
      <c r="AL329" s="7" t="s">
        <v>68</v>
      </c>
      <c r="AN329" s="7" t="s">
        <v>303</v>
      </c>
    </row>
    <row r="330" spans="1:40" ht="22.5" customHeight="1" x14ac:dyDescent="0.2">
      <c r="A330" s="6">
        <v>46006.662775254634</v>
      </c>
      <c r="B330" s="7" t="s">
        <v>1154</v>
      </c>
      <c r="C330" s="7">
        <v>28</v>
      </c>
      <c r="D330" s="7" t="s">
        <v>42</v>
      </c>
      <c r="E330" s="7" t="s">
        <v>43</v>
      </c>
      <c r="F330" s="7" t="s">
        <v>144</v>
      </c>
      <c r="G330" s="7" t="s">
        <v>89</v>
      </c>
      <c r="H330" s="7">
        <v>5</v>
      </c>
      <c r="I330" s="7">
        <v>1</v>
      </c>
      <c r="J330" s="7" t="s">
        <v>100</v>
      </c>
      <c r="L330" s="7" t="s">
        <v>47</v>
      </c>
      <c r="S330" s="7">
        <v>4</v>
      </c>
      <c r="T330" s="7">
        <v>7</v>
      </c>
      <c r="U330" s="7">
        <v>4</v>
      </c>
      <c r="AE330" s="7">
        <v>520</v>
      </c>
      <c r="AF330" s="7" t="s">
        <v>323</v>
      </c>
      <c r="AG330" s="7" t="s">
        <v>295</v>
      </c>
      <c r="AH330" s="7">
        <v>3</v>
      </c>
      <c r="AI330" s="7" t="s">
        <v>344</v>
      </c>
      <c r="AJ330" s="7" t="s">
        <v>277</v>
      </c>
      <c r="AK330" s="7" t="s">
        <v>325</v>
      </c>
      <c r="AL330" s="7" t="s">
        <v>257</v>
      </c>
      <c r="AM330" s="7" t="s">
        <v>278</v>
      </c>
    </row>
    <row r="331" spans="1:40" ht="22.5" customHeight="1" x14ac:dyDescent="0.2">
      <c r="A331" s="6">
        <v>46006.663817256944</v>
      </c>
      <c r="B331" s="7" t="s">
        <v>1155</v>
      </c>
      <c r="C331" s="7">
        <v>45</v>
      </c>
      <c r="D331" s="7" t="s">
        <v>73</v>
      </c>
      <c r="E331" s="7" t="s">
        <v>58</v>
      </c>
      <c r="F331" s="7" t="s">
        <v>138</v>
      </c>
      <c r="G331" s="7" t="s">
        <v>60</v>
      </c>
      <c r="H331" s="7">
        <v>4</v>
      </c>
      <c r="I331" s="7">
        <v>2</v>
      </c>
      <c r="J331" s="7" t="s">
        <v>246</v>
      </c>
      <c r="K331" s="7" t="s">
        <v>47</v>
      </c>
      <c r="M331" s="7" t="s">
        <v>47</v>
      </c>
      <c r="P331" s="7">
        <v>9</v>
      </c>
      <c r="Q331" s="7">
        <v>8</v>
      </c>
      <c r="R331" s="7">
        <v>5</v>
      </c>
      <c r="V331" s="7">
        <v>7</v>
      </c>
      <c r="W331" s="7">
        <v>26</v>
      </c>
      <c r="X331" s="7">
        <v>24</v>
      </c>
      <c r="AE331" s="7">
        <v>4200</v>
      </c>
      <c r="AF331" s="7" t="s">
        <v>252</v>
      </c>
      <c r="AG331" s="7" t="s">
        <v>361</v>
      </c>
      <c r="AH331" s="7">
        <v>13</v>
      </c>
      <c r="AI331" s="7" t="s">
        <v>255</v>
      </c>
      <c r="AJ331" s="7" t="s">
        <v>85</v>
      </c>
      <c r="AK331" s="7" t="s">
        <v>256</v>
      </c>
      <c r="AL331" s="7" t="s">
        <v>152</v>
      </c>
      <c r="AM331" s="7" t="s">
        <v>401</v>
      </c>
    </row>
    <row r="332" spans="1:40" ht="22.5" customHeight="1" x14ac:dyDescent="0.2">
      <c r="A332" s="6">
        <v>46006.665378819445</v>
      </c>
      <c r="B332" s="7" t="s">
        <v>1156</v>
      </c>
      <c r="C332" s="7">
        <v>41</v>
      </c>
      <c r="D332" s="7" t="s">
        <v>73</v>
      </c>
      <c r="E332" s="7" t="s">
        <v>43</v>
      </c>
      <c r="F332" s="7" t="s">
        <v>44</v>
      </c>
      <c r="G332" s="7" t="s">
        <v>45</v>
      </c>
      <c r="H332" s="7">
        <v>4</v>
      </c>
      <c r="I332" s="7">
        <v>1</v>
      </c>
      <c r="J332" s="7" t="s">
        <v>46</v>
      </c>
      <c r="K332" s="7" t="s">
        <v>47</v>
      </c>
      <c r="P332" s="7">
        <v>3</v>
      </c>
      <c r="Q332" s="7">
        <v>21</v>
      </c>
      <c r="R332" s="7">
        <v>11</v>
      </c>
      <c r="AE332" s="7">
        <v>1450</v>
      </c>
      <c r="AF332" s="7" t="s">
        <v>857</v>
      </c>
      <c r="AG332" s="7" t="s">
        <v>295</v>
      </c>
      <c r="AH332" s="7">
        <v>10</v>
      </c>
      <c r="AI332" s="7" t="s">
        <v>296</v>
      </c>
      <c r="AJ332" s="7" t="s">
        <v>85</v>
      </c>
      <c r="AK332" s="7" t="s">
        <v>256</v>
      </c>
      <c r="AL332" s="7" t="s">
        <v>68</v>
      </c>
      <c r="AN332" s="7" t="s">
        <v>259</v>
      </c>
    </row>
    <row r="333" spans="1:40" ht="22.5" customHeight="1" x14ac:dyDescent="0.2">
      <c r="A333" s="6">
        <v>46006.666042881945</v>
      </c>
      <c r="B333" s="7" t="s">
        <v>1157</v>
      </c>
      <c r="C333" s="7">
        <v>24</v>
      </c>
      <c r="D333" s="7" t="s">
        <v>42</v>
      </c>
      <c r="E333" s="7" t="s">
        <v>58</v>
      </c>
      <c r="F333" s="7" t="s">
        <v>562</v>
      </c>
      <c r="G333" s="7" t="s">
        <v>182</v>
      </c>
      <c r="H333" s="7">
        <v>3</v>
      </c>
      <c r="I333" s="7">
        <v>1</v>
      </c>
      <c r="J333" s="7" t="s">
        <v>100</v>
      </c>
      <c r="L333" s="7" t="s">
        <v>47</v>
      </c>
      <c r="S333" s="7">
        <v>2</v>
      </c>
      <c r="T333" s="7">
        <v>9</v>
      </c>
      <c r="U333" s="7">
        <v>5</v>
      </c>
      <c r="AE333" s="7">
        <v>650</v>
      </c>
      <c r="AF333" s="7" t="s">
        <v>360</v>
      </c>
      <c r="AG333" s="7" t="s">
        <v>317</v>
      </c>
      <c r="AH333" s="7">
        <v>4</v>
      </c>
      <c r="AI333" s="7" t="s">
        <v>285</v>
      </c>
      <c r="AJ333" s="7" t="s">
        <v>54</v>
      </c>
      <c r="AK333" s="7" t="s">
        <v>256</v>
      </c>
      <c r="AL333" s="7" t="s">
        <v>152</v>
      </c>
      <c r="AM333" s="7" t="s">
        <v>401</v>
      </c>
    </row>
    <row r="334" spans="1:40" ht="22.5" customHeight="1" x14ac:dyDescent="0.2">
      <c r="A334" s="6">
        <v>46006.66704266204</v>
      </c>
      <c r="B334" s="7" t="s">
        <v>1158</v>
      </c>
      <c r="C334" s="7">
        <v>55</v>
      </c>
      <c r="D334" s="7" t="s">
        <v>73</v>
      </c>
      <c r="E334" s="7" t="s">
        <v>43</v>
      </c>
      <c r="F334" s="7" t="s">
        <v>44</v>
      </c>
      <c r="G334" s="7" t="s">
        <v>60</v>
      </c>
      <c r="H334" s="7">
        <v>4</v>
      </c>
      <c r="I334" s="7">
        <v>2</v>
      </c>
      <c r="J334" s="7" t="s">
        <v>290</v>
      </c>
      <c r="K334" s="7" t="s">
        <v>47</v>
      </c>
      <c r="N334" s="7" t="s">
        <v>291</v>
      </c>
      <c r="P334" s="7">
        <v>12</v>
      </c>
      <c r="Q334" s="7">
        <v>5</v>
      </c>
      <c r="R334" s="7">
        <v>3</v>
      </c>
      <c r="Y334" s="7">
        <v>18</v>
      </c>
      <c r="Z334" s="7">
        <v>62</v>
      </c>
      <c r="AA334" s="7">
        <v>98</v>
      </c>
      <c r="AE334" s="7">
        <v>12800</v>
      </c>
      <c r="AF334" s="7" t="s">
        <v>252</v>
      </c>
      <c r="AG334" s="7" t="s">
        <v>253</v>
      </c>
      <c r="AH334" s="7">
        <v>9</v>
      </c>
      <c r="AI334" s="7" t="s">
        <v>296</v>
      </c>
      <c r="AJ334" s="7" t="s">
        <v>362</v>
      </c>
      <c r="AK334" s="7" t="s">
        <v>307</v>
      </c>
      <c r="AL334" s="7" t="s">
        <v>68</v>
      </c>
      <c r="AN334" s="7" t="s">
        <v>460</v>
      </c>
    </row>
    <row r="335" spans="1:40" ht="22.5" customHeight="1" x14ac:dyDescent="0.2">
      <c r="A335" s="6">
        <v>46006.668107442129</v>
      </c>
      <c r="B335" s="7" t="s">
        <v>1159</v>
      </c>
      <c r="C335" s="7">
        <v>32</v>
      </c>
      <c r="D335" s="7" t="s">
        <v>42</v>
      </c>
      <c r="E335" s="7" t="s">
        <v>58</v>
      </c>
      <c r="F335" s="7" t="s">
        <v>138</v>
      </c>
      <c r="G335" s="7" t="s">
        <v>45</v>
      </c>
      <c r="H335" s="7">
        <v>3</v>
      </c>
      <c r="I335" s="7">
        <v>1</v>
      </c>
      <c r="J335" s="7" t="s">
        <v>431</v>
      </c>
      <c r="M335" s="7" t="s">
        <v>47</v>
      </c>
      <c r="V335" s="7">
        <v>4</v>
      </c>
      <c r="W335" s="7">
        <v>29</v>
      </c>
      <c r="X335" s="7">
        <v>26</v>
      </c>
      <c r="AE335" s="7">
        <v>4000</v>
      </c>
      <c r="AF335" s="7" t="s">
        <v>857</v>
      </c>
      <c r="AG335" s="7" t="s">
        <v>295</v>
      </c>
      <c r="AH335" s="7">
        <v>14</v>
      </c>
      <c r="AI335" s="7" t="s">
        <v>255</v>
      </c>
      <c r="AJ335" s="7" t="s">
        <v>85</v>
      </c>
      <c r="AK335" s="7" t="s">
        <v>256</v>
      </c>
      <c r="AL335" s="7" t="s">
        <v>257</v>
      </c>
      <c r="AM335" s="7" t="s">
        <v>278</v>
      </c>
    </row>
    <row r="336" spans="1:40" ht="22.5" customHeight="1" x14ac:dyDescent="0.2">
      <c r="A336" s="6">
        <v>46006.670084317127</v>
      </c>
      <c r="B336" s="7" t="s">
        <v>1160</v>
      </c>
      <c r="C336" s="7">
        <v>41</v>
      </c>
      <c r="D336" s="7" t="s">
        <v>73</v>
      </c>
      <c r="E336" s="7" t="s">
        <v>43</v>
      </c>
      <c r="F336" s="7" t="s">
        <v>44</v>
      </c>
      <c r="G336" s="7" t="s">
        <v>60</v>
      </c>
      <c r="H336" s="7">
        <v>6</v>
      </c>
      <c r="I336" s="7">
        <v>2</v>
      </c>
      <c r="J336" s="7" t="s">
        <v>246</v>
      </c>
      <c r="K336" s="7" t="s">
        <v>47</v>
      </c>
      <c r="M336" s="7" t="s">
        <v>47</v>
      </c>
      <c r="P336" s="7">
        <v>8</v>
      </c>
      <c r="Q336" s="7">
        <v>10</v>
      </c>
      <c r="R336" s="7">
        <v>6</v>
      </c>
      <c r="V336" s="7">
        <v>6</v>
      </c>
      <c r="W336" s="7">
        <v>24</v>
      </c>
      <c r="X336" s="7">
        <v>22</v>
      </c>
      <c r="AE336" s="7">
        <v>4000</v>
      </c>
      <c r="AF336" s="7" t="s">
        <v>159</v>
      </c>
      <c r="AG336" s="7" t="s">
        <v>317</v>
      </c>
      <c r="AH336" s="7">
        <v>8</v>
      </c>
      <c r="AI336" s="7" t="s">
        <v>296</v>
      </c>
      <c r="AJ336" s="7" t="s">
        <v>85</v>
      </c>
      <c r="AK336" s="7" t="s">
        <v>256</v>
      </c>
      <c r="AL336" s="7" t="s">
        <v>68</v>
      </c>
      <c r="AN336" s="7" t="s">
        <v>684</v>
      </c>
    </row>
    <row r="337" spans="1:40" ht="22.5" customHeight="1" x14ac:dyDescent="0.2">
      <c r="A337" s="6">
        <v>46006.674640381942</v>
      </c>
      <c r="B337" s="7" t="s">
        <v>1161</v>
      </c>
      <c r="C337" s="7">
        <v>26</v>
      </c>
      <c r="D337" s="7" t="s">
        <v>42</v>
      </c>
      <c r="E337" s="7" t="s">
        <v>43</v>
      </c>
      <c r="F337" s="7" t="s">
        <v>74</v>
      </c>
      <c r="G337" s="7" t="s">
        <v>45</v>
      </c>
      <c r="H337" s="7">
        <v>4</v>
      </c>
      <c r="I337" s="7">
        <v>1</v>
      </c>
      <c r="J337" s="7" t="s">
        <v>100</v>
      </c>
      <c r="L337" s="7" t="s">
        <v>47</v>
      </c>
      <c r="S337" s="7">
        <v>3</v>
      </c>
      <c r="T337" s="7">
        <v>8</v>
      </c>
      <c r="U337" s="7">
        <v>5</v>
      </c>
      <c r="AE337" s="7">
        <v>650</v>
      </c>
      <c r="AF337" s="7" t="s">
        <v>323</v>
      </c>
      <c r="AG337" s="7" t="s">
        <v>284</v>
      </c>
      <c r="AH337" s="7">
        <v>5</v>
      </c>
      <c r="AI337" s="7" t="s">
        <v>255</v>
      </c>
      <c r="AJ337" s="7" t="s">
        <v>277</v>
      </c>
      <c r="AK337" s="7" t="s">
        <v>256</v>
      </c>
      <c r="AL337" s="7" t="s">
        <v>257</v>
      </c>
      <c r="AM337" s="7" t="s">
        <v>278</v>
      </c>
    </row>
    <row r="338" spans="1:40" ht="22.5" customHeight="1" x14ac:dyDescent="0.2">
      <c r="A338" s="6">
        <v>46006.676205995369</v>
      </c>
      <c r="B338" s="7" t="s">
        <v>1162</v>
      </c>
      <c r="C338" s="7">
        <v>54</v>
      </c>
      <c r="D338" s="7" t="s">
        <v>73</v>
      </c>
      <c r="E338" s="7" t="s">
        <v>58</v>
      </c>
      <c r="F338" s="7" t="s">
        <v>44</v>
      </c>
      <c r="G338" s="7" t="s">
        <v>45</v>
      </c>
      <c r="H338" s="7">
        <v>6</v>
      </c>
      <c r="I338" s="7">
        <v>2</v>
      </c>
      <c r="J338" s="7" t="s">
        <v>290</v>
      </c>
      <c r="K338" s="7" t="s">
        <v>47</v>
      </c>
      <c r="N338" s="7" t="s">
        <v>291</v>
      </c>
      <c r="P338" s="7">
        <v>11</v>
      </c>
      <c r="Q338" s="7">
        <v>6</v>
      </c>
      <c r="R338" s="7">
        <v>4</v>
      </c>
      <c r="Y338" s="7">
        <v>16</v>
      </c>
      <c r="Z338" s="7">
        <v>52</v>
      </c>
      <c r="AA338" s="7">
        <v>92</v>
      </c>
      <c r="AE338" s="7">
        <v>11800</v>
      </c>
      <c r="AF338" s="7" t="s">
        <v>857</v>
      </c>
      <c r="AG338" s="7" t="s">
        <v>295</v>
      </c>
      <c r="AH338" s="7">
        <v>8</v>
      </c>
      <c r="AI338" s="7" t="s">
        <v>296</v>
      </c>
      <c r="AJ338" s="7" t="s">
        <v>85</v>
      </c>
      <c r="AK338" s="7" t="s">
        <v>325</v>
      </c>
      <c r="AL338" s="7" t="s">
        <v>257</v>
      </c>
      <c r="AM338" s="7" t="s">
        <v>363</v>
      </c>
    </row>
    <row r="339" spans="1:40" ht="22.5" customHeight="1" x14ac:dyDescent="0.2">
      <c r="A339" s="6">
        <v>46006.67717412037</v>
      </c>
      <c r="B339" s="7" t="s">
        <v>1163</v>
      </c>
      <c r="C339" s="7">
        <v>34</v>
      </c>
      <c r="D339" s="7" t="s">
        <v>73</v>
      </c>
      <c r="E339" s="7" t="s">
        <v>58</v>
      </c>
      <c r="F339" s="7" t="s">
        <v>74</v>
      </c>
      <c r="G339" s="7" t="s">
        <v>45</v>
      </c>
      <c r="H339" s="7">
        <v>4</v>
      </c>
      <c r="I339" s="7">
        <v>1</v>
      </c>
      <c r="J339" s="7" t="s">
        <v>431</v>
      </c>
      <c r="M339" s="7" t="s">
        <v>47</v>
      </c>
      <c r="V339" s="7">
        <v>5</v>
      </c>
      <c r="W339" s="7">
        <v>32</v>
      </c>
      <c r="X339" s="7">
        <v>39</v>
      </c>
      <c r="AE339" s="7">
        <v>4400</v>
      </c>
      <c r="AF339" s="7" t="s">
        <v>276</v>
      </c>
      <c r="AG339" s="7" t="s">
        <v>317</v>
      </c>
      <c r="AH339" s="7">
        <v>16</v>
      </c>
      <c r="AI339" s="7" t="s">
        <v>255</v>
      </c>
      <c r="AJ339" s="7" t="s">
        <v>85</v>
      </c>
      <c r="AK339" s="7" t="s">
        <v>256</v>
      </c>
      <c r="AL339" s="7" t="s">
        <v>68</v>
      </c>
      <c r="AN339" s="7" t="s">
        <v>684</v>
      </c>
    </row>
    <row r="340" spans="1:40" ht="22.5" customHeight="1" x14ac:dyDescent="0.2">
      <c r="A340" s="6">
        <v>46006.679043969911</v>
      </c>
      <c r="B340" s="7" t="s">
        <v>1164</v>
      </c>
      <c r="C340" s="7">
        <v>28</v>
      </c>
      <c r="D340" s="7" t="s">
        <v>42</v>
      </c>
      <c r="E340" s="7" t="s">
        <v>58</v>
      </c>
      <c r="F340" s="7" t="s">
        <v>144</v>
      </c>
      <c r="G340" s="7" t="s">
        <v>89</v>
      </c>
      <c r="H340" s="7">
        <v>4</v>
      </c>
      <c r="I340" s="7">
        <v>1</v>
      </c>
      <c r="J340" s="7" t="s">
        <v>100</v>
      </c>
      <c r="L340" s="7" t="s">
        <v>47</v>
      </c>
      <c r="S340" s="7">
        <v>5</v>
      </c>
      <c r="T340" s="7">
        <v>6</v>
      </c>
      <c r="U340" s="7">
        <v>4</v>
      </c>
      <c r="AE340" s="7">
        <v>520</v>
      </c>
      <c r="AF340" s="7" t="s">
        <v>360</v>
      </c>
      <c r="AG340" s="7" t="s">
        <v>317</v>
      </c>
      <c r="AH340" s="7">
        <v>3</v>
      </c>
      <c r="AI340" s="7" t="s">
        <v>306</v>
      </c>
      <c r="AJ340" s="7" t="s">
        <v>362</v>
      </c>
      <c r="AK340" s="7" t="s">
        <v>307</v>
      </c>
      <c r="AL340" s="7" t="s">
        <v>68</v>
      </c>
      <c r="AN340" s="7" t="s">
        <v>684</v>
      </c>
    </row>
    <row r="341" spans="1:40" ht="22.5" customHeight="1" x14ac:dyDescent="0.2">
      <c r="A341" s="6">
        <v>46006.680369780093</v>
      </c>
      <c r="B341" s="7" t="s">
        <v>1165</v>
      </c>
      <c r="C341" s="7">
        <v>47</v>
      </c>
      <c r="D341" s="7" t="s">
        <v>73</v>
      </c>
      <c r="E341" s="7" t="s">
        <v>58</v>
      </c>
      <c r="F341" s="7" t="s">
        <v>138</v>
      </c>
      <c r="G341" s="7" t="s">
        <v>60</v>
      </c>
      <c r="H341" s="7">
        <v>4</v>
      </c>
      <c r="I341" s="7">
        <v>2</v>
      </c>
      <c r="J341" s="7" t="s">
        <v>246</v>
      </c>
      <c r="K341" s="7" t="s">
        <v>47</v>
      </c>
      <c r="M341" s="7" t="s">
        <v>47</v>
      </c>
      <c r="P341" s="7">
        <v>9</v>
      </c>
      <c r="Q341" s="7">
        <v>8</v>
      </c>
      <c r="R341" s="7">
        <v>5</v>
      </c>
      <c r="V341" s="7">
        <v>7</v>
      </c>
      <c r="W341" s="7">
        <v>27</v>
      </c>
      <c r="X341" s="7">
        <v>25</v>
      </c>
      <c r="AE341" s="7">
        <v>4500</v>
      </c>
      <c r="AF341" s="7" t="s">
        <v>252</v>
      </c>
      <c r="AG341" s="7" t="s">
        <v>284</v>
      </c>
      <c r="AH341" s="7">
        <v>14</v>
      </c>
      <c r="AI341" s="7" t="s">
        <v>255</v>
      </c>
      <c r="AJ341" s="7" t="s">
        <v>85</v>
      </c>
      <c r="AK341" s="7" t="s">
        <v>256</v>
      </c>
      <c r="AL341" s="7" t="s">
        <v>257</v>
      </c>
      <c r="AM341" s="7" t="s">
        <v>368</v>
      </c>
    </row>
    <row r="342" spans="1:40" ht="22.5" customHeight="1" x14ac:dyDescent="0.2">
      <c r="A342" s="6">
        <v>46006.681638680559</v>
      </c>
      <c r="B342" s="7" t="s">
        <v>1166</v>
      </c>
      <c r="C342" s="7">
        <v>27</v>
      </c>
      <c r="D342" s="7" t="s">
        <v>73</v>
      </c>
      <c r="E342" s="7" t="s">
        <v>58</v>
      </c>
      <c r="F342" s="7" t="s">
        <v>74</v>
      </c>
      <c r="G342" s="7" t="s">
        <v>45</v>
      </c>
      <c r="H342" s="7">
        <v>3</v>
      </c>
      <c r="I342" s="7">
        <v>1</v>
      </c>
      <c r="J342" s="7" t="s">
        <v>46</v>
      </c>
      <c r="K342" s="7" t="s">
        <v>47</v>
      </c>
      <c r="P342" s="7">
        <v>3</v>
      </c>
      <c r="Q342" s="7">
        <v>19</v>
      </c>
      <c r="R342" s="7">
        <v>10</v>
      </c>
      <c r="AE342" s="7">
        <v>1300</v>
      </c>
      <c r="AF342" s="7" t="s">
        <v>252</v>
      </c>
      <c r="AG342" s="7" t="s">
        <v>361</v>
      </c>
      <c r="AH342" s="7">
        <v>9</v>
      </c>
      <c r="AI342" s="7" t="s">
        <v>255</v>
      </c>
      <c r="AJ342" s="7" t="s">
        <v>85</v>
      </c>
      <c r="AK342" s="7" t="s">
        <v>256</v>
      </c>
      <c r="AL342" s="7" t="s">
        <v>257</v>
      </c>
      <c r="AM342" s="7" t="s">
        <v>368</v>
      </c>
    </row>
    <row r="343" spans="1:40" ht="22.5" customHeight="1" x14ac:dyDescent="0.2">
      <c r="A343" s="6">
        <v>46006.683312916663</v>
      </c>
      <c r="B343" s="7" t="s">
        <v>767</v>
      </c>
      <c r="C343" s="7">
        <v>35</v>
      </c>
      <c r="D343" s="7" t="s">
        <v>73</v>
      </c>
      <c r="E343" s="7" t="s">
        <v>43</v>
      </c>
      <c r="F343" s="7" t="s">
        <v>339</v>
      </c>
      <c r="G343" s="7" t="s">
        <v>45</v>
      </c>
      <c r="H343" s="7">
        <v>5</v>
      </c>
      <c r="I343" s="7">
        <v>2</v>
      </c>
      <c r="J343" s="7" t="s">
        <v>246</v>
      </c>
      <c r="K343" s="7" t="s">
        <v>47</v>
      </c>
      <c r="M343" s="7" t="s">
        <v>47</v>
      </c>
      <c r="P343" s="7">
        <v>7</v>
      </c>
      <c r="Q343" s="7">
        <v>8</v>
      </c>
      <c r="R343" s="7">
        <v>5</v>
      </c>
      <c r="V343" s="7">
        <v>6</v>
      </c>
      <c r="W343" s="7">
        <v>22</v>
      </c>
      <c r="X343" s="7">
        <v>21</v>
      </c>
      <c r="AE343" s="7">
        <v>3600</v>
      </c>
      <c r="AF343" s="7" t="s">
        <v>159</v>
      </c>
      <c r="AG343" s="7" t="s">
        <v>284</v>
      </c>
      <c r="AH343" s="7">
        <v>12</v>
      </c>
      <c r="AI343" s="7" t="s">
        <v>724</v>
      </c>
      <c r="AJ343" s="7" t="s">
        <v>362</v>
      </c>
      <c r="AK343" s="7" t="s">
        <v>307</v>
      </c>
      <c r="AL343" s="7" t="s">
        <v>68</v>
      </c>
      <c r="AN343" s="7" t="s">
        <v>684</v>
      </c>
    </row>
    <row r="344" spans="1:40" ht="22.5" customHeight="1" x14ac:dyDescent="0.2">
      <c r="A344" s="6">
        <v>46006.762221643519</v>
      </c>
      <c r="B344" s="7" t="s">
        <v>1129</v>
      </c>
      <c r="C344" s="7">
        <v>48</v>
      </c>
      <c r="D344" s="7" t="s">
        <v>73</v>
      </c>
      <c r="E344" s="7" t="s">
        <v>43</v>
      </c>
      <c r="F344" s="7" t="s">
        <v>44</v>
      </c>
      <c r="G344" s="7" t="s">
        <v>45</v>
      </c>
      <c r="H344" s="7">
        <v>5</v>
      </c>
      <c r="I344" s="7">
        <v>2</v>
      </c>
      <c r="J344" s="7" t="s">
        <v>290</v>
      </c>
      <c r="K344" s="7" t="s">
        <v>47</v>
      </c>
      <c r="N344" s="7" t="s">
        <v>291</v>
      </c>
      <c r="P344" s="7">
        <v>10</v>
      </c>
      <c r="Q344" s="7">
        <v>6</v>
      </c>
      <c r="R344" s="7">
        <v>4</v>
      </c>
      <c r="Y344" s="7">
        <v>12</v>
      </c>
      <c r="Z344" s="7">
        <v>55</v>
      </c>
      <c r="AA344" s="7">
        <v>85</v>
      </c>
      <c r="AE344" s="7">
        <v>11000</v>
      </c>
      <c r="AF344" s="7" t="s">
        <v>252</v>
      </c>
      <c r="AG344" s="7" t="s">
        <v>253</v>
      </c>
      <c r="AH344" s="7">
        <v>7</v>
      </c>
      <c r="AI344" s="7" t="s">
        <v>296</v>
      </c>
      <c r="AJ344" s="7" t="s">
        <v>277</v>
      </c>
      <c r="AK344" s="7" t="s">
        <v>256</v>
      </c>
      <c r="AL344" s="7" t="s">
        <v>68</v>
      </c>
      <c r="AN344" s="7" t="s">
        <v>259</v>
      </c>
    </row>
    <row r="345" spans="1:40" ht="22.5" customHeight="1" x14ac:dyDescent="0.2">
      <c r="A345" s="6">
        <v>46006.763981990742</v>
      </c>
      <c r="B345" s="7" t="s">
        <v>1167</v>
      </c>
      <c r="C345" s="7">
        <v>25</v>
      </c>
      <c r="D345" s="7" t="s">
        <v>42</v>
      </c>
      <c r="E345" s="7" t="s">
        <v>43</v>
      </c>
      <c r="F345" s="7" t="s">
        <v>562</v>
      </c>
      <c r="G345" s="7" t="s">
        <v>182</v>
      </c>
      <c r="H345" s="7">
        <v>4</v>
      </c>
      <c r="I345" s="7">
        <v>1</v>
      </c>
      <c r="J345" s="7" t="s">
        <v>100</v>
      </c>
      <c r="L345" s="7" t="s">
        <v>47</v>
      </c>
      <c r="T345" s="7">
        <v>2</v>
      </c>
      <c r="U345" s="7">
        <v>8</v>
      </c>
      <c r="V345" s="7">
        <v>5</v>
      </c>
      <c r="AE345" s="7">
        <v>650</v>
      </c>
      <c r="AF345" s="7" t="s">
        <v>323</v>
      </c>
      <c r="AG345" s="7" t="s">
        <v>295</v>
      </c>
      <c r="AH345" s="7">
        <v>4</v>
      </c>
      <c r="AI345" s="7" t="s">
        <v>285</v>
      </c>
      <c r="AJ345" s="7" t="s">
        <v>85</v>
      </c>
      <c r="AK345" s="7" t="s">
        <v>256</v>
      </c>
      <c r="AL345" s="7" t="s">
        <v>68</v>
      </c>
      <c r="AN345" s="7" t="s">
        <v>259</v>
      </c>
    </row>
    <row r="346" spans="1:40" ht="22.5" customHeight="1" x14ac:dyDescent="0.2">
      <c r="A346" s="6">
        <v>46006.765125798614</v>
      </c>
      <c r="B346" s="7" t="s">
        <v>1168</v>
      </c>
      <c r="C346" s="7">
        <v>31</v>
      </c>
      <c r="D346" s="7" t="s">
        <v>73</v>
      </c>
      <c r="E346" s="7" t="s">
        <v>58</v>
      </c>
      <c r="F346" s="7" t="s">
        <v>74</v>
      </c>
      <c r="G346" s="7" t="s">
        <v>45</v>
      </c>
      <c r="H346" s="7">
        <v>4</v>
      </c>
      <c r="I346" s="7">
        <v>1</v>
      </c>
      <c r="J346" s="7" t="s">
        <v>46</v>
      </c>
      <c r="K346" s="7" t="s">
        <v>47</v>
      </c>
      <c r="P346" s="7">
        <v>4</v>
      </c>
      <c r="Q346" s="7">
        <v>20</v>
      </c>
      <c r="R346" s="7">
        <v>11</v>
      </c>
      <c r="AE346" s="7">
        <v>1000</v>
      </c>
      <c r="AF346" s="7" t="s">
        <v>323</v>
      </c>
      <c r="AG346" s="7" t="s">
        <v>284</v>
      </c>
      <c r="AH346" s="7">
        <v>5</v>
      </c>
      <c r="AI346" s="7" t="s">
        <v>255</v>
      </c>
      <c r="AJ346" s="7" t="s">
        <v>362</v>
      </c>
      <c r="AK346" s="7" t="s">
        <v>307</v>
      </c>
      <c r="AL346" s="7" t="s">
        <v>257</v>
      </c>
      <c r="AM346" s="7" t="s">
        <v>258</v>
      </c>
    </row>
    <row r="347" spans="1:40" ht="22.5" customHeight="1" x14ac:dyDescent="0.2">
      <c r="A347" s="6">
        <v>46006.851829351857</v>
      </c>
      <c r="B347" s="7" t="s">
        <v>1169</v>
      </c>
      <c r="C347" s="7">
        <v>28</v>
      </c>
      <c r="D347" s="7" t="s">
        <v>42</v>
      </c>
      <c r="E347" s="7" t="s">
        <v>58</v>
      </c>
      <c r="F347" s="7" t="s">
        <v>144</v>
      </c>
      <c r="G347" s="7" t="s">
        <v>89</v>
      </c>
      <c r="H347" s="7">
        <v>4</v>
      </c>
      <c r="I347" s="7">
        <v>1</v>
      </c>
      <c r="J347" s="7" t="s">
        <v>100</v>
      </c>
      <c r="L347" s="7" t="s">
        <v>47</v>
      </c>
      <c r="S347" s="7">
        <v>5</v>
      </c>
      <c r="T347" s="7">
        <v>6</v>
      </c>
      <c r="U347" s="7">
        <v>4</v>
      </c>
      <c r="AE347" s="7">
        <v>420</v>
      </c>
      <c r="AF347" s="7" t="s">
        <v>323</v>
      </c>
      <c r="AG347" s="7" t="s">
        <v>295</v>
      </c>
      <c r="AH347" s="7">
        <v>3</v>
      </c>
      <c r="AI347" s="7" t="s">
        <v>306</v>
      </c>
      <c r="AJ347" s="7" t="s">
        <v>85</v>
      </c>
      <c r="AK347" s="7" t="s">
        <v>325</v>
      </c>
      <c r="AL347" s="7" t="s">
        <v>68</v>
      </c>
      <c r="AN347" s="7" t="s">
        <v>460</v>
      </c>
    </row>
    <row r="348" spans="1:40" ht="22.5" customHeight="1" x14ac:dyDescent="0.2">
      <c r="A348" s="6">
        <v>46006.852936724536</v>
      </c>
      <c r="B348" s="7" t="s">
        <v>1170</v>
      </c>
      <c r="C348" s="7">
        <v>45</v>
      </c>
      <c r="D348" s="7" t="s">
        <v>73</v>
      </c>
      <c r="E348" s="7" t="s">
        <v>43</v>
      </c>
      <c r="F348" s="7" t="s">
        <v>44</v>
      </c>
      <c r="G348" s="7" t="s">
        <v>60</v>
      </c>
      <c r="H348" s="7">
        <v>5</v>
      </c>
      <c r="I348" s="7">
        <v>2</v>
      </c>
      <c r="J348" s="7" t="s">
        <v>290</v>
      </c>
      <c r="K348" s="7" t="s">
        <v>47</v>
      </c>
      <c r="N348" s="7" t="s">
        <v>291</v>
      </c>
      <c r="P348" s="7">
        <v>9</v>
      </c>
      <c r="Q348" s="7">
        <v>7</v>
      </c>
      <c r="R348" s="7">
        <v>4</v>
      </c>
      <c r="Y348" s="7">
        <v>15</v>
      </c>
      <c r="Z348" s="7">
        <v>52</v>
      </c>
      <c r="AA348" s="7">
        <v>85</v>
      </c>
      <c r="AE348" s="7">
        <v>10800</v>
      </c>
      <c r="AF348" s="7" t="s">
        <v>159</v>
      </c>
      <c r="AG348" s="7" t="s">
        <v>317</v>
      </c>
      <c r="AH348" s="7">
        <v>6</v>
      </c>
      <c r="AI348" s="7" t="s">
        <v>296</v>
      </c>
      <c r="AJ348" s="7" t="s">
        <v>362</v>
      </c>
      <c r="AK348" s="7" t="s">
        <v>307</v>
      </c>
      <c r="AL348" s="7" t="s">
        <v>68</v>
      </c>
      <c r="AN348" s="7" t="s">
        <v>303</v>
      </c>
    </row>
    <row r="349" spans="1:40" ht="22.5" customHeight="1" x14ac:dyDescent="0.2">
      <c r="A349" s="6">
        <v>46006.854030393515</v>
      </c>
      <c r="B349" s="7" t="s">
        <v>1171</v>
      </c>
      <c r="C349" s="7">
        <v>34</v>
      </c>
      <c r="D349" s="7" t="s">
        <v>73</v>
      </c>
      <c r="E349" s="7" t="s">
        <v>58</v>
      </c>
      <c r="F349" s="7" t="s">
        <v>138</v>
      </c>
      <c r="G349" s="7" t="s">
        <v>60</v>
      </c>
      <c r="H349" s="7">
        <v>4</v>
      </c>
      <c r="I349" s="7">
        <v>1</v>
      </c>
      <c r="J349" s="7" t="s">
        <v>431</v>
      </c>
      <c r="M349" s="7" t="s">
        <v>47</v>
      </c>
      <c r="V349" s="7">
        <v>5</v>
      </c>
      <c r="W349" s="7">
        <v>28</v>
      </c>
      <c r="X349" s="7">
        <v>26</v>
      </c>
      <c r="AE349" s="7">
        <v>4000</v>
      </c>
      <c r="AF349" s="7" t="s">
        <v>276</v>
      </c>
      <c r="AG349" s="7" t="s">
        <v>317</v>
      </c>
      <c r="AH349" s="7">
        <v>9</v>
      </c>
      <c r="AI349" s="7" t="s">
        <v>255</v>
      </c>
      <c r="AJ349" s="7" t="s">
        <v>362</v>
      </c>
      <c r="AK349" s="7" t="s">
        <v>307</v>
      </c>
      <c r="AL349" s="7" t="s">
        <v>257</v>
      </c>
      <c r="AM349" s="7" t="s">
        <v>278</v>
      </c>
    </row>
    <row r="350" spans="1:40" ht="22.5" customHeight="1" x14ac:dyDescent="0.2">
      <c r="A350" s="6">
        <v>46007.425163344902</v>
      </c>
      <c r="B350" s="7" t="s">
        <v>1172</v>
      </c>
      <c r="C350" s="7">
        <v>25</v>
      </c>
      <c r="D350" s="7" t="s">
        <v>42</v>
      </c>
      <c r="E350" s="7" t="s">
        <v>43</v>
      </c>
      <c r="F350" s="7" t="s">
        <v>74</v>
      </c>
      <c r="G350" s="7" t="s">
        <v>89</v>
      </c>
      <c r="H350" s="7">
        <v>6</v>
      </c>
      <c r="I350" s="7">
        <v>1</v>
      </c>
      <c r="J350" s="7" t="s">
        <v>46</v>
      </c>
      <c r="K350" s="7" t="s">
        <v>47</v>
      </c>
      <c r="P350" s="7">
        <v>1</v>
      </c>
      <c r="Q350" s="7">
        <v>14</v>
      </c>
      <c r="R350" s="7">
        <v>9</v>
      </c>
      <c r="AE350" s="7">
        <v>1000</v>
      </c>
      <c r="AF350" s="7" t="s">
        <v>159</v>
      </c>
      <c r="AG350" s="7" t="s">
        <v>361</v>
      </c>
      <c r="AH350" s="7">
        <v>7</v>
      </c>
      <c r="AI350" s="7" t="s">
        <v>255</v>
      </c>
      <c r="AJ350" s="7" t="s">
        <v>85</v>
      </c>
      <c r="AK350" s="7" t="s">
        <v>256</v>
      </c>
      <c r="AL350" s="7" t="s">
        <v>257</v>
      </c>
      <c r="AM350" s="7" t="s">
        <v>368</v>
      </c>
    </row>
    <row r="351" spans="1:40" ht="22.5" customHeight="1" x14ac:dyDescent="0.2">
      <c r="A351" s="6">
        <v>46007.428168171296</v>
      </c>
      <c r="B351" s="7" t="s">
        <v>1173</v>
      </c>
      <c r="C351" s="7">
        <v>39</v>
      </c>
      <c r="D351" s="7" t="s">
        <v>73</v>
      </c>
      <c r="E351" s="7" t="s">
        <v>43</v>
      </c>
      <c r="F351" s="7" t="s">
        <v>74</v>
      </c>
      <c r="G351" s="7" t="s">
        <v>45</v>
      </c>
      <c r="H351" s="7">
        <v>5</v>
      </c>
      <c r="I351" s="7">
        <v>2</v>
      </c>
      <c r="J351" s="7" t="s">
        <v>246</v>
      </c>
      <c r="K351" s="7" t="s">
        <v>47</v>
      </c>
      <c r="M351" s="7" t="s">
        <v>47</v>
      </c>
      <c r="P351" s="7">
        <v>8</v>
      </c>
      <c r="Q351" s="7">
        <v>9</v>
      </c>
      <c r="R351" s="7">
        <v>6</v>
      </c>
      <c r="V351" s="7">
        <v>6</v>
      </c>
      <c r="W351" s="7">
        <v>24</v>
      </c>
      <c r="X351" s="7">
        <v>22</v>
      </c>
      <c r="AE351" s="7">
        <v>4000</v>
      </c>
      <c r="AF351" s="7" t="s">
        <v>276</v>
      </c>
      <c r="AG351" s="7" t="s">
        <v>295</v>
      </c>
      <c r="AH351" s="7">
        <v>5</v>
      </c>
      <c r="AI351" s="7" t="s">
        <v>255</v>
      </c>
      <c r="AJ351" s="7" t="s">
        <v>85</v>
      </c>
      <c r="AK351" s="7" t="s">
        <v>335</v>
      </c>
      <c r="AL351" s="7" t="s">
        <v>68</v>
      </c>
      <c r="AN351" s="7" t="s">
        <v>684</v>
      </c>
    </row>
    <row r="352" spans="1:40" ht="22.5" customHeight="1" x14ac:dyDescent="0.2">
      <c r="A352" s="6">
        <v>46007.428968136577</v>
      </c>
      <c r="B352" s="7" t="s">
        <v>1174</v>
      </c>
      <c r="C352" s="7">
        <v>28</v>
      </c>
      <c r="D352" s="7" t="s">
        <v>73</v>
      </c>
      <c r="E352" s="7" t="s">
        <v>43</v>
      </c>
      <c r="F352" s="7" t="s">
        <v>74</v>
      </c>
      <c r="G352" s="7" t="s">
        <v>45</v>
      </c>
      <c r="H352" s="7">
        <v>5</v>
      </c>
      <c r="I352" s="7">
        <v>1</v>
      </c>
      <c r="J352" s="7" t="s">
        <v>46</v>
      </c>
      <c r="K352" s="7" t="s">
        <v>47</v>
      </c>
      <c r="P352" s="7">
        <v>3</v>
      </c>
      <c r="Q352" s="7">
        <v>18</v>
      </c>
      <c r="R352" s="7">
        <v>10</v>
      </c>
      <c r="AE352" s="7">
        <v>1300</v>
      </c>
      <c r="AF352" s="7" t="s">
        <v>323</v>
      </c>
      <c r="AG352" s="7" t="s">
        <v>361</v>
      </c>
      <c r="AH352" s="7">
        <v>8</v>
      </c>
      <c r="AI352" s="7" t="s">
        <v>255</v>
      </c>
      <c r="AJ352" s="7" t="s">
        <v>362</v>
      </c>
      <c r="AK352" s="7" t="s">
        <v>307</v>
      </c>
      <c r="AL352" s="7" t="s">
        <v>68</v>
      </c>
      <c r="AN352" s="7" t="s">
        <v>303</v>
      </c>
    </row>
    <row r="353" spans="1:40" ht="22.5" customHeight="1" x14ac:dyDescent="0.2">
      <c r="A353" s="6">
        <v>46007.430615659723</v>
      </c>
      <c r="B353" s="7" t="s">
        <v>1175</v>
      </c>
      <c r="C353" s="7">
        <v>24</v>
      </c>
      <c r="D353" s="7" t="s">
        <v>42</v>
      </c>
      <c r="E353" s="7" t="s">
        <v>43</v>
      </c>
      <c r="F353" s="7" t="s">
        <v>144</v>
      </c>
      <c r="G353" s="7" t="s">
        <v>182</v>
      </c>
      <c r="H353" s="7">
        <v>4</v>
      </c>
      <c r="I353" s="7">
        <v>1</v>
      </c>
      <c r="J353" s="7" t="s">
        <v>100</v>
      </c>
      <c r="L353" s="7" t="s">
        <v>47</v>
      </c>
      <c r="P353" s="7">
        <v>6</v>
      </c>
      <c r="Q353" s="7">
        <v>5</v>
      </c>
      <c r="R353" s="7">
        <v>3</v>
      </c>
      <c r="AE353" s="7">
        <v>390</v>
      </c>
      <c r="AF353" s="7" t="s">
        <v>276</v>
      </c>
      <c r="AG353" s="7" t="s">
        <v>295</v>
      </c>
      <c r="AH353" s="7">
        <v>2</v>
      </c>
      <c r="AI353" s="7" t="s">
        <v>255</v>
      </c>
      <c r="AJ353" s="7" t="s">
        <v>96</v>
      </c>
      <c r="AK353" s="7" t="s">
        <v>318</v>
      </c>
      <c r="AL353" s="7" t="s">
        <v>68</v>
      </c>
      <c r="AN353" s="7" t="s">
        <v>684</v>
      </c>
    </row>
    <row r="354" spans="1:40" ht="22.5" customHeight="1" x14ac:dyDescent="0.2">
      <c r="A354" s="6">
        <v>46007.524536562501</v>
      </c>
      <c r="B354" s="7" t="s">
        <v>1176</v>
      </c>
      <c r="C354" s="7">
        <v>19</v>
      </c>
      <c r="D354" s="7" t="s">
        <v>42</v>
      </c>
      <c r="E354" s="7" t="s">
        <v>43</v>
      </c>
      <c r="F354" s="7" t="s">
        <v>562</v>
      </c>
      <c r="G354" s="7" t="s">
        <v>89</v>
      </c>
      <c r="H354" s="7">
        <v>5</v>
      </c>
      <c r="I354" s="7">
        <v>1</v>
      </c>
      <c r="J354" s="7" t="s">
        <v>46</v>
      </c>
      <c r="K354" s="7" t="s">
        <v>47</v>
      </c>
      <c r="P354" s="7">
        <v>20</v>
      </c>
      <c r="Q354" s="7" t="s">
        <v>145</v>
      </c>
      <c r="R354" s="7">
        <v>30</v>
      </c>
      <c r="AE354" s="7">
        <v>3000</v>
      </c>
      <c r="AF354" s="7" t="s">
        <v>252</v>
      </c>
      <c r="AG354" s="7" t="s">
        <v>295</v>
      </c>
      <c r="AH354" s="7">
        <v>11</v>
      </c>
      <c r="AI354" s="7" t="s">
        <v>285</v>
      </c>
      <c r="AJ354" s="7" t="s">
        <v>54</v>
      </c>
      <c r="AK354" s="7" t="s">
        <v>256</v>
      </c>
      <c r="AL354" s="7" t="s">
        <v>68</v>
      </c>
      <c r="AN354" s="7" t="s">
        <v>373</v>
      </c>
    </row>
    <row r="355" spans="1:40" ht="22.5" customHeight="1" x14ac:dyDescent="0.2">
      <c r="A355" s="6">
        <v>46007.537104398143</v>
      </c>
      <c r="B355" s="7" t="s">
        <v>1177</v>
      </c>
      <c r="C355" s="7">
        <v>52</v>
      </c>
      <c r="D355" s="7" t="s">
        <v>73</v>
      </c>
      <c r="E355" s="7" t="s">
        <v>43</v>
      </c>
      <c r="F355" s="7" t="s">
        <v>44</v>
      </c>
      <c r="G355" s="7" t="s">
        <v>45</v>
      </c>
      <c r="H355" s="7">
        <v>4</v>
      </c>
      <c r="I355" s="7">
        <v>2</v>
      </c>
      <c r="J355" s="7" t="s">
        <v>290</v>
      </c>
      <c r="K355" s="7" t="s">
        <v>47</v>
      </c>
      <c r="N355" s="7" t="s">
        <v>291</v>
      </c>
      <c r="P355" s="7">
        <v>11</v>
      </c>
      <c r="Q355" s="7">
        <v>6</v>
      </c>
      <c r="R355" s="7">
        <v>4</v>
      </c>
      <c r="Y355" s="7">
        <v>16</v>
      </c>
      <c r="Z355" s="7">
        <v>58</v>
      </c>
      <c r="AA355" s="7">
        <v>90</v>
      </c>
      <c r="AE355" s="7">
        <v>11600</v>
      </c>
      <c r="AF355" s="7" t="s">
        <v>323</v>
      </c>
      <c r="AG355" s="7" t="s">
        <v>295</v>
      </c>
      <c r="AH355" s="7">
        <v>7</v>
      </c>
      <c r="AI355" s="7" t="s">
        <v>296</v>
      </c>
      <c r="AJ355" s="7" t="s">
        <v>96</v>
      </c>
      <c r="AK355" s="7" t="s">
        <v>325</v>
      </c>
      <c r="AL355" s="7" t="s">
        <v>257</v>
      </c>
      <c r="AM355" s="7" t="s">
        <v>368</v>
      </c>
    </row>
    <row r="356" spans="1:40" ht="22.5" customHeight="1" x14ac:dyDescent="0.2">
      <c r="A356" s="6">
        <v>46007.596337349532</v>
      </c>
      <c r="B356" s="7" t="s">
        <v>1178</v>
      </c>
      <c r="C356" s="7">
        <v>26</v>
      </c>
      <c r="D356" s="7" t="s">
        <v>42</v>
      </c>
      <c r="E356" s="7" t="s">
        <v>43</v>
      </c>
      <c r="F356" s="7" t="s">
        <v>74</v>
      </c>
      <c r="G356" s="7" t="s">
        <v>45</v>
      </c>
      <c r="H356" s="7">
        <v>4</v>
      </c>
      <c r="I356" s="7">
        <v>1</v>
      </c>
      <c r="J356" s="7" t="s">
        <v>100</v>
      </c>
      <c r="L356" s="7" t="s">
        <v>47</v>
      </c>
      <c r="S356" s="7">
        <v>2</v>
      </c>
      <c r="T356" s="7">
        <v>9</v>
      </c>
      <c r="U356" s="7">
        <v>5</v>
      </c>
      <c r="AE356" s="7">
        <v>650</v>
      </c>
      <c r="AF356" s="7" t="s">
        <v>252</v>
      </c>
      <c r="AG356" s="7" t="s">
        <v>295</v>
      </c>
      <c r="AH356" s="7">
        <v>4</v>
      </c>
      <c r="AI356" s="7" t="s">
        <v>255</v>
      </c>
      <c r="AJ356" s="7" t="s">
        <v>362</v>
      </c>
      <c r="AK356" s="7" t="s">
        <v>307</v>
      </c>
      <c r="AL356" s="7" t="s">
        <v>68</v>
      </c>
      <c r="AN356" s="7" t="s">
        <v>684</v>
      </c>
    </row>
    <row r="357" spans="1:40" ht="22.5" customHeight="1" x14ac:dyDescent="0.2">
      <c r="A357" s="6">
        <v>46007.62278553241</v>
      </c>
      <c r="B357" s="7" t="s">
        <v>1179</v>
      </c>
      <c r="C357" s="7">
        <v>41</v>
      </c>
      <c r="D357" s="7" t="s">
        <v>73</v>
      </c>
      <c r="E357" s="7" t="s">
        <v>58</v>
      </c>
      <c r="F357" s="7" t="s">
        <v>138</v>
      </c>
      <c r="G357" s="7" t="s">
        <v>60</v>
      </c>
      <c r="H357" s="7">
        <v>4</v>
      </c>
      <c r="I357" s="7">
        <v>2</v>
      </c>
      <c r="J357" s="7" t="s">
        <v>246</v>
      </c>
      <c r="K357" s="7" t="s">
        <v>47</v>
      </c>
      <c r="M357" s="7" t="s">
        <v>47</v>
      </c>
      <c r="P357" s="7">
        <v>7</v>
      </c>
      <c r="Q357" s="7">
        <v>8</v>
      </c>
      <c r="R357" s="7">
        <v>5</v>
      </c>
      <c r="V357" s="7">
        <v>5</v>
      </c>
      <c r="W357" s="7">
        <v>26</v>
      </c>
      <c r="X357" s="7">
        <v>24</v>
      </c>
      <c r="AE357" s="7">
        <v>4300</v>
      </c>
      <c r="AF357" s="7" t="s">
        <v>252</v>
      </c>
      <c r="AG357" s="7" t="s">
        <v>361</v>
      </c>
      <c r="AH357" s="7">
        <v>13</v>
      </c>
      <c r="AI357" s="7" t="s">
        <v>255</v>
      </c>
      <c r="AJ357" s="7" t="s">
        <v>85</v>
      </c>
      <c r="AK357" s="7" t="s">
        <v>256</v>
      </c>
      <c r="AL357" s="7" t="s">
        <v>257</v>
      </c>
      <c r="AM357" s="7" t="s">
        <v>363</v>
      </c>
    </row>
    <row r="358" spans="1:40" ht="22.5" customHeight="1" x14ac:dyDescent="0.2">
      <c r="A358" s="6">
        <v>46007.623582048611</v>
      </c>
      <c r="B358" s="7" t="s">
        <v>1180</v>
      </c>
      <c r="C358" s="7">
        <v>22</v>
      </c>
      <c r="D358" s="7" t="s">
        <v>42</v>
      </c>
      <c r="E358" s="7" t="s">
        <v>43</v>
      </c>
      <c r="F358" s="7" t="s">
        <v>562</v>
      </c>
      <c r="G358" s="7" t="s">
        <v>182</v>
      </c>
      <c r="H358" s="7">
        <v>4</v>
      </c>
      <c r="I358" s="7">
        <v>1</v>
      </c>
      <c r="J358" s="7" t="s">
        <v>46</v>
      </c>
      <c r="K358" s="7" t="s">
        <v>47</v>
      </c>
      <c r="P358" s="7">
        <v>1</v>
      </c>
      <c r="Q358" s="7">
        <v>12</v>
      </c>
      <c r="R358" s="7">
        <v>8</v>
      </c>
      <c r="AE358" s="7">
        <v>850</v>
      </c>
      <c r="AF358" s="7" t="s">
        <v>159</v>
      </c>
      <c r="AG358" s="7" t="s">
        <v>295</v>
      </c>
      <c r="AH358" s="7">
        <v>6</v>
      </c>
      <c r="AI358" s="7" t="s">
        <v>285</v>
      </c>
      <c r="AJ358" s="7" t="s">
        <v>96</v>
      </c>
      <c r="AK358" s="7" t="s">
        <v>256</v>
      </c>
      <c r="AL358" s="7" t="s">
        <v>68</v>
      </c>
      <c r="AN358" s="7" t="s">
        <v>259</v>
      </c>
    </row>
    <row r="359" spans="1:40" ht="22.5" customHeight="1" x14ac:dyDescent="0.2">
      <c r="A359" s="6">
        <v>46007.624456539357</v>
      </c>
      <c r="B359" s="7" t="s">
        <v>1181</v>
      </c>
      <c r="C359" s="7">
        <v>27</v>
      </c>
      <c r="D359" s="7" t="s">
        <v>73</v>
      </c>
      <c r="E359" s="7" t="s">
        <v>43</v>
      </c>
      <c r="F359" s="7" t="s">
        <v>44</v>
      </c>
      <c r="G359" s="7" t="s">
        <v>45</v>
      </c>
      <c r="H359" s="7">
        <v>4</v>
      </c>
      <c r="I359" s="7">
        <v>1</v>
      </c>
      <c r="J359" s="7" t="s">
        <v>431</v>
      </c>
      <c r="M359" s="7" t="s">
        <v>47</v>
      </c>
      <c r="P359" s="7">
        <v>2</v>
      </c>
      <c r="Q359" s="7">
        <v>24</v>
      </c>
      <c r="R359" s="7">
        <v>23</v>
      </c>
      <c r="AE359" s="7">
        <v>3000</v>
      </c>
      <c r="AF359" s="7" t="s">
        <v>276</v>
      </c>
      <c r="AG359" s="7" t="s">
        <v>361</v>
      </c>
      <c r="AH359" s="7">
        <v>12</v>
      </c>
      <c r="AI359" s="7" t="s">
        <v>1182</v>
      </c>
      <c r="AJ359" s="7" t="s">
        <v>277</v>
      </c>
      <c r="AK359" s="7" t="s">
        <v>256</v>
      </c>
      <c r="AL359" s="7" t="s">
        <v>257</v>
      </c>
      <c r="AM359" s="7" t="s">
        <v>401</v>
      </c>
    </row>
    <row r="360" spans="1:40" ht="22.5" customHeight="1" x14ac:dyDescent="0.2">
      <c r="A360" s="6">
        <v>46007.62529207176</v>
      </c>
      <c r="B360" s="7" t="s">
        <v>1183</v>
      </c>
      <c r="C360" s="7">
        <v>36</v>
      </c>
      <c r="D360" s="7" t="s">
        <v>42</v>
      </c>
      <c r="E360" s="7" t="s">
        <v>43</v>
      </c>
      <c r="F360" s="7" t="s">
        <v>144</v>
      </c>
      <c r="G360" s="7" t="s">
        <v>89</v>
      </c>
      <c r="H360" s="7">
        <v>6</v>
      </c>
      <c r="I360" s="7">
        <v>1</v>
      </c>
      <c r="J360" s="7" t="s">
        <v>100</v>
      </c>
      <c r="L360" s="7" t="s">
        <v>47</v>
      </c>
      <c r="S360" s="7">
        <v>6</v>
      </c>
      <c r="T360" s="7">
        <v>5</v>
      </c>
      <c r="U360" s="7">
        <v>3</v>
      </c>
      <c r="AE360" s="7">
        <v>300</v>
      </c>
      <c r="AF360" s="7" t="s">
        <v>323</v>
      </c>
      <c r="AG360" s="7" t="s">
        <v>295</v>
      </c>
      <c r="AH360" s="7">
        <v>3</v>
      </c>
      <c r="AI360" s="7" t="s">
        <v>344</v>
      </c>
      <c r="AJ360" s="7" t="s">
        <v>85</v>
      </c>
      <c r="AK360" s="7" t="s">
        <v>325</v>
      </c>
      <c r="AL360" s="7" t="s">
        <v>68</v>
      </c>
      <c r="AN360" s="7" t="s">
        <v>684</v>
      </c>
    </row>
    <row r="361" spans="1:40" ht="22.5" customHeight="1" x14ac:dyDescent="0.2">
      <c r="A361" s="6">
        <v>46007.626294351852</v>
      </c>
      <c r="B361" s="7" t="s">
        <v>1184</v>
      </c>
      <c r="C361" s="7">
        <v>33</v>
      </c>
      <c r="D361" s="7" t="s">
        <v>73</v>
      </c>
      <c r="E361" s="7" t="s">
        <v>58</v>
      </c>
      <c r="F361" s="7" t="s">
        <v>74</v>
      </c>
      <c r="G361" s="7" t="s">
        <v>45</v>
      </c>
      <c r="H361" s="7">
        <v>3</v>
      </c>
      <c r="I361" s="7">
        <v>1</v>
      </c>
      <c r="J361" s="7" t="s">
        <v>431</v>
      </c>
      <c r="M361" s="7" t="s">
        <v>47</v>
      </c>
      <c r="V361" s="7">
        <v>4</v>
      </c>
      <c r="W361" s="7">
        <v>30</v>
      </c>
      <c r="X361" s="7">
        <v>28</v>
      </c>
      <c r="AE361" s="7">
        <v>2800</v>
      </c>
      <c r="AF361" s="7" t="s">
        <v>159</v>
      </c>
      <c r="AG361" s="7" t="s">
        <v>317</v>
      </c>
      <c r="AH361" s="7">
        <v>14</v>
      </c>
      <c r="AI361" s="7" t="s">
        <v>255</v>
      </c>
      <c r="AJ361" s="7" t="s">
        <v>362</v>
      </c>
      <c r="AK361" s="7" t="s">
        <v>307</v>
      </c>
      <c r="AL361" s="7" t="s">
        <v>257</v>
      </c>
      <c r="AM361" s="7" t="s">
        <v>368</v>
      </c>
    </row>
    <row r="362" spans="1:40" ht="22.5" customHeight="1" x14ac:dyDescent="0.2">
      <c r="A362" s="6">
        <v>46007.627206192134</v>
      </c>
      <c r="B362" s="7" t="s">
        <v>1185</v>
      </c>
      <c r="C362" s="7">
        <v>30</v>
      </c>
      <c r="D362" s="7" t="s">
        <v>42</v>
      </c>
      <c r="E362" s="7" t="s">
        <v>43</v>
      </c>
      <c r="F362" s="7" t="s">
        <v>74</v>
      </c>
      <c r="G362" s="7" t="s">
        <v>45</v>
      </c>
      <c r="H362" s="7">
        <v>4</v>
      </c>
      <c r="I362" s="7">
        <v>1</v>
      </c>
      <c r="J362" s="7" t="s">
        <v>100</v>
      </c>
      <c r="L362" s="7" t="s">
        <v>47</v>
      </c>
      <c r="S362" s="7">
        <v>5</v>
      </c>
      <c r="T362" s="7">
        <v>14</v>
      </c>
      <c r="U362" s="7">
        <v>9</v>
      </c>
      <c r="AE362" s="7">
        <v>900</v>
      </c>
      <c r="AF362" s="7" t="s">
        <v>252</v>
      </c>
      <c r="AG362" s="7" t="s">
        <v>317</v>
      </c>
      <c r="AH362" s="7">
        <v>7</v>
      </c>
      <c r="AI362" s="7" t="s">
        <v>255</v>
      </c>
      <c r="AJ362" s="7" t="s">
        <v>362</v>
      </c>
      <c r="AK362" s="7" t="s">
        <v>307</v>
      </c>
      <c r="AL362" s="7" t="s">
        <v>68</v>
      </c>
      <c r="AN362" s="7" t="s">
        <v>259</v>
      </c>
    </row>
    <row r="363" spans="1:40" ht="22.5" customHeight="1" x14ac:dyDescent="0.2">
      <c r="A363" s="6">
        <v>46007.628338090275</v>
      </c>
      <c r="B363" s="7" t="s">
        <v>1186</v>
      </c>
      <c r="C363" s="7">
        <v>38</v>
      </c>
      <c r="D363" s="7" t="s">
        <v>73</v>
      </c>
      <c r="E363" s="7" t="s">
        <v>43</v>
      </c>
      <c r="F363" s="7" t="s">
        <v>74</v>
      </c>
      <c r="G363" s="7" t="s">
        <v>45</v>
      </c>
      <c r="H363" s="7">
        <v>5</v>
      </c>
      <c r="I363" s="7">
        <v>2</v>
      </c>
      <c r="J363" s="7" t="s">
        <v>246</v>
      </c>
      <c r="K363" s="7" t="s">
        <v>47</v>
      </c>
      <c r="M363" s="7" t="s">
        <v>47</v>
      </c>
      <c r="P363" s="7">
        <v>6</v>
      </c>
      <c r="Q363" s="7">
        <v>10</v>
      </c>
      <c r="R363" s="7">
        <v>6</v>
      </c>
      <c r="V363" s="7">
        <v>5</v>
      </c>
      <c r="W363" s="7">
        <v>24</v>
      </c>
      <c r="X363" s="7">
        <v>22</v>
      </c>
      <c r="AE363" s="7">
        <v>4000</v>
      </c>
      <c r="AF363" s="7" t="s">
        <v>252</v>
      </c>
      <c r="AG363" s="7" t="s">
        <v>361</v>
      </c>
      <c r="AH363" s="7">
        <v>12</v>
      </c>
      <c r="AI363" s="7" t="s">
        <v>255</v>
      </c>
      <c r="AJ363" s="7" t="s">
        <v>85</v>
      </c>
      <c r="AK363" s="7" t="s">
        <v>256</v>
      </c>
      <c r="AL363" s="7" t="s">
        <v>68</v>
      </c>
      <c r="AN363" s="7" t="s">
        <v>460</v>
      </c>
    </row>
    <row r="364" spans="1:40" ht="22.5" customHeight="1" x14ac:dyDescent="0.2">
      <c r="A364" s="6">
        <v>46007.629129791661</v>
      </c>
      <c r="B364" s="7" t="s">
        <v>1187</v>
      </c>
      <c r="C364" s="7">
        <v>22</v>
      </c>
      <c r="D364" s="7" t="s">
        <v>42</v>
      </c>
      <c r="E364" s="7" t="s">
        <v>43</v>
      </c>
      <c r="F364" s="7" t="s">
        <v>562</v>
      </c>
      <c r="G364" s="7" t="s">
        <v>182</v>
      </c>
      <c r="H364" s="7">
        <v>5</v>
      </c>
      <c r="I364" s="7">
        <v>1</v>
      </c>
      <c r="J364" s="7" t="s">
        <v>100</v>
      </c>
      <c r="L364" s="7" t="s">
        <v>47</v>
      </c>
      <c r="S364" s="7">
        <v>2</v>
      </c>
      <c r="T364" s="7">
        <v>8</v>
      </c>
      <c r="U364" s="7">
        <v>5</v>
      </c>
      <c r="AE364" s="7">
        <v>650</v>
      </c>
      <c r="AF364" s="7" t="s">
        <v>276</v>
      </c>
      <c r="AG364" s="7" t="s">
        <v>295</v>
      </c>
      <c r="AH364" s="7">
        <v>4</v>
      </c>
      <c r="AI364" s="7" t="s">
        <v>285</v>
      </c>
      <c r="AJ364" s="7" t="s">
        <v>96</v>
      </c>
      <c r="AK364" s="7" t="s">
        <v>256</v>
      </c>
      <c r="AL364" s="7" t="s">
        <v>152</v>
      </c>
      <c r="AM364" s="7" t="s">
        <v>401</v>
      </c>
    </row>
    <row r="365" spans="1:40" ht="22.5" customHeight="1" x14ac:dyDescent="0.2">
      <c r="A365" s="6">
        <v>46007.630633379631</v>
      </c>
      <c r="B365" s="7" t="s">
        <v>1188</v>
      </c>
      <c r="C365" s="7">
        <v>55</v>
      </c>
      <c r="D365" s="7" t="s">
        <v>42</v>
      </c>
      <c r="E365" s="7" t="s">
        <v>58</v>
      </c>
      <c r="F365" s="7" t="s">
        <v>44</v>
      </c>
      <c r="G365" s="7" t="s">
        <v>45</v>
      </c>
      <c r="H365" s="7">
        <v>4</v>
      </c>
      <c r="I365" s="7">
        <v>2</v>
      </c>
      <c r="J365" s="7" t="s">
        <v>290</v>
      </c>
      <c r="K365" s="7" t="s">
        <v>47</v>
      </c>
      <c r="N365" s="7" t="s">
        <v>291</v>
      </c>
      <c r="P365" s="7">
        <v>12</v>
      </c>
      <c r="Q365" s="7">
        <v>5</v>
      </c>
      <c r="R365" s="7">
        <v>3</v>
      </c>
      <c r="Y365" s="7">
        <v>18</v>
      </c>
      <c r="Z365" s="7">
        <v>70</v>
      </c>
      <c r="AA365" s="7">
        <v>90</v>
      </c>
      <c r="AE365" s="7">
        <v>12000</v>
      </c>
      <c r="AF365" s="7" t="s">
        <v>252</v>
      </c>
      <c r="AG365" s="7" t="s">
        <v>253</v>
      </c>
      <c r="AH365" s="7">
        <v>8</v>
      </c>
      <c r="AI365" s="7" t="s">
        <v>296</v>
      </c>
      <c r="AJ365" s="7" t="s">
        <v>362</v>
      </c>
      <c r="AK365" s="7" t="s">
        <v>307</v>
      </c>
      <c r="AL365" s="7" t="s">
        <v>257</v>
      </c>
      <c r="AM365" s="7" t="s">
        <v>286</v>
      </c>
    </row>
    <row r="366" spans="1:40" ht="22.5" customHeight="1" x14ac:dyDescent="0.2">
      <c r="A366" s="6">
        <v>46007.631485358797</v>
      </c>
      <c r="B366" s="7" t="s">
        <v>1189</v>
      </c>
      <c r="C366" s="7">
        <v>29</v>
      </c>
      <c r="D366" s="7" t="s">
        <v>42</v>
      </c>
      <c r="E366" s="7" t="s">
        <v>58</v>
      </c>
      <c r="F366" s="7" t="s">
        <v>74</v>
      </c>
      <c r="G366" s="7" t="s">
        <v>89</v>
      </c>
      <c r="H366" s="7">
        <v>4</v>
      </c>
      <c r="I366" s="7">
        <v>1</v>
      </c>
      <c r="J366" s="7" t="s">
        <v>46</v>
      </c>
      <c r="K366" s="7" t="s">
        <v>47</v>
      </c>
      <c r="P366" s="7">
        <v>4</v>
      </c>
      <c r="Q366" s="7">
        <v>16</v>
      </c>
      <c r="R366" s="7">
        <v>9</v>
      </c>
      <c r="AE366" s="7">
        <v>1000</v>
      </c>
      <c r="AF366" s="7" t="s">
        <v>360</v>
      </c>
      <c r="AG366" s="7" t="s">
        <v>361</v>
      </c>
      <c r="AH366" s="7">
        <v>8</v>
      </c>
      <c r="AI366" s="7" t="s">
        <v>255</v>
      </c>
      <c r="AJ366" s="7" t="s">
        <v>277</v>
      </c>
      <c r="AK366" s="7" t="s">
        <v>256</v>
      </c>
      <c r="AL366" s="7" t="s">
        <v>152</v>
      </c>
      <c r="AM366" s="7" t="s">
        <v>368</v>
      </c>
    </row>
    <row r="367" spans="1:40" ht="22.5" customHeight="1" x14ac:dyDescent="0.2">
      <c r="A367" s="6">
        <v>46007.632319259261</v>
      </c>
      <c r="B367" s="7" t="s">
        <v>1190</v>
      </c>
      <c r="C367" s="7">
        <v>44</v>
      </c>
      <c r="D367" s="7" t="s">
        <v>73</v>
      </c>
      <c r="E367" s="7" t="s">
        <v>43</v>
      </c>
      <c r="F367" s="7" t="s">
        <v>172</v>
      </c>
      <c r="G367" s="7" t="s">
        <v>60</v>
      </c>
      <c r="H367" s="7">
        <v>4</v>
      </c>
      <c r="I367" s="7">
        <v>1</v>
      </c>
      <c r="J367" s="7" t="s">
        <v>431</v>
      </c>
      <c r="M367" s="7" t="s">
        <v>47</v>
      </c>
      <c r="V367" s="7">
        <v>8</v>
      </c>
      <c r="W367" s="7">
        <v>26</v>
      </c>
      <c r="X367" s="7">
        <v>24</v>
      </c>
      <c r="AE367" s="7">
        <v>3000</v>
      </c>
      <c r="AF367" s="7" t="s">
        <v>159</v>
      </c>
      <c r="AG367" s="7" t="s">
        <v>317</v>
      </c>
      <c r="AH367" s="7">
        <v>13</v>
      </c>
      <c r="AI367" s="7" t="s">
        <v>255</v>
      </c>
      <c r="AJ367" s="7" t="s">
        <v>85</v>
      </c>
      <c r="AK367" s="7" t="s">
        <v>325</v>
      </c>
      <c r="AL367" s="7" t="s">
        <v>257</v>
      </c>
      <c r="AM367" s="7" t="s">
        <v>278</v>
      </c>
    </row>
    <row r="368" spans="1:40" ht="22.5" customHeight="1" x14ac:dyDescent="0.2">
      <c r="A368" s="6">
        <v>46007.633074745376</v>
      </c>
      <c r="B368" s="7" t="s">
        <v>1191</v>
      </c>
      <c r="C368" s="7">
        <v>21</v>
      </c>
      <c r="D368" s="7" t="s">
        <v>42</v>
      </c>
      <c r="E368" s="7" t="s">
        <v>43</v>
      </c>
      <c r="F368" s="7" t="s">
        <v>562</v>
      </c>
      <c r="G368" s="7" t="s">
        <v>182</v>
      </c>
      <c r="H368" s="7">
        <v>5</v>
      </c>
      <c r="I368" s="7">
        <v>1</v>
      </c>
      <c r="J368" s="7" t="s">
        <v>46</v>
      </c>
      <c r="K368" s="7" t="s">
        <v>47</v>
      </c>
      <c r="P368" s="7">
        <v>1</v>
      </c>
      <c r="Q368" s="7">
        <v>12</v>
      </c>
      <c r="R368" s="7">
        <v>8</v>
      </c>
      <c r="AE368" s="7">
        <v>850</v>
      </c>
      <c r="AF368" s="7" t="s">
        <v>323</v>
      </c>
      <c r="AG368" s="7" t="s">
        <v>284</v>
      </c>
      <c r="AH368" s="7">
        <v>6</v>
      </c>
      <c r="AI368" s="7" t="s">
        <v>285</v>
      </c>
      <c r="AJ368" s="7" t="s">
        <v>85</v>
      </c>
      <c r="AK368" s="7" t="s">
        <v>256</v>
      </c>
      <c r="AL368" s="7" t="s">
        <v>257</v>
      </c>
      <c r="AM368" s="7" t="s">
        <v>258</v>
      </c>
    </row>
    <row r="369" spans="1:40" ht="22.5" customHeight="1" x14ac:dyDescent="0.2">
      <c r="A369" s="6">
        <v>46007.633959814819</v>
      </c>
      <c r="B369" s="7" t="s">
        <v>1192</v>
      </c>
      <c r="C369" s="7">
        <v>49</v>
      </c>
      <c r="D369" s="7" t="s">
        <v>73</v>
      </c>
      <c r="E369" s="7" t="s">
        <v>43</v>
      </c>
      <c r="F369" s="7" t="s">
        <v>44</v>
      </c>
      <c r="G369" s="7" t="s">
        <v>60</v>
      </c>
      <c r="H369" s="7">
        <v>5</v>
      </c>
      <c r="I369" s="7">
        <v>2</v>
      </c>
      <c r="J369" s="7" t="s">
        <v>290</v>
      </c>
      <c r="K369" s="7" t="s">
        <v>47</v>
      </c>
      <c r="N369" s="7" t="s">
        <v>291</v>
      </c>
      <c r="P369" s="7">
        <v>10</v>
      </c>
      <c r="Q369" s="7">
        <v>6</v>
      </c>
      <c r="R369" s="7">
        <v>4</v>
      </c>
      <c r="Y369" s="7">
        <v>14</v>
      </c>
      <c r="Z369" s="7">
        <v>54</v>
      </c>
      <c r="AA369" s="7">
        <v>88</v>
      </c>
      <c r="AE369" s="7">
        <v>11800</v>
      </c>
      <c r="AF369" s="7" t="s">
        <v>252</v>
      </c>
      <c r="AG369" s="7" t="s">
        <v>253</v>
      </c>
      <c r="AH369" s="7">
        <v>7</v>
      </c>
      <c r="AI369" s="7" t="s">
        <v>296</v>
      </c>
      <c r="AJ369" s="7" t="s">
        <v>85</v>
      </c>
      <c r="AK369" s="7" t="s">
        <v>256</v>
      </c>
      <c r="AL369" s="7" t="s">
        <v>257</v>
      </c>
      <c r="AM369" s="7" t="s">
        <v>368</v>
      </c>
    </row>
    <row r="370" spans="1:40" ht="22.5" customHeight="1" x14ac:dyDescent="0.2">
      <c r="A370" s="6">
        <v>46007.634838715283</v>
      </c>
      <c r="B370" s="7" t="s">
        <v>1193</v>
      </c>
      <c r="C370" s="7">
        <v>32</v>
      </c>
      <c r="D370" s="7" t="s">
        <v>73</v>
      </c>
      <c r="E370" s="7" t="s">
        <v>43</v>
      </c>
      <c r="F370" s="7" t="s">
        <v>74</v>
      </c>
      <c r="G370" s="7" t="s">
        <v>45</v>
      </c>
      <c r="H370" s="7">
        <v>5</v>
      </c>
      <c r="I370" s="7">
        <v>1</v>
      </c>
      <c r="J370" s="7" t="s">
        <v>46</v>
      </c>
      <c r="K370" s="7" t="s">
        <v>47</v>
      </c>
      <c r="P370" s="7">
        <v>3</v>
      </c>
      <c r="Q370" s="7">
        <v>31</v>
      </c>
      <c r="R370" s="7">
        <v>28</v>
      </c>
      <c r="AE370" s="7">
        <v>3000</v>
      </c>
      <c r="AF370" s="7" t="s">
        <v>276</v>
      </c>
      <c r="AG370" s="7" t="s">
        <v>284</v>
      </c>
      <c r="AH370" s="7">
        <v>15</v>
      </c>
      <c r="AI370" s="7" t="s">
        <v>255</v>
      </c>
      <c r="AJ370" s="7" t="s">
        <v>85</v>
      </c>
      <c r="AK370" s="7" t="s">
        <v>256</v>
      </c>
      <c r="AL370" s="7" t="s">
        <v>68</v>
      </c>
      <c r="AN370" s="7" t="s">
        <v>259</v>
      </c>
    </row>
    <row r="371" spans="1:40" ht="22.5" customHeight="1" x14ac:dyDescent="0.2">
      <c r="A371" s="6">
        <v>46007.635694803241</v>
      </c>
      <c r="B371" s="7" t="s">
        <v>1194</v>
      </c>
      <c r="C371" s="7">
        <v>35</v>
      </c>
      <c r="D371" s="7" t="s">
        <v>42</v>
      </c>
      <c r="E371" s="7" t="s">
        <v>43</v>
      </c>
      <c r="F371" s="7" t="s">
        <v>144</v>
      </c>
      <c r="G371" s="7" t="s">
        <v>182</v>
      </c>
      <c r="H371" s="7">
        <v>5</v>
      </c>
      <c r="I371" s="7">
        <v>1</v>
      </c>
      <c r="J371" s="7" t="s">
        <v>100</v>
      </c>
      <c r="L371" s="7" t="s">
        <v>47</v>
      </c>
      <c r="S371" s="7">
        <v>6</v>
      </c>
      <c r="T371" s="7">
        <v>5</v>
      </c>
      <c r="U371" s="7">
        <v>3</v>
      </c>
      <c r="AE371" s="7">
        <v>390</v>
      </c>
      <c r="AF371" s="7" t="s">
        <v>276</v>
      </c>
      <c r="AG371" s="7" t="s">
        <v>295</v>
      </c>
      <c r="AH371" s="7">
        <v>2</v>
      </c>
      <c r="AI371" s="7" t="s">
        <v>344</v>
      </c>
      <c r="AJ371" s="7" t="s">
        <v>85</v>
      </c>
      <c r="AK371" s="7" t="s">
        <v>335</v>
      </c>
      <c r="AL371" s="7" t="s">
        <v>152</v>
      </c>
      <c r="AM371" s="7" t="s">
        <v>368</v>
      </c>
    </row>
    <row r="372" spans="1:40" ht="22.5" customHeight="1" x14ac:dyDescent="0.2">
      <c r="A372" s="6">
        <v>46007.63663361111</v>
      </c>
      <c r="B372" s="7" t="s">
        <v>1195</v>
      </c>
      <c r="C372" s="7">
        <v>37</v>
      </c>
      <c r="D372" s="7" t="s">
        <v>73</v>
      </c>
      <c r="E372" s="7" t="s">
        <v>58</v>
      </c>
      <c r="F372" s="7" t="s">
        <v>138</v>
      </c>
      <c r="G372" s="7" t="s">
        <v>45</v>
      </c>
      <c r="H372" s="7">
        <v>4</v>
      </c>
      <c r="I372" s="7">
        <v>2</v>
      </c>
      <c r="J372" s="7" t="s">
        <v>246</v>
      </c>
      <c r="K372" s="7" t="s">
        <v>47</v>
      </c>
      <c r="M372" s="7" t="s">
        <v>47</v>
      </c>
      <c r="P372" s="7">
        <v>7</v>
      </c>
      <c r="Q372" s="7">
        <v>9</v>
      </c>
      <c r="R372" s="7">
        <v>6</v>
      </c>
      <c r="V372" s="7">
        <v>6</v>
      </c>
      <c r="W372" s="7">
        <v>25</v>
      </c>
      <c r="X372" s="7">
        <v>23</v>
      </c>
      <c r="AE372" s="7">
        <v>4000</v>
      </c>
      <c r="AF372" s="7" t="s">
        <v>252</v>
      </c>
      <c r="AG372" s="7" t="s">
        <v>361</v>
      </c>
      <c r="AH372" s="7">
        <v>13</v>
      </c>
      <c r="AI372" s="7" t="s">
        <v>255</v>
      </c>
      <c r="AJ372" s="7" t="s">
        <v>85</v>
      </c>
      <c r="AK372" s="7" t="s">
        <v>256</v>
      </c>
      <c r="AL372" s="7" t="s">
        <v>68</v>
      </c>
      <c r="AN372" s="7" t="s">
        <v>684</v>
      </c>
    </row>
    <row r="373" spans="1:40" ht="22.5" customHeight="1" x14ac:dyDescent="0.2">
      <c r="A373" s="6">
        <v>46007.651513854165</v>
      </c>
      <c r="B373" s="7" t="s">
        <v>1121</v>
      </c>
      <c r="C373" s="7">
        <v>39</v>
      </c>
      <c r="D373" s="7" t="s">
        <v>73</v>
      </c>
      <c r="E373" s="7" t="s">
        <v>43</v>
      </c>
      <c r="F373" s="7" t="s">
        <v>44</v>
      </c>
      <c r="G373" s="7" t="s">
        <v>45</v>
      </c>
      <c r="H373" s="7">
        <v>5</v>
      </c>
      <c r="I373" s="7">
        <v>1</v>
      </c>
      <c r="J373" s="7" t="s">
        <v>46</v>
      </c>
      <c r="K373" s="7" t="s">
        <v>47</v>
      </c>
      <c r="P373" s="7">
        <v>9</v>
      </c>
      <c r="Q373" s="7">
        <v>8</v>
      </c>
      <c r="R373" s="7">
        <v>5</v>
      </c>
      <c r="AE373" s="7">
        <v>650</v>
      </c>
      <c r="AF373" s="7" t="s">
        <v>252</v>
      </c>
      <c r="AG373" s="7" t="s">
        <v>284</v>
      </c>
      <c r="AH373" s="7">
        <v>4</v>
      </c>
      <c r="AI373" s="7" t="s">
        <v>296</v>
      </c>
      <c r="AJ373" s="7" t="s">
        <v>85</v>
      </c>
      <c r="AK373" s="7" t="s">
        <v>256</v>
      </c>
      <c r="AL373" s="7" t="s">
        <v>257</v>
      </c>
      <c r="AM373" s="7" t="s">
        <v>368</v>
      </c>
    </row>
    <row r="374" spans="1:40" ht="22.5" customHeight="1" x14ac:dyDescent="0.2">
      <c r="A374" s="6">
        <v>46007.65228303241</v>
      </c>
      <c r="B374" s="7" t="s">
        <v>1196</v>
      </c>
      <c r="C374" s="7">
        <v>27</v>
      </c>
      <c r="D374" s="7" t="s">
        <v>42</v>
      </c>
      <c r="E374" s="7" t="s">
        <v>58</v>
      </c>
      <c r="F374" s="7" t="s">
        <v>74</v>
      </c>
      <c r="G374" s="7" t="s">
        <v>45</v>
      </c>
      <c r="H374" s="7">
        <v>4</v>
      </c>
      <c r="I374" s="7">
        <v>1</v>
      </c>
      <c r="J374" s="7" t="s">
        <v>100</v>
      </c>
      <c r="L374" s="7" t="s">
        <v>47</v>
      </c>
      <c r="S374" s="7">
        <v>2</v>
      </c>
      <c r="T374" s="7">
        <v>8</v>
      </c>
      <c r="U374" s="7">
        <v>10</v>
      </c>
      <c r="AE374" s="7">
        <v>780</v>
      </c>
      <c r="AF374" s="7" t="s">
        <v>276</v>
      </c>
      <c r="AG374" s="7" t="s">
        <v>284</v>
      </c>
      <c r="AH374" s="7">
        <v>4</v>
      </c>
      <c r="AI374" s="7" t="s">
        <v>255</v>
      </c>
      <c r="AJ374" s="7" t="s">
        <v>85</v>
      </c>
      <c r="AK374" s="7" t="s">
        <v>256</v>
      </c>
      <c r="AL374" s="7" t="s">
        <v>68</v>
      </c>
      <c r="AN374" s="7" t="s">
        <v>259</v>
      </c>
    </row>
    <row r="375" spans="1:40" ht="22.5" customHeight="1" x14ac:dyDescent="0.2">
      <c r="A375" s="6">
        <v>46007.653701631949</v>
      </c>
      <c r="B375" s="7" t="s">
        <v>1197</v>
      </c>
      <c r="C375" s="7">
        <v>60</v>
      </c>
      <c r="D375" s="7" t="s">
        <v>73</v>
      </c>
      <c r="E375" s="7" t="s">
        <v>43</v>
      </c>
      <c r="F375" s="7" t="s">
        <v>44</v>
      </c>
      <c r="G375" s="7" t="s">
        <v>60</v>
      </c>
      <c r="H375" s="7">
        <v>4</v>
      </c>
      <c r="I375" s="7">
        <v>1</v>
      </c>
      <c r="J375" s="7" t="s">
        <v>988</v>
      </c>
      <c r="N375" s="7" t="s">
        <v>47</v>
      </c>
      <c r="Y375" s="7">
        <v>22</v>
      </c>
      <c r="Z375" s="7">
        <v>48</v>
      </c>
      <c r="AA375" s="7">
        <v>85</v>
      </c>
      <c r="AE375" s="7">
        <v>8300</v>
      </c>
      <c r="AF375" s="7" t="s">
        <v>252</v>
      </c>
      <c r="AG375" s="7" t="s">
        <v>361</v>
      </c>
      <c r="AH375" s="7">
        <v>6</v>
      </c>
      <c r="AI375" s="7" t="s">
        <v>296</v>
      </c>
      <c r="AJ375" s="7" t="s">
        <v>85</v>
      </c>
      <c r="AK375" s="7" t="s">
        <v>256</v>
      </c>
      <c r="AL375" s="7" t="s">
        <v>68</v>
      </c>
      <c r="AN375" s="7" t="s">
        <v>259</v>
      </c>
    </row>
    <row r="376" spans="1:40" ht="22.5" customHeight="1" x14ac:dyDescent="0.2">
      <c r="A376" s="6">
        <v>46007.655030439812</v>
      </c>
      <c r="B376" s="7" t="s">
        <v>1198</v>
      </c>
      <c r="C376" s="7">
        <v>31</v>
      </c>
      <c r="D376" s="7" t="s">
        <v>73</v>
      </c>
      <c r="E376" s="7" t="s">
        <v>43</v>
      </c>
      <c r="F376" s="7" t="s">
        <v>138</v>
      </c>
      <c r="G376" s="7" t="s">
        <v>45</v>
      </c>
      <c r="H376" s="7">
        <v>4</v>
      </c>
      <c r="I376" s="7">
        <v>2</v>
      </c>
      <c r="J376" s="7" t="s">
        <v>246</v>
      </c>
      <c r="K376" s="7" t="s">
        <v>47</v>
      </c>
      <c r="M376" s="7" t="s">
        <v>47</v>
      </c>
      <c r="P376" s="7">
        <v>6</v>
      </c>
      <c r="Q376" s="7">
        <v>8</v>
      </c>
      <c r="R376" s="7">
        <v>5</v>
      </c>
      <c r="V376" s="7">
        <v>5</v>
      </c>
      <c r="W376" s="7">
        <v>26</v>
      </c>
      <c r="X376" s="7">
        <v>24</v>
      </c>
      <c r="AE376" s="7">
        <v>4000</v>
      </c>
      <c r="AF376" s="7" t="s">
        <v>159</v>
      </c>
      <c r="AG376" s="7" t="s">
        <v>317</v>
      </c>
      <c r="AH376" s="7">
        <v>13</v>
      </c>
      <c r="AI376" s="7" t="s">
        <v>255</v>
      </c>
      <c r="AJ376" s="7" t="s">
        <v>85</v>
      </c>
      <c r="AK376" s="7" t="s">
        <v>256</v>
      </c>
      <c r="AL376" s="7" t="s">
        <v>68</v>
      </c>
      <c r="AN376" s="7" t="s">
        <v>684</v>
      </c>
    </row>
    <row r="377" spans="1:40" ht="22.5" customHeight="1" x14ac:dyDescent="0.2">
      <c r="A377" s="6">
        <v>46007.65575662037</v>
      </c>
      <c r="B377" s="7" t="s">
        <v>1199</v>
      </c>
      <c r="C377" s="7">
        <v>40</v>
      </c>
      <c r="D377" s="7" t="s">
        <v>42</v>
      </c>
      <c r="E377" s="7" t="s">
        <v>43</v>
      </c>
      <c r="F377" s="7" t="s">
        <v>144</v>
      </c>
      <c r="G377" s="7" t="s">
        <v>89</v>
      </c>
      <c r="H377" s="7">
        <v>5</v>
      </c>
      <c r="I377" s="7">
        <v>1</v>
      </c>
      <c r="J377" s="7" t="s">
        <v>100</v>
      </c>
      <c r="L377" s="7" t="s">
        <v>47</v>
      </c>
      <c r="S377" s="7">
        <v>6</v>
      </c>
      <c r="T377" s="7">
        <v>5</v>
      </c>
      <c r="U377" s="7">
        <v>4</v>
      </c>
      <c r="AE377" s="7">
        <v>520</v>
      </c>
      <c r="AF377" s="7" t="s">
        <v>323</v>
      </c>
      <c r="AG377" s="7" t="s">
        <v>295</v>
      </c>
      <c r="AH377" s="7">
        <v>4</v>
      </c>
      <c r="AI377" s="7" t="s">
        <v>255</v>
      </c>
      <c r="AJ377" s="7" t="s">
        <v>85</v>
      </c>
      <c r="AK377" s="7" t="s">
        <v>325</v>
      </c>
      <c r="AL377" s="7" t="s">
        <v>257</v>
      </c>
      <c r="AM377" s="7" t="s">
        <v>278</v>
      </c>
    </row>
    <row r="378" spans="1:40" ht="22.5" customHeight="1" x14ac:dyDescent="0.2">
      <c r="A378" s="6">
        <v>46007.658399722219</v>
      </c>
      <c r="B378" s="7" t="s">
        <v>1200</v>
      </c>
      <c r="C378" s="7">
        <v>28</v>
      </c>
      <c r="D378" s="7" t="s">
        <v>73</v>
      </c>
      <c r="E378" s="7" t="s">
        <v>43</v>
      </c>
      <c r="F378" s="7" t="s">
        <v>74</v>
      </c>
      <c r="G378" s="7" t="s">
        <v>45</v>
      </c>
      <c r="H378" s="7">
        <v>5</v>
      </c>
      <c r="I378" s="7">
        <v>1</v>
      </c>
      <c r="J378" s="7" t="s">
        <v>46</v>
      </c>
      <c r="K378" s="7" t="s">
        <v>47</v>
      </c>
      <c r="P378" s="7">
        <v>2</v>
      </c>
      <c r="Q378" s="7">
        <v>21</v>
      </c>
      <c r="R378" s="7">
        <v>12</v>
      </c>
      <c r="AE378" s="7">
        <v>1500</v>
      </c>
      <c r="AF378" s="7" t="s">
        <v>252</v>
      </c>
      <c r="AG378" s="7" t="s">
        <v>295</v>
      </c>
      <c r="AH378" s="7">
        <v>11</v>
      </c>
      <c r="AI378" s="7" t="s">
        <v>255</v>
      </c>
      <c r="AJ378" s="7" t="s">
        <v>85</v>
      </c>
      <c r="AK378" s="7" t="s">
        <v>335</v>
      </c>
      <c r="AL378" s="7" t="s">
        <v>257</v>
      </c>
      <c r="AM378" s="7" t="s">
        <v>278</v>
      </c>
    </row>
    <row r="379" spans="1:40" ht="22.5" customHeight="1" x14ac:dyDescent="0.2">
      <c r="A379" s="6">
        <v>46007.659531412035</v>
      </c>
      <c r="B379" s="7" t="s">
        <v>1201</v>
      </c>
      <c r="C379" s="7">
        <v>50</v>
      </c>
      <c r="D379" s="7" t="s">
        <v>73</v>
      </c>
      <c r="E379" s="7" t="s">
        <v>43</v>
      </c>
      <c r="F379" s="7" t="s">
        <v>74</v>
      </c>
      <c r="G379" s="7" t="s">
        <v>60</v>
      </c>
      <c r="H379" s="7">
        <v>4</v>
      </c>
      <c r="I379" s="7">
        <v>2</v>
      </c>
      <c r="J379" s="7" t="s">
        <v>246</v>
      </c>
      <c r="K379" s="7" t="s">
        <v>47</v>
      </c>
      <c r="M379" s="7" t="s">
        <v>47</v>
      </c>
      <c r="P379" s="7">
        <v>10</v>
      </c>
      <c r="Q379" s="7">
        <v>6</v>
      </c>
      <c r="R379" s="7">
        <v>4</v>
      </c>
      <c r="V379" s="7">
        <v>7</v>
      </c>
      <c r="W379" s="7">
        <v>20</v>
      </c>
      <c r="X379" s="7">
        <v>19</v>
      </c>
      <c r="AE379" s="7">
        <v>330</v>
      </c>
      <c r="AF379" s="7" t="s">
        <v>857</v>
      </c>
      <c r="AG379" s="7" t="s">
        <v>295</v>
      </c>
      <c r="AH379" s="7">
        <v>10</v>
      </c>
      <c r="AI379" s="7" t="s">
        <v>255</v>
      </c>
      <c r="AJ379" s="7" t="s">
        <v>362</v>
      </c>
      <c r="AK379" s="7" t="s">
        <v>307</v>
      </c>
      <c r="AL379" s="7" t="s">
        <v>68</v>
      </c>
      <c r="AN379" s="7" t="s">
        <v>1202</v>
      </c>
    </row>
    <row r="380" spans="1:40" ht="22.5" customHeight="1" x14ac:dyDescent="0.2">
      <c r="A380" s="6">
        <v>46007.660446273148</v>
      </c>
      <c r="B380" s="7" t="s">
        <v>1203</v>
      </c>
      <c r="C380" s="7">
        <v>21</v>
      </c>
      <c r="D380" s="7" t="s">
        <v>42</v>
      </c>
      <c r="E380" s="7" t="s">
        <v>43</v>
      </c>
      <c r="F380" s="7" t="s">
        <v>562</v>
      </c>
      <c r="G380" s="7" t="s">
        <v>182</v>
      </c>
      <c r="H380" s="7">
        <v>5</v>
      </c>
      <c r="I380" s="7">
        <v>1</v>
      </c>
      <c r="J380" s="7" t="s">
        <v>100</v>
      </c>
      <c r="L380" s="7" t="s">
        <v>47</v>
      </c>
      <c r="S380" s="7">
        <v>1</v>
      </c>
      <c r="T380" s="7">
        <v>7</v>
      </c>
      <c r="U380" s="7">
        <v>4</v>
      </c>
      <c r="AE380" s="7">
        <v>520</v>
      </c>
      <c r="AF380" s="7" t="s">
        <v>323</v>
      </c>
      <c r="AG380" s="7" t="s">
        <v>295</v>
      </c>
      <c r="AH380" s="7">
        <v>4</v>
      </c>
      <c r="AI380" s="7" t="s">
        <v>285</v>
      </c>
      <c r="AJ380" s="7" t="s">
        <v>277</v>
      </c>
      <c r="AK380" s="7" t="s">
        <v>256</v>
      </c>
      <c r="AL380" s="7" t="s">
        <v>68</v>
      </c>
      <c r="AN380" s="7" t="s">
        <v>259</v>
      </c>
    </row>
    <row r="381" spans="1:40" ht="22.5" customHeight="1" x14ac:dyDescent="0.2">
      <c r="A381" s="6">
        <v>46007.661297673607</v>
      </c>
      <c r="B381" s="7" t="s">
        <v>1204</v>
      </c>
      <c r="C381" s="7">
        <v>62</v>
      </c>
      <c r="D381" s="7" t="s">
        <v>73</v>
      </c>
      <c r="E381" s="7" t="s">
        <v>43</v>
      </c>
      <c r="F381" s="7" t="s">
        <v>44</v>
      </c>
      <c r="G381" s="7" t="s">
        <v>45</v>
      </c>
      <c r="H381" s="7">
        <v>5</v>
      </c>
      <c r="I381" s="7">
        <v>1</v>
      </c>
      <c r="J381" s="7" t="s">
        <v>988</v>
      </c>
      <c r="N381" s="7" t="s">
        <v>291</v>
      </c>
      <c r="Y381" s="7">
        <v>24</v>
      </c>
      <c r="Z381" s="7">
        <v>55</v>
      </c>
      <c r="AA381" s="7">
        <v>90</v>
      </c>
      <c r="AE381" s="7">
        <v>9000</v>
      </c>
      <c r="AF381" s="7" t="s">
        <v>252</v>
      </c>
      <c r="AG381" s="7" t="s">
        <v>361</v>
      </c>
      <c r="AH381" s="7">
        <v>5</v>
      </c>
      <c r="AI381" s="7" t="s">
        <v>296</v>
      </c>
      <c r="AJ381" s="7" t="s">
        <v>85</v>
      </c>
      <c r="AK381" s="7" t="s">
        <v>256</v>
      </c>
      <c r="AL381" s="7" t="s">
        <v>257</v>
      </c>
      <c r="AM381" s="7" t="s">
        <v>278</v>
      </c>
    </row>
    <row r="382" spans="1:40" ht="22.5" customHeight="1" x14ac:dyDescent="0.2">
      <c r="A382" s="6">
        <v>46007.663135289353</v>
      </c>
      <c r="B382" s="7" t="s">
        <v>1205</v>
      </c>
      <c r="C382" s="7">
        <v>34</v>
      </c>
      <c r="D382" s="7" t="s">
        <v>73</v>
      </c>
      <c r="E382" s="7" t="s">
        <v>58</v>
      </c>
      <c r="F382" s="7" t="s">
        <v>74</v>
      </c>
      <c r="G382" s="7" t="s">
        <v>45</v>
      </c>
      <c r="H382" s="7">
        <v>3</v>
      </c>
      <c r="I382" s="7">
        <v>2</v>
      </c>
      <c r="J382" s="7" t="s">
        <v>1102</v>
      </c>
      <c r="K382" s="7" t="s">
        <v>47</v>
      </c>
      <c r="O382" s="7" t="s">
        <v>353</v>
      </c>
      <c r="P382" s="7">
        <v>5</v>
      </c>
      <c r="Q382" s="7">
        <v>8</v>
      </c>
      <c r="R382" s="7">
        <v>5</v>
      </c>
      <c r="AB382" s="7">
        <v>65</v>
      </c>
      <c r="AC382" s="7">
        <v>22</v>
      </c>
      <c r="AD382" s="7">
        <v>1</v>
      </c>
      <c r="AE382" s="7">
        <v>2200</v>
      </c>
      <c r="AF382" s="7" t="s">
        <v>323</v>
      </c>
      <c r="AG382" s="7" t="s">
        <v>317</v>
      </c>
      <c r="AH382" s="7">
        <v>11</v>
      </c>
      <c r="AI382" s="7" t="s">
        <v>255</v>
      </c>
      <c r="AJ382" s="7" t="s">
        <v>85</v>
      </c>
      <c r="AK382" s="7" t="s">
        <v>256</v>
      </c>
      <c r="AL382" s="7" t="s">
        <v>257</v>
      </c>
      <c r="AM382" s="7" t="s">
        <v>363</v>
      </c>
    </row>
    <row r="383" spans="1:40" ht="22.5" customHeight="1" x14ac:dyDescent="0.2">
      <c r="A383" s="6">
        <v>46007.681977546294</v>
      </c>
      <c r="B383" s="7" t="s">
        <v>1206</v>
      </c>
      <c r="C383" s="7">
        <v>25</v>
      </c>
      <c r="D383" s="7" t="s">
        <v>73</v>
      </c>
      <c r="E383" s="7" t="s">
        <v>43</v>
      </c>
      <c r="F383" s="7" t="s">
        <v>74</v>
      </c>
      <c r="G383" s="7" t="s">
        <v>89</v>
      </c>
      <c r="H383" s="7">
        <v>5</v>
      </c>
      <c r="I383" s="7">
        <v>1</v>
      </c>
      <c r="J383" s="7" t="s">
        <v>46</v>
      </c>
      <c r="K383" s="7" t="s">
        <v>47</v>
      </c>
      <c r="P383" s="7">
        <v>4</v>
      </c>
      <c r="Q383" s="7">
        <v>18</v>
      </c>
      <c r="R383" s="7">
        <v>10</v>
      </c>
      <c r="AE383" s="7">
        <v>1300</v>
      </c>
      <c r="AF383" s="7" t="s">
        <v>252</v>
      </c>
      <c r="AG383" s="7" t="s">
        <v>284</v>
      </c>
      <c r="AH383" s="7">
        <v>9</v>
      </c>
      <c r="AI383" s="7" t="s">
        <v>255</v>
      </c>
      <c r="AJ383" s="7" t="s">
        <v>85</v>
      </c>
      <c r="AK383" s="7" t="s">
        <v>256</v>
      </c>
      <c r="AL383" s="7" t="s">
        <v>257</v>
      </c>
      <c r="AM383" s="7" t="s">
        <v>363</v>
      </c>
    </row>
    <row r="384" spans="1:40" ht="22.5" customHeight="1" x14ac:dyDescent="0.2">
      <c r="A384" s="6">
        <v>46007.684267488425</v>
      </c>
      <c r="B384" s="7" t="s">
        <v>1207</v>
      </c>
      <c r="C384" s="7">
        <v>24</v>
      </c>
      <c r="D384" s="7" t="s">
        <v>42</v>
      </c>
      <c r="E384" s="7" t="s">
        <v>58</v>
      </c>
      <c r="F384" s="7" t="s">
        <v>562</v>
      </c>
      <c r="G384" s="7" t="s">
        <v>182</v>
      </c>
      <c r="H384" s="7">
        <v>5</v>
      </c>
      <c r="I384" s="7">
        <v>1</v>
      </c>
      <c r="J384" s="7" t="s">
        <v>100</v>
      </c>
      <c r="L384" s="7" t="s">
        <v>47</v>
      </c>
      <c r="S384" s="7">
        <v>2</v>
      </c>
      <c r="T384" s="7">
        <v>7</v>
      </c>
      <c r="U384" s="7">
        <v>4</v>
      </c>
      <c r="AE384" s="7">
        <v>520</v>
      </c>
      <c r="AF384" s="7" t="s">
        <v>323</v>
      </c>
      <c r="AG384" s="7" t="s">
        <v>317</v>
      </c>
      <c r="AH384" s="7">
        <v>3</v>
      </c>
      <c r="AI384" s="7" t="s">
        <v>285</v>
      </c>
      <c r="AJ384" s="7" t="s">
        <v>85</v>
      </c>
      <c r="AK384" s="7" t="s">
        <v>256</v>
      </c>
      <c r="AL384" s="7" t="s">
        <v>68</v>
      </c>
      <c r="AN384" s="7" t="s">
        <v>373</v>
      </c>
    </row>
    <row r="385" spans="1:40" ht="22.5" customHeight="1" x14ac:dyDescent="0.2">
      <c r="A385" s="6">
        <v>46007.686629386575</v>
      </c>
      <c r="B385" s="7" t="s">
        <v>1208</v>
      </c>
      <c r="C385" s="7">
        <v>42</v>
      </c>
      <c r="D385" s="7" t="s">
        <v>73</v>
      </c>
      <c r="E385" s="7" t="s">
        <v>43</v>
      </c>
      <c r="F385" s="7" t="s">
        <v>172</v>
      </c>
      <c r="G385" s="7" t="s">
        <v>60</v>
      </c>
      <c r="H385" s="7">
        <v>4</v>
      </c>
      <c r="I385" s="7">
        <v>2</v>
      </c>
      <c r="J385" s="7" t="s">
        <v>246</v>
      </c>
      <c r="K385" s="7" t="s">
        <v>47</v>
      </c>
      <c r="M385" s="7" t="s">
        <v>47</v>
      </c>
      <c r="P385" s="7">
        <v>8</v>
      </c>
      <c r="Q385" s="7">
        <v>6</v>
      </c>
      <c r="R385" s="7">
        <v>4</v>
      </c>
      <c r="V385" s="7">
        <v>6</v>
      </c>
      <c r="W385" s="7">
        <v>21</v>
      </c>
      <c r="X385" s="7">
        <v>20</v>
      </c>
      <c r="AE385" s="7">
        <v>3200</v>
      </c>
      <c r="AF385" s="7" t="s">
        <v>159</v>
      </c>
      <c r="AG385" s="7" t="s">
        <v>317</v>
      </c>
      <c r="AH385" s="7">
        <v>10</v>
      </c>
      <c r="AI385" s="7" t="s">
        <v>559</v>
      </c>
      <c r="AJ385" s="7" t="s">
        <v>85</v>
      </c>
      <c r="AK385" s="7" t="s">
        <v>335</v>
      </c>
      <c r="AL385" s="7" t="s">
        <v>257</v>
      </c>
      <c r="AM385" s="7" t="s">
        <v>286</v>
      </c>
    </row>
    <row r="386" spans="1:40" ht="22.5" customHeight="1" x14ac:dyDescent="0.2">
      <c r="A386" s="6">
        <v>46007.687920787037</v>
      </c>
      <c r="B386" s="7" t="s">
        <v>1209</v>
      </c>
      <c r="C386" s="7">
        <v>22</v>
      </c>
      <c r="D386" s="7" t="s">
        <v>42</v>
      </c>
      <c r="E386" s="7" t="s">
        <v>58</v>
      </c>
      <c r="F386" s="7" t="s">
        <v>562</v>
      </c>
      <c r="G386" s="7" t="s">
        <v>182</v>
      </c>
      <c r="H386" s="7">
        <v>4</v>
      </c>
      <c r="I386" s="7">
        <v>1</v>
      </c>
      <c r="J386" s="7" t="s">
        <v>46</v>
      </c>
      <c r="K386" s="7" t="s">
        <v>47</v>
      </c>
      <c r="P386" s="7">
        <v>1</v>
      </c>
      <c r="Q386" s="7">
        <v>12</v>
      </c>
      <c r="R386" s="7">
        <v>7</v>
      </c>
      <c r="AE386" s="7">
        <v>910</v>
      </c>
      <c r="AF386" s="7" t="s">
        <v>159</v>
      </c>
      <c r="AG386" s="7" t="s">
        <v>295</v>
      </c>
      <c r="AH386" s="7">
        <v>4</v>
      </c>
      <c r="AI386" s="7" t="s">
        <v>285</v>
      </c>
      <c r="AJ386" s="7" t="s">
        <v>96</v>
      </c>
      <c r="AK386" s="7" t="s">
        <v>335</v>
      </c>
      <c r="AL386" s="7" t="s">
        <v>257</v>
      </c>
      <c r="AM386" s="7" t="s">
        <v>401</v>
      </c>
    </row>
    <row r="387" spans="1:40" ht="22.5" customHeight="1" x14ac:dyDescent="0.2">
      <c r="A387" s="6">
        <v>46007.775944490742</v>
      </c>
      <c r="B387" s="7" t="s">
        <v>1210</v>
      </c>
      <c r="C387" s="7">
        <v>57</v>
      </c>
      <c r="D387" s="7" t="s">
        <v>73</v>
      </c>
      <c r="E387" s="7" t="s">
        <v>43</v>
      </c>
      <c r="F387" s="7" t="s">
        <v>44</v>
      </c>
      <c r="G387" s="7" t="s">
        <v>60</v>
      </c>
      <c r="H387" s="7">
        <v>5</v>
      </c>
      <c r="I387" s="7">
        <v>2</v>
      </c>
      <c r="J387" s="7" t="s">
        <v>290</v>
      </c>
      <c r="K387" s="7" t="s">
        <v>47</v>
      </c>
      <c r="N387" s="7" t="s">
        <v>291</v>
      </c>
      <c r="P387" s="7">
        <v>13</v>
      </c>
      <c r="Q387" s="7">
        <v>5</v>
      </c>
      <c r="R387" s="7">
        <v>3</v>
      </c>
      <c r="Y387" s="7">
        <v>17</v>
      </c>
      <c r="Z387" s="7">
        <v>52</v>
      </c>
      <c r="AA387" s="7">
        <v>88</v>
      </c>
      <c r="AE387" s="7">
        <v>10600</v>
      </c>
      <c r="AF387" s="7" t="s">
        <v>252</v>
      </c>
      <c r="AG387" s="7" t="s">
        <v>295</v>
      </c>
      <c r="AH387" s="7">
        <v>6</v>
      </c>
      <c r="AI387" s="7" t="s">
        <v>296</v>
      </c>
      <c r="AJ387" s="7" t="s">
        <v>362</v>
      </c>
      <c r="AK387" s="7" t="s">
        <v>307</v>
      </c>
      <c r="AL387" s="7" t="s">
        <v>68</v>
      </c>
      <c r="AN387" s="7" t="s">
        <v>373</v>
      </c>
    </row>
    <row r="388" spans="1:40" ht="22.5" customHeight="1" x14ac:dyDescent="0.2">
      <c r="A388" s="6">
        <v>46007.776677488422</v>
      </c>
      <c r="B388" s="7" t="s">
        <v>1211</v>
      </c>
      <c r="C388" s="7">
        <v>27</v>
      </c>
      <c r="D388" s="7" t="s">
        <v>73</v>
      </c>
      <c r="E388" s="7" t="s">
        <v>58</v>
      </c>
      <c r="F388" s="7" t="s">
        <v>138</v>
      </c>
      <c r="G388" s="7" t="s">
        <v>45</v>
      </c>
      <c r="H388" s="7">
        <v>4</v>
      </c>
      <c r="I388" s="7">
        <v>1</v>
      </c>
      <c r="J388" s="7" t="s">
        <v>431</v>
      </c>
      <c r="M388" s="7" t="s">
        <v>47</v>
      </c>
      <c r="V388" s="7">
        <v>4</v>
      </c>
      <c r="W388" s="7">
        <v>27</v>
      </c>
      <c r="X388" s="7">
        <v>25</v>
      </c>
      <c r="AE388" s="7">
        <v>3900</v>
      </c>
      <c r="AF388" s="7" t="s">
        <v>276</v>
      </c>
      <c r="AG388" s="7" t="s">
        <v>253</v>
      </c>
      <c r="AH388" s="7">
        <v>13</v>
      </c>
      <c r="AI388" s="7" t="s">
        <v>255</v>
      </c>
      <c r="AJ388" s="7" t="s">
        <v>362</v>
      </c>
      <c r="AK388" s="7" t="s">
        <v>307</v>
      </c>
      <c r="AL388" s="7" t="s">
        <v>68</v>
      </c>
      <c r="AN388" s="7" t="s">
        <v>259</v>
      </c>
    </row>
    <row r="389" spans="1:40" ht="22.5" customHeight="1" x14ac:dyDescent="0.2">
      <c r="A389" s="6">
        <v>46007.777411608797</v>
      </c>
      <c r="B389" s="7" t="s">
        <v>1212</v>
      </c>
      <c r="C389" s="7">
        <v>28</v>
      </c>
      <c r="D389" s="7" t="s">
        <v>42</v>
      </c>
      <c r="E389" s="7" t="s">
        <v>43</v>
      </c>
      <c r="F389" s="7" t="s">
        <v>144</v>
      </c>
      <c r="G389" s="7" t="s">
        <v>89</v>
      </c>
      <c r="H389" s="7">
        <v>5</v>
      </c>
      <c r="I389" s="7">
        <v>1</v>
      </c>
      <c r="J389" s="7" t="s">
        <v>100</v>
      </c>
      <c r="L389" s="7" t="s">
        <v>47</v>
      </c>
      <c r="S389" s="7">
        <v>5</v>
      </c>
      <c r="T389" s="7">
        <v>4</v>
      </c>
      <c r="U389" s="7">
        <v>3</v>
      </c>
      <c r="AE389" s="7">
        <v>350</v>
      </c>
      <c r="AF389" s="7" t="s">
        <v>323</v>
      </c>
      <c r="AG389" s="7" t="s">
        <v>284</v>
      </c>
      <c r="AH389" s="7">
        <v>2</v>
      </c>
      <c r="AI389" s="7" t="s">
        <v>344</v>
      </c>
      <c r="AJ389" s="7" t="s">
        <v>362</v>
      </c>
      <c r="AK389" s="7" t="s">
        <v>307</v>
      </c>
      <c r="AL389" s="7" t="s">
        <v>68</v>
      </c>
      <c r="AN389" s="7" t="s">
        <v>684</v>
      </c>
    </row>
    <row r="390" spans="1:40" ht="22.5" customHeight="1" x14ac:dyDescent="0.2">
      <c r="A390" s="6">
        <v>46007.778509710653</v>
      </c>
      <c r="B390" s="7" t="s">
        <v>1213</v>
      </c>
      <c r="C390" s="7">
        <v>40</v>
      </c>
      <c r="D390" s="7" t="s">
        <v>73</v>
      </c>
      <c r="E390" s="7" t="s">
        <v>58</v>
      </c>
      <c r="F390" s="7" t="s">
        <v>172</v>
      </c>
      <c r="G390" s="7" t="s">
        <v>45</v>
      </c>
      <c r="H390" s="7">
        <v>4</v>
      </c>
      <c r="I390" s="7">
        <v>2</v>
      </c>
      <c r="J390" s="7" t="s">
        <v>246</v>
      </c>
      <c r="K390" s="7" t="s">
        <v>47</v>
      </c>
      <c r="M390" s="7" t="s">
        <v>47</v>
      </c>
      <c r="P390" s="7">
        <v>7</v>
      </c>
      <c r="Q390" s="7">
        <v>8</v>
      </c>
      <c r="R390" s="7">
        <v>5</v>
      </c>
      <c r="V390" s="7">
        <v>5</v>
      </c>
      <c r="W390" s="7">
        <v>23</v>
      </c>
      <c r="X390" s="7">
        <v>21</v>
      </c>
      <c r="AE390" s="7">
        <v>3700</v>
      </c>
      <c r="AF390" s="7" t="s">
        <v>252</v>
      </c>
      <c r="AG390" s="7" t="s">
        <v>284</v>
      </c>
      <c r="AH390" s="7">
        <v>11</v>
      </c>
      <c r="AI390" s="7" t="s">
        <v>559</v>
      </c>
      <c r="AJ390" s="7" t="s">
        <v>85</v>
      </c>
      <c r="AK390" s="7" t="s">
        <v>335</v>
      </c>
      <c r="AL390" s="7" t="s">
        <v>257</v>
      </c>
      <c r="AM390" s="7" t="s">
        <v>363</v>
      </c>
    </row>
    <row r="391" spans="1:40" ht="22.5" customHeight="1" x14ac:dyDescent="0.2">
      <c r="A391" s="6">
        <v>46007.779240868054</v>
      </c>
      <c r="B391" s="7" t="s">
        <v>1214</v>
      </c>
      <c r="C391" s="7">
        <v>34</v>
      </c>
      <c r="D391" s="7" t="s">
        <v>42</v>
      </c>
      <c r="E391" s="7" t="s">
        <v>58</v>
      </c>
      <c r="F391" s="7" t="s">
        <v>74</v>
      </c>
      <c r="G391" s="7" t="s">
        <v>45</v>
      </c>
      <c r="H391" s="7">
        <v>4</v>
      </c>
      <c r="I391" s="7">
        <v>1</v>
      </c>
      <c r="J391" s="7" t="s">
        <v>46</v>
      </c>
      <c r="K391" s="7" t="s">
        <v>47</v>
      </c>
      <c r="P391" s="7">
        <v>5</v>
      </c>
      <c r="Q391" s="7">
        <v>17</v>
      </c>
      <c r="R391" s="7">
        <v>10</v>
      </c>
      <c r="AE391" s="7">
        <v>1300</v>
      </c>
      <c r="AF391" s="7" t="s">
        <v>252</v>
      </c>
      <c r="AG391" s="7" t="s">
        <v>317</v>
      </c>
      <c r="AH391" s="7">
        <v>8</v>
      </c>
      <c r="AI391" s="7" t="s">
        <v>255</v>
      </c>
      <c r="AJ391" s="7" t="s">
        <v>85</v>
      </c>
      <c r="AK391" s="7" t="s">
        <v>256</v>
      </c>
      <c r="AL391" s="7" t="s">
        <v>257</v>
      </c>
      <c r="AM391" s="7" t="s">
        <v>363</v>
      </c>
    </row>
    <row r="392" spans="1:40" ht="22.5" customHeight="1" x14ac:dyDescent="0.2">
      <c r="A392" s="6">
        <v>46007.780081076387</v>
      </c>
      <c r="B392" s="7" t="s">
        <v>1215</v>
      </c>
      <c r="C392" s="7">
        <v>27</v>
      </c>
      <c r="D392" s="7" t="s">
        <v>73</v>
      </c>
      <c r="E392" s="7" t="s">
        <v>43</v>
      </c>
      <c r="F392" s="7" t="s">
        <v>74</v>
      </c>
      <c r="G392" s="7" t="s">
        <v>45</v>
      </c>
      <c r="H392" s="7">
        <v>5</v>
      </c>
      <c r="I392" s="7">
        <v>1</v>
      </c>
      <c r="J392" s="7" t="s">
        <v>46</v>
      </c>
      <c r="K392" s="7" t="s">
        <v>47</v>
      </c>
      <c r="P392" s="7">
        <v>3</v>
      </c>
      <c r="Q392" s="7">
        <v>16</v>
      </c>
      <c r="R392" s="7">
        <v>9</v>
      </c>
      <c r="AE392" s="7">
        <v>1000</v>
      </c>
      <c r="AF392" s="7" t="s">
        <v>360</v>
      </c>
      <c r="AG392" s="7" t="s">
        <v>295</v>
      </c>
      <c r="AH392" s="7">
        <v>8</v>
      </c>
      <c r="AI392" s="7" t="s">
        <v>255</v>
      </c>
      <c r="AJ392" s="7" t="s">
        <v>85</v>
      </c>
      <c r="AK392" s="7" t="s">
        <v>256</v>
      </c>
      <c r="AL392" s="7" t="s">
        <v>68</v>
      </c>
      <c r="AN392" s="7" t="s">
        <v>373</v>
      </c>
    </row>
    <row r="393" spans="1:40" ht="22.5" customHeight="1" x14ac:dyDescent="0.2">
      <c r="A393" s="6">
        <v>46007.791481782406</v>
      </c>
      <c r="B393" s="7" t="s">
        <v>1216</v>
      </c>
      <c r="C393" s="7">
        <v>29</v>
      </c>
      <c r="D393" s="7" t="s">
        <v>42</v>
      </c>
      <c r="E393" s="7" t="s">
        <v>58</v>
      </c>
      <c r="F393" s="7" t="s">
        <v>74</v>
      </c>
      <c r="G393" s="7" t="s">
        <v>45</v>
      </c>
      <c r="H393" s="7">
        <v>4</v>
      </c>
      <c r="I393" s="7">
        <v>1</v>
      </c>
      <c r="J393" s="7" t="s">
        <v>100</v>
      </c>
      <c r="L393" s="7" t="s">
        <v>47</v>
      </c>
      <c r="S393" s="7">
        <v>3</v>
      </c>
      <c r="T393" s="7">
        <v>9</v>
      </c>
      <c r="U393" s="7">
        <v>6</v>
      </c>
      <c r="AE393" s="7">
        <v>780</v>
      </c>
      <c r="AF393" s="7" t="s">
        <v>159</v>
      </c>
      <c r="AG393" s="7" t="s">
        <v>361</v>
      </c>
      <c r="AH393" s="7">
        <v>4</v>
      </c>
      <c r="AI393" s="7" t="s">
        <v>255</v>
      </c>
      <c r="AJ393" s="7" t="s">
        <v>96</v>
      </c>
      <c r="AK393" s="7" t="s">
        <v>256</v>
      </c>
      <c r="AL393" s="7" t="s">
        <v>257</v>
      </c>
      <c r="AM393" s="7" t="s">
        <v>363</v>
      </c>
    </row>
    <row r="394" spans="1:40" ht="22.5" customHeight="1" x14ac:dyDescent="0.2">
      <c r="A394" s="6">
        <v>46007.792799907409</v>
      </c>
      <c r="B394" s="7" t="s">
        <v>1217</v>
      </c>
      <c r="C394" s="7">
        <v>36</v>
      </c>
      <c r="D394" s="7" t="s">
        <v>73</v>
      </c>
      <c r="E394" s="7" t="s">
        <v>58</v>
      </c>
      <c r="F394" s="7" t="s">
        <v>172</v>
      </c>
      <c r="G394" s="7" t="s">
        <v>45</v>
      </c>
      <c r="H394" s="7">
        <v>4</v>
      </c>
      <c r="I394" s="7">
        <v>2</v>
      </c>
      <c r="J394" s="7" t="s">
        <v>246</v>
      </c>
      <c r="K394" s="7" t="s">
        <v>47</v>
      </c>
      <c r="M394" s="7" t="s">
        <v>47</v>
      </c>
      <c r="P394" s="7">
        <v>6</v>
      </c>
      <c r="Q394" s="7">
        <v>7</v>
      </c>
      <c r="R394" s="7">
        <v>5</v>
      </c>
      <c r="V394" s="7">
        <v>5</v>
      </c>
      <c r="W394" s="7">
        <v>23</v>
      </c>
      <c r="X394" s="7">
        <v>21</v>
      </c>
      <c r="AE394" s="7">
        <v>3800</v>
      </c>
      <c r="AF394" s="7" t="s">
        <v>159</v>
      </c>
      <c r="AG394" s="7" t="s">
        <v>317</v>
      </c>
      <c r="AH394" s="7">
        <v>11</v>
      </c>
      <c r="AI394" s="7" t="s">
        <v>559</v>
      </c>
      <c r="AJ394" s="7" t="s">
        <v>362</v>
      </c>
      <c r="AK394" s="7" t="s">
        <v>307</v>
      </c>
      <c r="AL394" s="7" t="s">
        <v>68</v>
      </c>
      <c r="AN394" s="7" t="s">
        <v>460</v>
      </c>
    </row>
    <row r="395" spans="1:40" ht="22.5" customHeight="1" x14ac:dyDescent="0.2">
      <c r="A395" s="6">
        <v>46007.801833680554</v>
      </c>
      <c r="B395" s="7" t="s">
        <v>1218</v>
      </c>
      <c r="C395" s="7">
        <v>28</v>
      </c>
      <c r="D395" s="7" t="s">
        <v>73</v>
      </c>
      <c r="E395" s="7" t="s">
        <v>43</v>
      </c>
      <c r="F395" s="7" t="s">
        <v>44</v>
      </c>
      <c r="G395" s="7" t="s">
        <v>45</v>
      </c>
      <c r="H395" s="7">
        <v>4</v>
      </c>
      <c r="I395" s="7">
        <v>1</v>
      </c>
      <c r="J395" s="7" t="s">
        <v>46</v>
      </c>
      <c r="K395" s="7" t="s">
        <v>47</v>
      </c>
      <c r="P395" s="7">
        <v>11</v>
      </c>
      <c r="Q395" s="7">
        <v>6</v>
      </c>
      <c r="R395" s="7">
        <v>4</v>
      </c>
      <c r="AE395" s="7">
        <v>520</v>
      </c>
      <c r="AF395" s="7" t="s">
        <v>252</v>
      </c>
      <c r="AG395" s="7" t="s">
        <v>361</v>
      </c>
      <c r="AH395" s="7">
        <v>3</v>
      </c>
      <c r="AI395" s="7" t="s">
        <v>296</v>
      </c>
      <c r="AJ395" s="7" t="s">
        <v>85</v>
      </c>
      <c r="AK395" s="7" t="s">
        <v>256</v>
      </c>
      <c r="AL395" s="7" t="s">
        <v>68</v>
      </c>
      <c r="AN395" s="7" t="s">
        <v>259</v>
      </c>
    </row>
    <row r="396" spans="1:40" ht="22.5" customHeight="1" x14ac:dyDescent="0.2">
      <c r="A396" s="6">
        <v>46007.826458449075</v>
      </c>
      <c r="B396" s="7" t="s">
        <v>1219</v>
      </c>
      <c r="C396" s="7">
        <v>21</v>
      </c>
      <c r="D396" s="7" t="s">
        <v>42</v>
      </c>
      <c r="E396" s="7" t="s">
        <v>58</v>
      </c>
      <c r="F396" s="7" t="s">
        <v>562</v>
      </c>
      <c r="G396" s="7" t="s">
        <v>182</v>
      </c>
      <c r="H396" s="7">
        <v>4</v>
      </c>
      <c r="I396" s="7">
        <v>1</v>
      </c>
      <c r="J396" s="7" t="s">
        <v>46</v>
      </c>
      <c r="K396" s="7" t="s">
        <v>47</v>
      </c>
      <c r="P396" s="7">
        <v>2</v>
      </c>
      <c r="Q396" s="7">
        <v>13</v>
      </c>
      <c r="R396" s="7">
        <v>8</v>
      </c>
      <c r="AE396" s="7">
        <v>900</v>
      </c>
      <c r="AF396" s="7" t="s">
        <v>159</v>
      </c>
      <c r="AG396" s="7" t="s">
        <v>284</v>
      </c>
      <c r="AH396" s="7">
        <v>4</v>
      </c>
      <c r="AI396" s="7" t="s">
        <v>285</v>
      </c>
      <c r="AJ396" s="7" t="s">
        <v>85</v>
      </c>
      <c r="AK396" s="7" t="s">
        <v>256</v>
      </c>
      <c r="AL396" s="7" t="s">
        <v>257</v>
      </c>
      <c r="AM396" s="7" t="s">
        <v>286</v>
      </c>
    </row>
    <row r="397" spans="1:40" ht="22.5" customHeight="1" x14ac:dyDescent="0.2">
      <c r="A397" s="6">
        <v>46007.830492083333</v>
      </c>
      <c r="B397" s="7" t="s">
        <v>1220</v>
      </c>
      <c r="C397" s="7">
        <v>54</v>
      </c>
      <c r="D397" s="7" t="s">
        <v>73</v>
      </c>
      <c r="E397" s="7" t="s">
        <v>43</v>
      </c>
      <c r="F397" s="7" t="s">
        <v>44</v>
      </c>
      <c r="G397" s="7" t="s">
        <v>45</v>
      </c>
      <c r="H397" s="7">
        <v>6</v>
      </c>
      <c r="I397" s="7">
        <v>2</v>
      </c>
      <c r="J397" s="7" t="s">
        <v>290</v>
      </c>
      <c r="K397" s="7" t="s">
        <v>47</v>
      </c>
      <c r="N397" s="7" t="s">
        <v>291</v>
      </c>
      <c r="P397" s="7">
        <v>14</v>
      </c>
      <c r="Q397" s="7">
        <v>5</v>
      </c>
      <c r="R397" s="7">
        <v>3</v>
      </c>
      <c r="Y397" s="7">
        <v>19</v>
      </c>
      <c r="Z397" s="7">
        <v>50</v>
      </c>
      <c r="AA397" s="7">
        <v>80</v>
      </c>
      <c r="AE397" s="7">
        <v>9900</v>
      </c>
      <c r="AF397" s="7" t="s">
        <v>252</v>
      </c>
      <c r="AG397" s="7" t="s">
        <v>253</v>
      </c>
      <c r="AH397" s="7">
        <v>6</v>
      </c>
      <c r="AI397" s="7" t="s">
        <v>296</v>
      </c>
      <c r="AJ397" s="7" t="s">
        <v>85</v>
      </c>
      <c r="AK397" s="7" t="s">
        <v>256</v>
      </c>
      <c r="AL397" s="7" t="s">
        <v>68</v>
      </c>
      <c r="AN397" s="7" t="s">
        <v>684</v>
      </c>
    </row>
    <row r="398" spans="1:40" ht="22.5" customHeight="1" x14ac:dyDescent="0.2">
      <c r="A398" s="6">
        <v>46007.831628854168</v>
      </c>
      <c r="B398" s="7" t="s">
        <v>1221</v>
      </c>
      <c r="C398" s="7">
        <v>33</v>
      </c>
      <c r="D398" s="7" t="s">
        <v>73</v>
      </c>
      <c r="E398" s="7" t="s">
        <v>43</v>
      </c>
      <c r="F398" s="7" t="s">
        <v>74</v>
      </c>
      <c r="G398" s="7" t="s">
        <v>45</v>
      </c>
      <c r="H398" s="7">
        <v>3</v>
      </c>
      <c r="I398" s="7">
        <v>1</v>
      </c>
      <c r="J398" s="7" t="s">
        <v>46</v>
      </c>
      <c r="K398" s="7" t="s">
        <v>47</v>
      </c>
      <c r="P398" s="7">
        <v>4</v>
      </c>
      <c r="Q398" s="7">
        <v>20</v>
      </c>
      <c r="R398" s="7">
        <v>11</v>
      </c>
      <c r="AE398" s="7">
        <v>11430</v>
      </c>
      <c r="AF398" s="7" t="s">
        <v>252</v>
      </c>
      <c r="AG398" s="7" t="s">
        <v>253</v>
      </c>
      <c r="AH398" s="7">
        <v>10</v>
      </c>
      <c r="AI398" s="7" t="s">
        <v>255</v>
      </c>
      <c r="AJ398" s="7" t="s">
        <v>85</v>
      </c>
      <c r="AK398" s="7" t="s">
        <v>256</v>
      </c>
      <c r="AL398" s="7" t="s">
        <v>152</v>
      </c>
      <c r="AM398" s="7" t="s">
        <v>401</v>
      </c>
    </row>
    <row r="399" spans="1:40" ht="22.5" customHeight="1" x14ac:dyDescent="0.2">
      <c r="A399" s="6">
        <v>46007.832760486112</v>
      </c>
      <c r="B399" s="7" t="s">
        <v>1222</v>
      </c>
      <c r="C399" s="7">
        <v>41</v>
      </c>
      <c r="D399" s="7" t="s">
        <v>42</v>
      </c>
      <c r="E399" s="7" t="s">
        <v>43</v>
      </c>
      <c r="F399" s="7" t="s">
        <v>44</v>
      </c>
      <c r="G399" s="7" t="s">
        <v>45</v>
      </c>
      <c r="H399" s="7">
        <v>5</v>
      </c>
      <c r="I399" s="7">
        <v>1</v>
      </c>
      <c r="J399" s="7" t="s">
        <v>100</v>
      </c>
      <c r="L399" s="7" t="s">
        <v>47</v>
      </c>
      <c r="S399" s="7">
        <v>7</v>
      </c>
      <c r="T399" s="7">
        <v>4</v>
      </c>
      <c r="U399" s="7">
        <v>3</v>
      </c>
      <c r="AE399" s="7">
        <v>390</v>
      </c>
      <c r="AF399" s="7" t="s">
        <v>323</v>
      </c>
      <c r="AG399" s="7" t="s">
        <v>284</v>
      </c>
      <c r="AH399" s="7">
        <v>3</v>
      </c>
      <c r="AI399" s="7" t="s">
        <v>344</v>
      </c>
      <c r="AJ399" s="7" t="s">
        <v>277</v>
      </c>
      <c r="AK399" s="7" t="s">
        <v>335</v>
      </c>
      <c r="AL399" s="7" t="s">
        <v>257</v>
      </c>
      <c r="AM399" s="7" t="s">
        <v>368</v>
      </c>
    </row>
    <row r="400" spans="1:40" ht="22.5" customHeight="1" x14ac:dyDescent="0.2">
      <c r="A400" s="6">
        <v>46007.834265833335</v>
      </c>
      <c r="B400" s="7" t="s">
        <v>1223</v>
      </c>
      <c r="C400" s="7">
        <v>39</v>
      </c>
      <c r="D400" s="7" t="s">
        <v>73</v>
      </c>
      <c r="E400" s="7" t="s">
        <v>58</v>
      </c>
      <c r="F400" s="7" t="s">
        <v>74</v>
      </c>
      <c r="G400" s="7" t="s">
        <v>45</v>
      </c>
      <c r="H400" s="7">
        <v>5</v>
      </c>
      <c r="I400" s="7">
        <v>2</v>
      </c>
      <c r="J400" s="7" t="s">
        <v>246</v>
      </c>
      <c r="K400" s="7" t="s">
        <v>47</v>
      </c>
      <c r="M400" s="7" t="s">
        <v>47</v>
      </c>
      <c r="P400" s="7">
        <v>6</v>
      </c>
      <c r="Q400" s="7">
        <v>4</v>
      </c>
      <c r="R400" s="7">
        <v>5</v>
      </c>
      <c r="V400" s="7">
        <v>4</v>
      </c>
      <c r="W400" s="7">
        <v>24</v>
      </c>
      <c r="X400" s="7">
        <v>23</v>
      </c>
      <c r="AE400" s="7">
        <v>4000</v>
      </c>
      <c r="AF400" s="7" t="s">
        <v>276</v>
      </c>
      <c r="AG400" s="7" t="s">
        <v>295</v>
      </c>
      <c r="AH400" s="7">
        <v>12</v>
      </c>
      <c r="AI400" s="7" t="s">
        <v>255</v>
      </c>
      <c r="AJ400" s="7" t="s">
        <v>85</v>
      </c>
      <c r="AK400" s="7" t="s">
        <v>256</v>
      </c>
      <c r="AL400" s="7" t="s">
        <v>257</v>
      </c>
      <c r="AM400" s="7" t="s">
        <v>278</v>
      </c>
    </row>
    <row r="401" spans="1:41" ht="22.5" customHeight="1" x14ac:dyDescent="0.2">
      <c r="A401" s="6">
        <v>46007.835334791671</v>
      </c>
      <c r="B401" s="7" t="s">
        <v>1224</v>
      </c>
      <c r="C401" s="7">
        <v>46</v>
      </c>
      <c r="D401" s="7" t="s">
        <v>73</v>
      </c>
      <c r="E401" s="7" t="s">
        <v>43</v>
      </c>
      <c r="F401" s="7" t="s">
        <v>172</v>
      </c>
      <c r="G401" s="7" t="s">
        <v>60</v>
      </c>
      <c r="H401" s="7">
        <v>4</v>
      </c>
      <c r="I401" s="7">
        <v>1</v>
      </c>
      <c r="J401" s="7" t="s">
        <v>431</v>
      </c>
      <c r="M401" s="7" t="s">
        <v>47</v>
      </c>
      <c r="V401" s="7">
        <v>9</v>
      </c>
      <c r="W401" s="7">
        <v>19</v>
      </c>
      <c r="X401" s="7">
        <v>18</v>
      </c>
      <c r="AE401" s="7">
        <v>2900</v>
      </c>
      <c r="AF401" s="7" t="s">
        <v>360</v>
      </c>
      <c r="AG401" s="7" t="s">
        <v>295</v>
      </c>
      <c r="AH401" s="7">
        <v>9</v>
      </c>
      <c r="AI401" s="7" t="s">
        <v>559</v>
      </c>
      <c r="AJ401" s="7" t="s">
        <v>362</v>
      </c>
      <c r="AK401" s="7" t="s">
        <v>307</v>
      </c>
      <c r="AL401" s="7" t="s">
        <v>257</v>
      </c>
      <c r="AM401" s="7" t="s">
        <v>258</v>
      </c>
    </row>
    <row r="402" spans="1:41" ht="22.5" customHeight="1" x14ac:dyDescent="0.2">
      <c r="A402" s="6">
        <v>46007.8364387037</v>
      </c>
      <c r="B402" s="7" t="s">
        <v>1225</v>
      </c>
      <c r="C402" s="7">
        <v>26</v>
      </c>
      <c r="D402" s="7" t="s">
        <v>42</v>
      </c>
      <c r="E402" s="7" t="s">
        <v>58</v>
      </c>
      <c r="F402" s="7" t="s">
        <v>74</v>
      </c>
      <c r="G402" s="7" t="s">
        <v>45</v>
      </c>
      <c r="H402" s="7">
        <v>4</v>
      </c>
      <c r="I402" s="7">
        <v>1</v>
      </c>
      <c r="J402" s="7" t="s">
        <v>100</v>
      </c>
      <c r="L402" s="7" t="s">
        <v>47</v>
      </c>
      <c r="S402" s="7">
        <v>3</v>
      </c>
      <c r="T402" s="7">
        <v>15</v>
      </c>
      <c r="U402" s="7">
        <v>9</v>
      </c>
      <c r="AE402" s="7">
        <v>1070</v>
      </c>
      <c r="AF402" s="7" t="s">
        <v>252</v>
      </c>
      <c r="AG402" s="7" t="s">
        <v>361</v>
      </c>
      <c r="AH402" s="7">
        <v>7</v>
      </c>
      <c r="AI402" s="7" t="s">
        <v>255</v>
      </c>
      <c r="AJ402" s="7" t="s">
        <v>96</v>
      </c>
      <c r="AK402" s="7" t="s">
        <v>335</v>
      </c>
      <c r="AL402" s="7" t="s">
        <v>68</v>
      </c>
      <c r="AN402" s="7" t="s">
        <v>373</v>
      </c>
    </row>
    <row r="403" spans="1:41" ht="22.5" customHeight="1" x14ac:dyDescent="0.2">
      <c r="A403" s="6">
        <v>46008.397060891206</v>
      </c>
      <c r="B403" s="7" t="s">
        <v>1226</v>
      </c>
      <c r="C403" s="7">
        <v>21</v>
      </c>
      <c r="D403" s="7" t="s">
        <v>42</v>
      </c>
      <c r="E403" s="7" t="s">
        <v>43</v>
      </c>
      <c r="F403" s="7" t="s">
        <v>562</v>
      </c>
      <c r="G403" s="7" t="s">
        <v>182</v>
      </c>
      <c r="H403" s="7">
        <v>4</v>
      </c>
      <c r="I403" s="7">
        <v>1</v>
      </c>
      <c r="J403" s="7" t="s">
        <v>46</v>
      </c>
      <c r="K403" s="7" t="s">
        <v>47</v>
      </c>
      <c r="P403" s="7">
        <v>6</v>
      </c>
      <c r="Q403" s="7">
        <v>10</v>
      </c>
      <c r="R403" s="7">
        <v>12</v>
      </c>
      <c r="AE403" s="7">
        <v>1300</v>
      </c>
      <c r="AF403" s="7" t="s">
        <v>252</v>
      </c>
      <c r="AG403" s="7" t="s">
        <v>295</v>
      </c>
      <c r="AH403" s="7">
        <v>5</v>
      </c>
      <c r="AI403" s="7" t="s">
        <v>285</v>
      </c>
      <c r="AJ403" s="7" t="s">
        <v>85</v>
      </c>
      <c r="AK403" s="7" t="s">
        <v>256</v>
      </c>
      <c r="AL403" s="7" t="s">
        <v>257</v>
      </c>
      <c r="AM403" s="7" t="s">
        <v>368</v>
      </c>
    </row>
    <row r="404" spans="1:41" ht="22.5" customHeight="1" x14ac:dyDescent="0.2">
      <c r="A404" s="6">
        <v>46008.398588993055</v>
      </c>
      <c r="B404" s="7" t="s">
        <v>1227</v>
      </c>
      <c r="C404" s="7">
        <v>25</v>
      </c>
      <c r="D404" s="7" t="s">
        <v>73</v>
      </c>
      <c r="E404" s="7" t="s">
        <v>43</v>
      </c>
      <c r="F404" s="7" t="s">
        <v>74</v>
      </c>
      <c r="G404" s="7" t="s">
        <v>45</v>
      </c>
      <c r="H404" s="7">
        <v>4</v>
      </c>
      <c r="I404" s="7">
        <v>2</v>
      </c>
      <c r="J404" s="7" t="s">
        <v>46</v>
      </c>
      <c r="K404" s="7" t="s">
        <v>47</v>
      </c>
      <c r="P404" s="7">
        <v>4</v>
      </c>
      <c r="Q404" s="7">
        <v>18</v>
      </c>
      <c r="R404" s="7">
        <v>22</v>
      </c>
      <c r="AE404" s="7">
        <v>2400</v>
      </c>
      <c r="AF404" s="7" t="s">
        <v>323</v>
      </c>
      <c r="AG404" s="7" t="s">
        <v>317</v>
      </c>
      <c r="AH404" s="7">
        <v>7</v>
      </c>
      <c r="AI404" s="7" t="s">
        <v>255</v>
      </c>
      <c r="AJ404" s="7" t="s">
        <v>362</v>
      </c>
      <c r="AK404" s="7" t="s">
        <v>307</v>
      </c>
      <c r="AL404" s="7" t="s">
        <v>68</v>
      </c>
      <c r="AN404" s="7" t="s">
        <v>259</v>
      </c>
    </row>
    <row r="405" spans="1:41" ht="22.5" customHeight="1" x14ac:dyDescent="0.2">
      <c r="A405" s="6">
        <v>46008.400018761575</v>
      </c>
      <c r="B405" s="7" t="s">
        <v>1228</v>
      </c>
      <c r="C405" s="7">
        <v>35</v>
      </c>
      <c r="D405" s="7" t="s">
        <v>73</v>
      </c>
      <c r="E405" s="7" t="s">
        <v>43</v>
      </c>
      <c r="F405" s="7" t="s">
        <v>172</v>
      </c>
      <c r="G405" s="7" t="s">
        <v>45</v>
      </c>
      <c r="H405" s="7">
        <v>5</v>
      </c>
      <c r="I405" s="7">
        <v>1</v>
      </c>
      <c r="J405" s="7" t="s">
        <v>46</v>
      </c>
      <c r="K405" s="7" t="s">
        <v>47</v>
      </c>
      <c r="P405" s="7">
        <v>4</v>
      </c>
      <c r="Q405" s="7">
        <v>12</v>
      </c>
      <c r="R405" s="7">
        <v>15</v>
      </c>
      <c r="AE405" s="7">
        <v>1700</v>
      </c>
      <c r="AF405" s="7" t="s">
        <v>159</v>
      </c>
      <c r="AG405" s="7" t="s">
        <v>253</v>
      </c>
      <c r="AH405" s="7">
        <v>7</v>
      </c>
      <c r="AI405" s="7" t="s">
        <v>559</v>
      </c>
      <c r="AJ405" s="7" t="s">
        <v>362</v>
      </c>
      <c r="AK405" s="7" t="s">
        <v>307</v>
      </c>
      <c r="AL405" s="7" t="s">
        <v>68</v>
      </c>
      <c r="AN405" s="7" t="s">
        <v>460</v>
      </c>
    </row>
    <row r="406" spans="1:41" ht="22.5" customHeight="1" x14ac:dyDescent="0.2">
      <c r="A406" s="6">
        <v>46008.401469317134</v>
      </c>
      <c r="B406" s="7" t="s">
        <v>1229</v>
      </c>
      <c r="C406" s="7">
        <v>25</v>
      </c>
      <c r="D406" s="7" t="s">
        <v>73</v>
      </c>
      <c r="E406" s="7" t="s">
        <v>58</v>
      </c>
      <c r="F406" s="7" t="s">
        <v>74</v>
      </c>
      <c r="G406" s="7" t="s">
        <v>45</v>
      </c>
      <c r="H406" s="7">
        <v>4</v>
      </c>
      <c r="I406" s="7">
        <v>1</v>
      </c>
      <c r="J406" s="7" t="s">
        <v>431</v>
      </c>
      <c r="M406" s="7" t="s">
        <v>47</v>
      </c>
      <c r="V406" s="7">
        <v>6</v>
      </c>
      <c r="W406" s="7">
        <v>25</v>
      </c>
      <c r="X406" s="7">
        <v>55</v>
      </c>
      <c r="AE406" s="7">
        <v>6500</v>
      </c>
      <c r="AF406" s="7" t="s">
        <v>323</v>
      </c>
      <c r="AG406" s="7" t="s">
        <v>317</v>
      </c>
      <c r="AH406" s="7">
        <v>12</v>
      </c>
      <c r="AI406" s="7" t="s">
        <v>255</v>
      </c>
      <c r="AJ406" s="7" t="s">
        <v>85</v>
      </c>
      <c r="AK406" s="7" t="s">
        <v>256</v>
      </c>
      <c r="AL406" s="7" t="s">
        <v>257</v>
      </c>
      <c r="AM406" s="7" t="s">
        <v>278</v>
      </c>
    </row>
    <row r="407" spans="1:41" ht="22.5" customHeight="1" x14ac:dyDescent="0.2">
      <c r="A407" s="6">
        <v>46008.402632754631</v>
      </c>
      <c r="B407" s="7" t="s">
        <v>1230</v>
      </c>
      <c r="C407" s="7">
        <v>32</v>
      </c>
      <c r="D407" s="7" t="s">
        <v>42</v>
      </c>
      <c r="E407" s="7" t="s">
        <v>43</v>
      </c>
      <c r="F407" s="7" t="s">
        <v>144</v>
      </c>
      <c r="G407" s="7" t="s">
        <v>182</v>
      </c>
      <c r="H407" s="7">
        <v>5</v>
      </c>
      <c r="I407" s="7">
        <v>1</v>
      </c>
      <c r="J407" s="7" t="s">
        <v>100</v>
      </c>
      <c r="L407" s="7" t="s">
        <v>47</v>
      </c>
      <c r="S407" s="7">
        <v>5</v>
      </c>
      <c r="T407" s="7">
        <v>6</v>
      </c>
      <c r="U407" s="7">
        <v>8</v>
      </c>
      <c r="AE407" s="7">
        <v>900</v>
      </c>
      <c r="AF407" s="7" t="s">
        <v>323</v>
      </c>
      <c r="AG407" s="7" t="s">
        <v>253</v>
      </c>
      <c r="AH407" s="7">
        <v>3</v>
      </c>
      <c r="AI407" s="7" t="s">
        <v>344</v>
      </c>
      <c r="AJ407" s="7" t="s">
        <v>85</v>
      </c>
      <c r="AK407" s="7" t="s">
        <v>325</v>
      </c>
      <c r="AL407" s="7" t="s">
        <v>257</v>
      </c>
      <c r="AM407" s="7" t="s">
        <v>368</v>
      </c>
    </row>
    <row r="408" spans="1:41" ht="22.5" customHeight="1" x14ac:dyDescent="0.2">
      <c r="A408" s="6">
        <v>46008.405511030098</v>
      </c>
      <c r="B408" s="7" t="s">
        <v>1231</v>
      </c>
      <c r="C408" s="7">
        <v>41</v>
      </c>
      <c r="D408" s="7" t="s">
        <v>73</v>
      </c>
      <c r="E408" s="7" t="s">
        <v>43</v>
      </c>
      <c r="F408" s="7" t="s">
        <v>44</v>
      </c>
      <c r="G408" s="7" t="s">
        <v>60</v>
      </c>
      <c r="H408" s="7">
        <v>5</v>
      </c>
      <c r="I408" s="7">
        <v>1</v>
      </c>
      <c r="J408" s="7" t="s">
        <v>46</v>
      </c>
      <c r="K408" s="7" t="s">
        <v>47</v>
      </c>
      <c r="P408" s="7">
        <v>8</v>
      </c>
      <c r="Q408" s="7">
        <v>14</v>
      </c>
      <c r="R408" s="7">
        <v>18</v>
      </c>
      <c r="AE408" s="7">
        <v>2000</v>
      </c>
      <c r="AF408" s="7" t="s">
        <v>252</v>
      </c>
      <c r="AG408" s="7" t="s">
        <v>253</v>
      </c>
      <c r="AH408" s="7">
        <v>6</v>
      </c>
      <c r="AI408" s="7" t="s">
        <v>296</v>
      </c>
      <c r="AJ408" s="7" t="s">
        <v>85</v>
      </c>
      <c r="AK408" s="7" t="s">
        <v>256</v>
      </c>
      <c r="AL408" s="7" t="s">
        <v>68</v>
      </c>
      <c r="AN408" s="7" t="s">
        <v>303</v>
      </c>
    </row>
    <row r="409" spans="1:41" ht="22.5" customHeight="1" x14ac:dyDescent="0.2">
      <c r="A409" s="6">
        <v>46008.406728912036</v>
      </c>
      <c r="B409" s="7" t="s">
        <v>1232</v>
      </c>
      <c r="C409" s="7">
        <v>15</v>
      </c>
      <c r="D409" s="7" t="s">
        <v>73</v>
      </c>
      <c r="E409" s="7" t="s">
        <v>58</v>
      </c>
      <c r="F409" s="7" t="s">
        <v>74</v>
      </c>
      <c r="G409" s="7" t="s">
        <v>45</v>
      </c>
      <c r="H409" s="7">
        <v>4</v>
      </c>
      <c r="I409" s="7">
        <v>1</v>
      </c>
      <c r="J409" s="7" t="s">
        <v>46</v>
      </c>
      <c r="K409" s="7" t="s">
        <v>47</v>
      </c>
      <c r="P409" s="7">
        <v>3</v>
      </c>
      <c r="Q409" s="7">
        <v>20</v>
      </c>
      <c r="R409" s="7">
        <v>24</v>
      </c>
      <c r="AE409" s="7">
        <v>2600</v>
      </c>
      <c r="AF409" s="7" t="s">
        <v>159</v>
      </c>
      <c r="AG409" s="7" t="s">
        <v>295</v>
      </c>
      <c r="AH409" s="7">
        <v>7</v>
      </c>
      <c r="AI409" s="7" t="s">
        <v>255</v>
      </c>
      <c r="AJ409" s="7" t="s">
        <v>85</v>
      </c>
      <c r="AK409" s="7" t="s">
        <v>256</v>
      </c>
      <c r="AL409" s="7" t="s">
        <v>257</v>
      </c>
      <c r="AM409" s="7" t="s">
        <v>286</v>
      </c>
    </row>
    <row r="410" spans="1:41" ht="22.5" customHeight="1" x14ac:dyDescent="0.2">
      <c r="A410" s="6">
        <v>46008.409075023148</v>
      </c>
      <c r="B410" s="7" t="s">
        <v>1233</v>
      </c>
      <c r="C410" s="7">
        <v>55</v>
      </c>
      <c r="D410" s="7" t="s">
        <v>73</v>
      </c>
      <c r="E410" s="7" t="s">
        <v>58</v>
      </c>
      <c r="F410" s="7" t="s">
        <v>138</v>
      </c>
      <c r="G410" s="7" t="s">
        <v>60</v>
      </c>
      <c r="H410" s="7">
        <v>6</v>
      </c>
      <c r="I410" s="7">
        <v>2</v>
      </c>
      <c r="J410" s="7" t="s">
        <v>46</v>
      </c>
      <c r="K410" s="7" t="s">
        <v>47</v>
      </c>
      <c r="P410" s="7">
        <v>6</v>
      </c>
      <c r="Q410" s="7">
        <v>16</v>
      </c>
      <c r="R410" s="7">
        <v>20</v>
      </c>
      <c r="AE410" s="7">
        <v>2200</v>
      </c>
      <c r="AF410" s="7" t="s">
        <v>159</v>
      </c>
      <c r="AG410" s="7" t="s">
        <v>361</v>
      </c>
      <c r="AH410" s="7">
        <v>6</v>
      </c>
      <c r="AI410" s="7" t="s">
        <v>255</v>
      </c>
      <c r="AJ410" s="7" t="s">
        <v>362</v>
      </c>
      <c r="AK410" s="7" t="s">
        <v>307</v>
      </c>
      <c r="AL410" s="7" t="s">
        <v>257</v>
      </c>
      <c r="AM410" s="7" t="s">
        <v>258</v>
      </c>
    </row>
    <row r="411" spans="1:41" ht="22.5" customHeight="1" x14ac:dyDescent="0.2">
      <c r="A411" s="6">
        <v>46010.486779780098</v>
      </c>
      <c r="B411" s="7" t="s">
        <v>1234</v>
      </c>
      <c r="C411" s="7">
        <v>34</v>
      </c>
      <c r="D411" s="7" t="s">
        <v>73</v>
      </c>
      <c r="E411" s="7" t="s">
        <v>58</v>
      </c>
      <c r="F411" s="7" t="s">
        <v>74</v>
      </c>
      <c r="G411" s="7" t="s">
        <v>45</v>
      </c>
      <c r="H411" s="7">
        <v>5</v>
      </c>
      <c r="I411" s="7">
        <v>1</v>
      </c>
      <c r="J411" s="7" t="s">
        <v>431</v>
      </c>
      <c r="M411" s="7" t="s">
        <v>47</v>
      </c>
      <c r="V411" s="7">
        <v>4</v>
      </c>
      <c r="W411" s="7">
        <v>26</v>
      </c>
      <c r="X411" s="7">
        <v>24</v>
      </c>
      <c r="AE411" s="7">
        <v>3800</v>
      </c>
      <c r="AF411" s="7" t="s">
        <v>276</v>
      </c>
      <c r="AG411" s="7" t="s">
        <v>253</v>
      </c>
      <c r="AH411" s="7">
        <v>13</v>
      </c>
      <c r="AI411" s="7" t="s">
        <v>255</v>
      </c>
      <c r="AJ411" s="7" t="s">
        <v>85</v>
      </c>
      <c r="AK411" s="7" t="s">
        <v>256</v>
      </c>
      <c r="AL411" s="7" t="s">
        <v>257</v>
      </c>
      <c r="AM411" s="7" t="s">
        <v>368</v>
      </c>
    </row>
    <row r="412" spans="1:41" ht="22.5" customHeight="1" x14ac:dyDescent="0.2">
      <c r="A412" s="6">
        <v>46010.487632812496</v>
      </c>
      <c r="B412" s="7" t="s">
        <v>1235</v>
      </c>
      <c r="C412" s="7">
        <v>23</v>
      </c>
      <c r="D412" s="7" t="s">
        <v>42</v>
      </c>
      <c r="E412" s="7" t="s">
        <v>43</v>
      </c>
      <c r="F412" s="7" t="s">
        <v>562</v>
      </c>
      <c r="G412" s="7" t="s">
        <v>182</v>
      </c>
      <c r="H412" s="7">
        <v>4</v>
      </c>
      <c r="I412" s="7">
        <v>1</v>
      </c>
      <c r="J412" s="7" t="s">
        <v>100</v>
      </c>
      <c r="L412" s="7" t="s">
        <v>47</v>
      </c>
      <c r="S412" s="7">
        <v>1</v>
      </c>
      <c r="T412" s="7">
        <v>6</v>
      </c>
      <c r="U412" s="7">
        <v>4</v>
      </c>
      <c r="AE412" s="7">
        <v>520</v>
      </c>
      <c r="AF412" s="7" t="s">
        <v>360</v>
      </c>
      <c r="AG412" s="7" t="s">
        <v>284</v>
      </c>
      <c r="AH412" s="7">
        <v>3</v>
      </c>
      <c r="AI412" s="7" t="s">
        <v>255</v>
      </c>
      <c r="AJ412" s="7" t="s">
        <v>277</v>
      </c>
      <c r="AK412" s="7" t="s">
        <v>256</v>
      </c>
      <c r="AL412" s="7" t="s">
        <v>257</v>
      </c>
      <c r="AM412" s="7" t="s">
        <v>258</v>
      </c>
    </row>
    <row r="413" spans="1:41" ht="22.5" customHeight="1" x14ac:dyDescent="0.2">
      <c r="A413" s="6">
        <v>46010.488857731485</v>
      </c>
      <c r="B413" s="7" t="s">
        <v>1236</v>
      </c>
      <c r="C413" s="7">
        <v>51</v>
      </c>
      <c r="D413" s="7" t="s">
        <v>73</v>
      </c>
      <c r="E413" s="7" t="s">
        <v>43</v>
      </c>
      <c r="F413" s="7" t="s">
        <v>44</v>
      </c>
      <c r="G413" s="7" t="s">
        <v>60</v>
      </c>
      <c r="H413" s="7">
        <v>5</v>
      </c>
      <c r="I413" s="7">
        <v>2</v>
      </c>
      <c r="J413" s="7" t="s">
        <v>290</v>
      </c>
      <c r="K413" s="7" t="s">
        <v>47</v>
      </c>
      <c r="N413" s="7" t="s">
        <v>291</v>
      </c>
      <c r="P413" s="7">
        <v>12</v>
      </c>
      <c r="Q413" s="7">
        <v>5</v>
      </c>
      <c r="R413" s="7">
        <v>3</v>
      </c>
      <c r="Y413" s="7">
        <v>16</v>
      </c>
      <c r="Z413" s="7">
        <v>56</v>
      </c>
      <c r="AA413" s="7">
        <v>90</v>
      </c>
      <c r="AE413" s="7">
        <v>11000</v>
      </c>
      <c r="AF413" s="7" t="s">
        <v>252</v>
      </c>
      <c r="AG413" s="7" t="s">
        <v>317</v>
      </c>
      <c r="AH413" s="7">
        <v>6</v>
      </c>
      <c r="AI413" s="7" t="s">
        <v>296</v>
      </c>
      <c r="AJ413" s="7" t="s">
        <v>85</v>
      </c>
      <c r="AK413" s="7" t="s">
        <v>256</v>
      </c>
      <c r="AL413" s="7" t="s">
        <v>68</v>
      </c>
      <c r="AN413" s="7" t="s">
        <v>373</v>
      </c>
    </row>
    <row r="414" spans="1:41" ht="22.5" customHeight="1" x14ac:dyDescent="0.2">
      <c r="A414" s="6">
        <v>46010.489575567131</v>
      </c>
      <c r="B414" s="7" t="s">
        <v>1237</v>
      </c>
      <c r="C414" s="7">
        <v>29</v>
      </c>
      <c r="D414" s="7" t="s">
        <v>42</v>
      </c>
      <c r="E414" s="7" t="s">
        <v>58</v>
      </c>
      <c r="F414" s="7" t="s">
        <v>74</v>
      </c>
      <c r="G414" s="7" t="s">
        <v>45</v>
      </c>
      <c r="H414" s="7">
        <v>3</v>
      </c>
      <c r="I414" s="7">
        <v>1</v>
      </c>
      <c r="J414" s="7" t="s">
        <v>46</v>
      </c>
      <c r="K414" s="7" t="s">
        <v>47</v>
      </c>
      <c r="P414" s="7">
        <v>4</v>
      </c>
      <c r="Q414" s="7">
        <v>15</v>
      </c>
      <c r="R414" s="7">
        <v>9</v>
      </c>
      <c r="AE414" s="7">
        <v>1000</v>
      </c>
      <c r="AF414" s="7" t="s">
        <v>252</v>
      </c>
      <c r="AG414" s="7" t="s">
        <v>361</v>
      </c>
      <c r="AH414" s="7">
        <v>7</v>
      </c>
      <c r="AI414" s="7" t="s">
        <v>255</v>
      </c>
      <c r="AJ414" s="7" t="s">
        <v>85</v>
      </c>
      <c r="AK414" s="7" t="s">
        <v>256</v>
      </c>
      <c r="AL414" s="7" t="s">
        <v>257</v>
      </c>
      <c r="AM414" s="7" t="s">
        <v>286</v>
      </c>
    </row>
    <row r="415" spans="1:41" ht="22.5" customHeight="1" x14ac:dyDescent="0.2">
      <c r="A415" s="6">
        <v>46010.490322881946</v>
      </c>
      <c r="B415" s="7" t="s">
        <v>1238</v>
      </c>
      <c r="C415" s="7">
        <v>27</v>
      </c>
      <c r="D415" s="7" t="s">
        <v>73</v>
      </c>
      <c r="E415" s="7" t="s">
        <v>43</v>
      </c>
      <c r="F415" s="7" t="s">
        <v>44</v>
      </c>
      <c r="G415" s="7" t="s">
        <v>45</v>
      </c>
      <c r="H415" s="7">
        <v>5</v>
      </c>
      <c r="I415" s="7">
        <v>1</v>
      </c>
      <c r="J415" s="7" t="s">
        <v>988</v>
      </c>
      <c r="K415" s="7" t="s">
        <v>291</v>
      </c>
      <c r="P415" s="7" t="s">
        <v>1239</v>
      </c>
      <c r="Y415" s="7" t="s">
        <v>1239</v>
      </c>
      <c r="Z415" s="7">
        <v>58</v>
      </c>
      <c r="AE415" s="7">
        <v>9400</v>
      </c>
      <c r="AF415" s="7" t="s">
        <v>252</v>
      </c>
      <c r="AG415" s="7" t="s">
        <v>361</v>
      </c>
      <c r="AH415" s="7">
        <v>6</v>
      </c>
      <c r="AI415" s="7" t="s">
        <v>296</v>
      </c>
      <c r="AJ415" s="7" t="s">
        <v>362</v>
      </c>
      <c r="AK415" s="7" t="s">
        <v>307</v>
      </c>
      <c r="AL415" s="7" t="s">
        <v>68</v>
      </c>
      <c r="AN415" s="7" t="s">
        <v>259</v>
      </c>
      <c r="AO415" s="7" t="s">
        <v>1240</v>
      </c>
    </row>
    <row r="416" spans="1:41" ht="22.5" customHeight="1" x14ac:dyDescent="0.2">
      <c r="A416" s="6">
        <v>46010.490699155096</v>
      </c>
      <c r="B416" s="7" t="s">
        <v>1241</v>
      </c>
      <c r="C416" s="7">
        <v>28</v>
      </c>
      <c r="D416" s="7" t="s">
        <v>73</v>
      </c>
      <c r="E416" s="7" t="s">
        <v>43</v>
      </c>
      <c r="F416" s="7" t="s">
        <v>44</v>
      </c>
      <c r="G416" s="7" t="s">
        <v>45</v>
      </c>
      <c r="H416" s="7">
        <v>5</v>
      </c>
      <c r="I416" s="7">
        <v>1</v>
      </c>
      <c r="J416" s="7" t="s">
        <v>988</v>
      </c>
      <c r="N416" s="7" t="s">
        <v>291</v>
      </c>
      <c r="Y416" s="7">
        <v>21</v>
      </c>
      <c r="Z416" s="7">
        <v>58</v>
      </c>
      <c r="AA416" s="7">
        <v>85</v>
      </c>
      <c r="AE416" s="7">
        <v>6800</v>
      </c>
      <c r="AF416" s="7" t="s">
        <v>159</v>
      </c>
      <c r="AG416" s="7" t="s">
        <v>284</v>
      </c>
      <c r="AH416" s="7">
        <v>5</v>
      </c>
      <c r="AI416" s="7" t="s">
        <v>296</v>
      </c>
      <c r="AJ416" s="7" t="s">
        <v>96</v>
      </c>
      <c r="AK416" s="7" t="s">
        <v>325</v>
      </c>
      <c r="AL416" s="7" t="s">
        <v>257</v>
      </c>
      <c r="AM416" s="7" t="s">
        <v>278</v>
      </c>
    </row>
    <row r="417" spans="1:40" ht="22.5" customHeight="1" x14ac:dyDescent="0.2">
      <c r="A417" s="6">
        <v>46010.493497511576</v>
      </c>
      <c r="B417" s="7" t="s">
        <v>1242</v>
      </c>
      <c r="C417" s="7">
        <v>28</v>
      </c>
      <c r="D417" s="7" t="s">
        <v>73</v>
      </c>
      <c r="E417" s="7" t="s">
        <v>58</v>
      </c>
      <c r="F417" s="7" t="s">
        <v>138</v>
      </c>
      <c r="G417" s="7" t="s">
        <v>45</v>
      </c>
      <c r="H417" s="7">
        <v>4</v>
      </c>
      <c r="I417" s="7">
        <v>2</v>
      </c>
      <c r="J417" s="7" t="s">
        <v>246</v>
      </c>
      <c r="K417" s="7" t="s">
        <v>47</v>
      </c>
      <c r="M417" s="7" t="s">
        <v>47</v>
      </c>
      <c r="P417" s="7">
        <v>6</v>
      </c>
      <c r="Q417" s="7">
        <v>7</v>
      </c>
      <c r="R417" s="7">
        <v>5</v>
      </c>
      <c r="V417" s="7">
        <v>4</v>
      </c>
      <c r="W417" s="7">
        <v>25</v>
      </c>
      <c r="X417" s="7">
        <v>23</v>
      </c>
      <c r="AE417" s="7">
        <v>4000</v>
      </c>
      <c r="AF417" s="7" t="s">
        <v>159</v>
      </c>
      <c r="AG417" s="7" t="s">
        <v>284</v>
      </c>
      <c r="AH417" s="7">
        <v>12</v>
      </c>
      <c r="AI417" s="7" t="s">
        <v>255</v>
      </c>
      <c r="AJ417" s="7" t="s">
        <v>85</v>
      </c>
      <c r="AK417" s="7" t="s">
        <v>256</v>
      </c>
      <c r="AL417" s="7" t="s">
        <v>257</v>
      </c>
      <c r="AM417" s="7" t="s">
        <v>258</v>
      </c>
    </row>
    <row r="418" spans="1:40" ht="22.5" customHeight="1" x14ac:dyDescent="0.2">
      <c r="A418" s="6">
        <v>46010.49524355324</v>
      </c>
      <c r="B418" s="7" t="s">
        <v>1243</v>
      </c>
      <c r="C418" s="7">
        <v>38</v>
      </c>
      <c r="D418" s="7" t="s">
        <v>73</v>
      </c>
      <c r="E418" s="7" t="s">
        <v>58</v>
      </c>
      <c r="F418" s="7" t="s">
        <v>144</v>
      </c>
      <c r="G418" s="7" t="s">
        <v>89</v>
      </c>
      <c r="H418" s="7">
        <v>5</v>
      </c>
      <c r="I418" s="7">
        <v>1</v>
      </c>
      <c r="J418" s="7" t="s">
        <v>100</v>
      </c>
      <c r="L418" s="7" t="s">
        <v>47</v>
      </c>
      <c r="S418" s="7">
        <v>6</v>
      </c>
      <c r="T418" s="7">
        <v>4</v>
      </c>
      <c r="U418" s="7">
        <v>3</v>
      </c>
      <c r="AE418" s="7">
        <v>390</v>
      </c>
      <c r="AF418" s="7" t="s">
        <v>276</v>
      </c>
      <c r="AG418" s="7" t="s">
        <v>284</v>
      </c>
      <c r="AH418" s="7">
        <v>2</v>
      </c>
      <c r="AI418" s="7" t="s">
        <v>306</v>
      </c>
      <c r="AJ418" s="7" t="s">
        <v>85</v>
      </c>
      <c r="AK418" s="7" t="s">
        <v>335</v>
      </c>
      <c r="AL418" s="7" t="s">
        <v>68</v>
      </c>
      <c r="AN418" s="7" t="s">
        <v>259</v>
      </c>
    </row>
    <row r="419" spans="1:40" ht="22.5" customHeight="1" x14ac:dyDescent="0.2">
      <c r="A419" s="6">
        <v>46010.497806898144</v>
      </c>
      <c r="B419" s="7" t="s">
        <v>1244</v>
      </c>
      <c r="C419" s="7">
        <v>48</v>
      </c>
      <c r="D419" s="7" t="s">
        <v>73</v>
      </c>
      <c r="E419" s="7" t="s">
        <v>43</v>
      </c>
      <c r="F419" s="7" t="s">
        <v>172</v>
      </c>
      <c r="G419" s="7" t="s">
        <v>60</v>
      </c>
      <c r="H419" s="7">
        <v>4</v>
      </c>
      <c r="I419" s="7">
        <v>2</v>
      </c>
      <c r="J419" s="7" t="s">
        <v>246</v>
      </c>
      <c r="K419" s="7" t="s">
        <v>47</v>
      </c>
      <c r="M419" s="7" t="s">
        <v>47</v>
      </c>
      <c r="P419" s="7">
        <v>8</v>
      </c>
      <c r="Q419" s="7">
        <v>8</v>
      </c>
      <c r="R419" s="7">
        <v>5</v>
      </c>
      <c r="V419" s="7">
        <v>6</v>
      </c>
      <c r="W419" s="7">
        <v>24</v>
      </c>
      <c r="X419" s="7">
        <v>22</v>
      </c>
      <c r="AE419" s="7">
        <v>3900</v>
      </c>
      <c r="AF419" s="7" t="s">
        <v>159</v>
      </c>
      <c r="AG419" s="7" t="s">
        <v>284</v>
      </c>
      <c r="AH419" s="7">
        <v>12</v>
      </c>
      <c r="AI419" s="7" t="s">
        <v>559</v>
      </c>
      <c r="AJ419" s="7" t="s">
        <v>362</v>
      </c>
      <c r="AK419" s="7" t="s">
        <v>307</v>
      </c>
      <c r="AL419" s="7" t="s">
        <v>68</v>
      </c>
      <c r="AN419" s="7" t="s">
        <v>460</v>
      </c>
    </row>
    <row r="420" spans="1:40" ht="22.5" customHeight="1" x14ac:dyDescent="0.2">
      <c r="A420" s="6">
        <v>46010.498859085652</v>
      </c>
      <c r="B420" s="7" t="s">
        <v>1245</v>
      </c>
      <c r="C420" s="7">
        <v>31</v>
      </c>
      <c r="D420" s="7" t="s">
        <v>42</v>
      </c>
      <c r="E420" s="7" t="s">
        <v>43</v>
      </c>
      <c r="F420" s="7" t="s">
        <v>74</v>
      </c>
      <c r="G420" s="7" t="s">
        <v>45</v>
      </c>
      <c r="H420" s="7">
        <v>5</v>
      </c>
      <c r="I420" s="7">
        <v>1</v>
      </c>
      <c r="J420" s="7" t="s">
        <v>46</v>
      </c>
      <c r="K420" s="7" t="s">
        <v>47</v>
      </c>
      <c r="P420" s="7">
        <v>4</v>
      </c>
      <c r="Q420" s="7">
        <v>16</v>
      </c>
      <c r="R420" s="7">
        <v>9</v>
      </c>
      <c r="AE420" s="7">
        <v>1070</v>
      </c>
      <c r="AF420" s="7" t="s">
        <v>252</v>
      </c>
      <c r="AG420" s="7" t="s">
        <v>361</v>
      </c>
      <c r="AH420" s="7">
        <v>8</v>
      </c>
      <c r="AI420" s="7" t="s">
        <v>255</v>
      </c>
      <c r="AJ420" s="7" t="s">
        <v>85</v>
      </c>
      <c r="AK420" s="7" t="s">
        <v>256</v>
      </c>
      <c r="AL420" s="7" t="s">
        <v>257</v>
      </c>
      <c r="AM420" s="7" t="s">
        <v>278</v>
      </c>
    </row>
    <row r="421" spans="1:40" ht="22.5" customHeight="1" x14ac:dyDescent="0.2">
      <c r="A421" s="6">
        <v>46010.500409988425</v>
      </c>
      <c r="B421" s="7" t="s">
        <v>1246</v>
      </c>
      <c r="C421" s="7">
        <v>37</v>
      </c>
      <c r="D421" s="7" t="s">
        <v>73</v>
      </c>
      <c r="E421" s="7" t="s">
        <v>43</v>
      </c>
      <c r="F421" s="7" t="s">
        <v>74</v>
      </c>
      <c r="G421" s="7" t="s">
        <v>45</v>
      </c>
      <c r="H421" s="7">
        <v>4</v>
      </c>
      <c r="I421" s="7">
        <v>1</v>
      </c>
      <c r="J421" s="7" t="s">
        <v>46</v>
      </c>
      <c r="K421" s="7" t="s">
        <v>47</v>
      </c>
      <c r="P421" s="7">
        <v>3</v>
      </c>
      <c r="Q421" s="7">
        <v>17</v>
      </c>
      <c r="R421" s="7">
        <v>10</v>
      </c>
      <c r="AE421" s="7">
        <v>1300</v>
      </c>
      <c r="AF421" s="7" t="s">
        <v>252</v>
      </c>
      <c r="AG421" s="7" t="s">
        <v>284</v>
      </c>
      <c r="AH421" s="7">
        <v>8</v>
      </c>
      <c r="AI421" s="7" t="s">
        <v>255</v>
      </c>
      <c r="AJ421" s="7" t="s">
        <v>362</v>
      </c>
      <c r="AK421" s="7" t="s">
        <v>307</v>
      </c>
      <c r="AL421" s="7" t="s">
        <v>68</v>
      </c>
      <c r="AN421" s="7" t="s">
        <v>684</v>
      </c>
    </row>
    <row r="422" spans="1:40" ht="22.5" customHeight="1" x14ac:dyDescent="0.2">
      <c r="A422" s="6">
        <v>46010.571727592593</v>
      </c>
      <c r="B422" s="7" t="s">
        <v>1247</v>
      </c>
      <c r="C422" s="7">
        <v>37</v>
      </c>
      <c r="D422" s="7" t="s">
        <v>73</v>
      </c>
      <c r="E422" s="7" t="s">
        <v>58</v>
      </c>
      <c r="F422" s="7" t="s">
        <v>74</v>
      </c>
      <c r="G422" s="7" t="s">
        <v>60</v>
      </c>
      <c r="H422" s="7">
        <v>4</v>
      </c>
      <c r="I422" s="7">
        <v>2</v>
      </c>
      <c r="J422" s="7" t="s">
        <v>61</v>
      </c>
      <c r="K422" s="7" t="s">
        <v>47</v>
      </c>
      <c r="L422" s="7" t="s">
        <v>47</v>
      </c>
      <c r="P422" s="7">
        <v>7</v>
      </c>
      <c r="Q422" s="7">
        <v>12</v>
      </c>
      <c r="R422" s="7">
        <v>7</v>
      </c>
      <c r="S422" s="7">
        <v>5</v>
      </c>
      <c r="T422" s="7">
        <v>5</v>
      </c>
      <c r="U422" s="7">
        <v>3</v>
      </c>
      <c r="AE422" s="7">
        <v>1300</v>
      </c>
      <c r="AF422" s="7" t="s">
        <v>252</v>
      </c>
      <c r="AG422" s="7" t="s">
        <v>284</v>
      </c>
      <c r="AH422" s="7">
        <v>6</v>
      </c>
      <c r="AI422" s="7" t="s">
        <v>255</v>
      </c>
      <c r="AJ422" s="7" t="s">
        <v>85</v>
      </c>
      <c r="AK422" s="7" t="s">
        <v>256</v>
      </c>
      <c r="AL422" s="7" t="s">
        <v>257</v>
      </c>
      <c r="AM422" s="7" t="s">
        <v>363</v>
      </c>
    </row>
    <row r="423" spans="1:40" ht="22.5" customHeight="1" x14ac:dyDescent="0.2">
      <c r="A423" s="6">
        <v>46010.572959583333</v>
      </c>
      <c r="B423" s="7" t="s">
        <v>1248</v>
      </c>
      <c r="C423" s="7">
        <v>39</v>
      </c>
      <c r="D423" s="7" t="s">
        <v>42</v>
      </c>
      <c r="E423" s="7" t="s">
        <v>58</v>
      </c>
      <c r="F423" s="7" t="s">
        <v>74</v>
      </c>
      <c r="G423" s="7" t="s">
        <v>45</v>
      </c>
      <c r="H423" s="7">
        <v>5</v>
      </c>
      <c r="I423" s="7">
        <v>1</v>
      </c>
      <c r="J423" s="7" t="s">
        <v>100</v>
      </c>
      <c r="L423" s="7" t="s">
        <v>47</v>
      </c>
      <c r="S423" s="7">
        <v>2</v>
      </c>
      <c r="T423" s="7">
        <v>7</v>
      </c>
      <c r="U423" s="7">
        <v>5</v>
      </c>
      <c r="AE423" s="7">
        <v>650</v>
      </c>
      <c r="AF423" s="7" t="s">
        <v>159</v>
      </c>
      <c r="AG423" s="7" t="s">
        <v>317</v>
      </c>
      <c r="AH423" s="7">
        <v>4</v>
      </c>
      <c r="AI423" s="7" t="s">
        <v>255</v>
      </c>
      <c r="AJ423" s="7" t="s">
        <v>85</v>
      </c>
      <c r="AK423" s="7" t="s">
        <v>256</v>
      </c>
      <c r="AL423" s="7" t="s">
        <v>68</v>
      </c>
      <c r="AN423" s="7" t="s">
        <v>303</v>
      </c>
    </row>
    <row r="424" spans="1:40" ht="22.5" customHeight="1" x14ac:dyDescent="0.2">
      <c r="A424" s="6">
        <v>46010.57402615741</v>
      </c>
      <c r="B424" s="7" t="s">
        <v>1249</v>
      </c>
      <c r="C424" s="7">
        <v>48</v>
      </c>
      <c r="D424" s="7" t="s">
        <v>73</v>
      </c>
      <c r="E424" s="7" t="s">
        <v>43</v>
      </c>
      <c r="F424" s="7" t="s">
        <v>44</v>
      </c>
      <c r="G424" s="7" t="s">
        <v>45</v>
      </c>
      <c r="H424" s="7">
        <v>4</v>
      </c>
      <c r="I424" s="7">
        <v>1</v>
      </c>
      <c r="J424" s="7" t="s">
        <v>46</v>
      </c>
      <c r="K424" s="7" t="s">
        <v>47</v>
      </c>
      <c r="P424" s="7">
        <v>14</v>
      </c>
      <c r="Q424" s="7">
        <v>6</v>
      </c>
      <c r="R424" s="7">
        <v>4</v>
      </c>
      <c r="AE424" s="7">
        <v>520</v>
      </c>
      <c r="AF424" s="7" t="s">
        <v>252</v>
      </c>
      <c r="AG424" s="7" t="s">
        <v>361</v>
      </c>
      <c r="AH424" s="7">
        <v>4</v>
      </c>
      <c r="AI424" s="7" t="s">
        <v>296</v>
      </c>
      <c r="AJ424" s="7" t="s">
        <v>85</v>
      </c>
      <c r="AK424" s="7" t="s">
        <v>265</v>
      </c>
      <c r="AL424" s="7" t="s">
        <v>68</v>
      </c>
      <c r="AN424" s="7" t="s">
        <v>373</v>
      </c>
    </row>
    <row r="425" spans="1:40" ht="22.5" customHeight="1" x14ac:dyDescent="0.2">
      <c r="A425" s="6">
        <v>46010.574855219907</v>
      </c>
      <c r="B425" s="7" t="s">
        <v>1250</v>
      </c>
      <c r="C425" s="7">
        <v>39</v>
      </c>
      <c r="D425" s="7" t="s">
        <v>42</v>
      </c>
      <c r="E425" s="7" t="s">
        <v>43</v>
      </c>
      <c r="F425" s="7" t="s">
        <v>144</v>
      </c>
      <c r="G425" s="7" t="s">
        <v>89</v>
      </c>
      <c r="H425" s="7">
        <v>5</v>
      </c>
      <c r="I425" s="7">
        <v>1</v>
      </c>
      <c r="J425" s="7" t="s">
        <v>100</v>
      </c>
      <c r="L425" s="7" t="s">
        <v>47</v>
      </c>
      <c r="S425" s="7">
        <v>6</v>
      </c>
      <c r="T425" s="7">
        <v>4</v>
      </c>
      <c r="U425" s="7">
        <v>3</v>
      </c>
      <c r="AE425" s="7">
        <v>390</v>
      </c>
      <c r="AF425" s="7" t="s">
        <v>323</v>
      </c>
      <c r="AG425" s="7" t="s">
        <v>317</v>
      </c>
      <c r="AH425" s="7">
        <v>2</v>
      </c>
      <c r="AI425" s="7" t="s">
        <v>344</v>
      </c>
      <c r="AJ425" s="7" t="s">
        <v>85</v>
      </c>
      <c r="AK425" s="7" t="s">
        <v>265</v>
      </c>
      <c r="AL425" s="7" t="s">
        <v>257</v>
      </c>
      <c r="AM425" s="7" t="s">
        <v>286</v>
      </c>
    </row>
    <row r="426" spans="1:40" ht="22.5" customHeight="1" x14ac:dyDescent="0.2">
      <c r="A426" s="6">
        <v>46010.576475439811</v>
      </c>
      <c r="B426" s="7" t="s">
        <v>1251</v>
      </c>
      <c r="C426" s="7">
        <v>41</v>
      </c>
      <c r="D426" s="7" t="s">
        <v>73</v>
      </c>
      <c r="E426" s="7" t="s">
        <v>43</v>
      </c>
      <c r="F426" s="7" t="s">
        <v>172</v>
      </c>
      <c r="G426" s="7" t="s">
        <v>60</v>
      </c>
      <c r="H426" s="7">
        <v>4</v>
      </c>
      <c r="I426" s="7">
        <v>3</v>
      </c>
      <c r="J426" s="7" t="s">
        <v>390</v>
      </c>
      <c r="K426" s="7" t="s">
        <v>47</v>
      </c>
      <c r="L426" s="7" t="s">
        <v>47</v>
      </c>
      <c r="M426" s="7" t="s">
        <v>47</v>
      </c>
      <c r="P426" s="7">
        <v>9</v>
      </c>
      <c r="Q426" s="7">
        <v>8</v>
      </c>
      <c r="R426" s="7">
        <v>5</v>
      </c>
      <c r="S426" s="7">
        <v>4</v>
      </c>
      <c r="T426" s="7">
        <v>6</v>
      </c>
      <c r="U426" s="7">
        <v>4</v>
      </c>
      <c r="V426" s="7">
        <v>7</v>
      </c>
      <c r="W426" s="7">
        <v>22</v>
      </c>
      <c r="X426" s="7">
        <v>20</v>
      </c>
      <c r="AE426" s="7">
        <v>4500</v>
      </c>
      <c r="AF426" s="7" t="s">
        <v>252</v>
      </c>
      <c r="AG426" s="7" t="s">
        <v>284</v>
      </c>
      <c r="AH426" s="7">
        <v>10</v>
      </c>
      <c r="AI426" s="7" t="s">
        <v>559</v>
      </c>
      <c r="AJ426" s="7" t="s">
        <v>85</v>
      </c>
      <c r="AK426" s="7" t="s">
        <v>256</v>
      </c>
      <c r="AL426" s="7" t="s">
        <v>257</v>
      </c>
      <c r="AM426" s="7" t="s">
        <v>278</v>
      </c>
    </row>
    <row r="427" spans="1:40" ht="22.5" customHeight="1" x14ac:dyDescent="0.2">
      <c r="A427" s="6">
        <v>46010.577521678242</v>
      </c>
      <c r="B427" s="7" t="s">
        <v>1252</v>
      </c>
      <c r="C427" s="7">
        <v>49</v>
      </c>
      <c r="D427" s="7" t="s">
        <v>42</v>
      </c>
      <c r="E427" s="7" t="s">
        <v>58</v>
      </c>
      <c r="F427" s="7" t="s">
        <v>339</v>
      </c>
      <c r="G427" s="7" t="s">
        <v>45</v>
      </c>
      <c r="H427" s="7">
        <v>5</v>
      </c>
      <c r="I427" s="7">
        <v>1</v>
      </c>
      <c r="J427" s="7" t="s">
        <v>46</v>
      </c>
      <c r="K427" s="7" t="s">
        <v>47</v>
      </c>
      <c r="P427" s="7">
        <v>5</v>
      </c>
      <c r="Q427" s="7">
        <v>18</v>
      </c>
      <c r="R427" s="7">
        <v>11</v>
      </c>
      <c r="AE427" s="7">
        <v>1430</v>
      </c>
      <c r="AF427" s="7" t="s">
        <v>159</v>
      </c>
      <c r="AG427" s="7" t="s">
        <v>295</v>
      </c>
      <c r="AH427" s="7">
        <v>9</v>
      </c>
      <c r="AI427" s="7" t="s">
        <v>255</v>
      </c>
      <c r="AJ427" s="7" t="s">
        <v>362</v>
      </c>
      <c r="AK427" s="7" t="s">
        <v>307</v>
      </c>
      <c r="AL427" s="7" t="s">
        <v>68</v>
      </c>
      <c r="AN427" s="7" t="s">
        <v>460</v>
      </c>
    </row>
    <row r="428" spans="1:40" ht="22.5" customHeight="1" x14ac:dyDescent="0.2">
      <c r="A428" s="6">
        <v>46010.57855899306</v>
      </c>
      <c r="B428" s="7" t="s">
        <v>1067</v>
      </c>
      <c r="C428" s="7">
        <v>43</v>
      </c>
      <c r="D428" s="7" t="s">
        <v>42</v>
      </c>
      <c r="E428" s="7" t="s">
        <v>58</v>
      </c>
      <c r="F428" s="7" t="s">
        <v>144</v>
      </c>
      <c r="G428" s="7" t="s">
        <v>89</v>
      </c>
      <c r="H428" s="7">
        <v>5</v>
      </c>
      <c r="I428" s="7">
        <v>1</v>
      </c>
      <c r="J428" s="7" t="s">
        <v>100</v>
      </c>
      <c r="L428" s="7" t="s">
        <v>47</v>
      </c>
      <c r="S428" s="7">
        <v>8</v>
      </c>
      <c r="T428" s="7">
        <v>3</v>
      </c>
      <c r="U428" s="7">
        <v>2</v>
      </c>
      <c r="AE428" s="7">
        <v>260</v>
      </c>
      <c r="AF428" s="7" t="s">
        <v>252</v>
      </c>
      <c r="AG428" s="7" t="s">
        <v>361</v>
      </c>
      <c r="AH428" s="7">
        <v>2</v>
      </c>
      <c r="AI428" s="7" t="s">
        <v>344</v>
      </c>
      <c r="AJ428" s="7" t="s">
        <v>85</v>
      </c>
      <c r="AK428" s="7" t="s">
        <v>256</v>
      </c>
      <c r="AL428" s="7" t="s">
        <v>257</v>
      </c>
      <c r="AM428" s="7" t="s">
        <v>286</v>
      </c>
    </row>
    <row r="429" spans="1:40" ht="22.5" customHeight="1" x14ac:dyDescent="0.2">
      <c r="A429" s="6">
        <v>46010.579560775463</v>
      </c>
      <c r="B429" s="7" t="s">
        <v>1253</v>
      </c>
      <c r="C429" s="7">
        <v>21</v>
      </c>
      <c r="D429" s="7" t="s">
        <v>73</v>
      </c>
      <c r="E429" s="7" t="s">
        <v>58</v>
      </c>
      <c r="F429" s="7" t="s">
        <v>562</v>
      </c>
      <c r="G429" s="7" t="s">
        <v>182</v>
      </c>
      <c r="H429" s="7">
        <v>4</v>
      </c>
      <c r="I429" s="7">
        <v>1</v>
      </c>
      <c r="J429" s="7" t="s">
        <v>46</v>
      </c>
      <c r="K429" s="7" t="s">
        <v>47</v>
      </c>
      <c r="P429" s="7">
        <v>2</v>
      </c>
      <c r="Q429" s="7">
        <v>20</v>
      </c>
      <c r="R429" s="7">
        <v>12</v>
      </c>
      <c r="AE429" s="7">
        <v>1560</v>
      </c>
      <c r="AF429" s="7" t="s">
        <v>276</v>
      </c>
      <c r="AG429" s="7" t="s">
        <v>317</v>
      </c>
      <c r="AH429" s="7">
        <v>10</v>
      </c>
      <c r="AI429" s="7" t="s">
        <v>285</v>
      </c>
      <c r="AJ429" s="7" t="s">
        <v>362</v>
      </c>
      <c r="AK429" s="7" t="s">
        <v>307</v>
      </c>
      <c r="AL429" s="7" t="s">
        <v>68</v>
      </c>
      <c r="AN429" s="7" t="s">
        <v>1254</v>
      </c>
    </row>
    <row r="430" spans="1:40" ht="22.5" customHeight="1" x14ac:dyDescent="0.2">
      <c r="A430" s="6">
        <v>46010.580665289352</v>
      </c>
      <c r="B430" s="7" t="s">
        <v>1255</v>
      </c>
      <c r="C430" s="7">
        <v>27</v>
      </c>
      <c r="D430" s="7" t="s">
        <v>73</v>
      </c>
      <c r="E430" s="7" t="s">
        <v>58</v>
      </c>
      <c r="F430" s="7" t="s">
        <v>74</v>
      </c>
      <c r="G430" s="7" t="s">
        <v>45</v>
      </c>
      <c r="H430" s="7">
        <v>5</v>
      </c>
      <c r="I430" s="7">
        <v>1</v>
      </c>
      <c r="J430" s="7" t="s">
        <v>46</v>
      </c>
      <c r="K430" s="7" t="s">
        <v>47</v>
      </c>
      <c r="P430" s="7">
        <v>3</v>
      </c>
      <c r="Q430" s="7">
        <v>22</v>
      </c>
      <c r="R430" s="7">
        <v>12</v>
      </c>
      <c r="AE430" s="7">
        <v>1690</v>
      </c>
      <c r="AF430" s="7" t="s">
        <v>159</v>
      </c>
      <c r="AG430" s="7" t="s">
        <v>295</v>
      </c>
      <c r="AH430" s="7">
        <v>11</v>
      </c>
      <c r="AI430" s="7" t="s">
        <v>255</v>
      </c>
      <c r="AJ430" s="7" t="s">
        <v>277</v>
      </c>
      <c r="AK430" s="7" t="s">
        <v>256</v>
      </c>
      <c r="AL430" s="7" t="s">
        <v>68</v>
      </c>
      <c r="AM430" s="7" t="s">
        <v>278</v>
      </c>
    </row>
    <row r="431" spans="1:40" ht="22.5" customHeight="1" x14ac:dyDescent="0.2">
      <c r="A431" s="6">
        <v>46010.581890902773</v>
      </c>
      <c r="B431" s="7" t="s">
        <v>1256</v>
      </c>
      <c r="C431" s="7">
        <v>62</v>
      </c>
      <c r="D431" s="7" t="s">
        <v>42</v>
      </c>
      <c r="E431" s="7" t="s">
        <v>58</v>
      </c>
      <c r="F431" s="7" t="s">
        <v>144</v>
      </c>
      <c r="G431" s="7" t="s">
        <v>89</v>
      </c>
      <c r="H431" s="7">
        <v>5</v>
      </c>
      <c r="I431" s="7">
        <v>1</v>
      </c>
      <c r="J431" s="7" t="s">
        <v>46</v>
      </c>
      <c r="K431" s="7" t="s">
        <v>47</v>
      </c>
      <c r="P431" s="7">
        <v>11</v>
      </c>
      <c r="Q431" s="7">
        <v>4</v>
      </c>
      <c r="R431" s="7">
        <v>3</v>
      </c>
      <c r="AE431" s="7">
        <v>390</v>
      </c>
      <c r="AF431" s="7" t="s">
        <v>252</v>
      </c>
      <c r="AG431" s="7" t="s">
        <v>361</v>
      </c>
      <c r="AH431" s="7">
        <v>2</v>
      </c>
      <c r="AI431" s="7" t="s">
        <v>306</v>
      </c>
      <c r="AJ431" s="7" t="s">
        <v>85</v>
      </c>
      <c r="AK431" s="7" t="s">
        <v>335</v>
      </c>
      <c r="AL431" s="7" t="s">
        <v>68</v>
      </c>
      <c r="AN431" s="7" t="s">
        <v>303</v>
      </c>
    </row>
    <row r="432" spans="1:40" ht="22.5" customHeight="1" x14ac:dyDescent="0.2">
      <c r="A432" s="6">
        <v>46010.68332275463</v>
      </c>
      <c r="B432" s="7" t="s">
        <v>1257</v>
      </c>
      <c r="C432" s="7">
        <v>35</v>
      </c>
      <c r="D432" s="7" t="s">
        <v>73</v>
      </c>
      <c r="E432" s="7" t="s">
        <v>43</v>
      </c>
      <c r="F432" s="7" t="s">
        <v>74</v>
      </c>
      <c r="G432" s="7" t="s">
        <v>45</v>
      </c>
      <c r="H432" s="7">
        <v>4</v>
      </c>
      <c r="I432" s="7">
        <v>2</v>
      </c>
      <c r="J432" s="7" t="s">
        <v>246</v>
      </c>
      <c r="K432" s="7" t="s">
        <v>47</v>
      </c>
      <c r="M432" s="7" t="s">
        <v>47</v>
      </c>
      <c r="P432" s="7">
        <v>6</v>
      </c>
      <c r="Q432" s="7">
        <v>10</v>
      </c>
      <c r="R432" s="7">
        <v>6</v>
      </c>
      <c r="V432" s="7">
        <v>5</v>
      </c>
      <c r="W432" s="7">
        <v>22</v>
      </c>
      <c r="X432" s="7">
        <v>21</v>
      </c>
      <c r="AE432" s="7">
        <v>3600</v>
      </c>
      <c r="AF432" s="7" t="s">
        <v>323</v>
      </c>
      <c r="AG432" s="7" t="s">
        <v>295</v>
      </c>
      <c r="AH432" s="7">
        <v>11</v>
      </c>
      <c r="AI432" s="7" t="s">
        <v>255</v>
      </c>
      <c r="AJ432" s="7" t="s">
        <v>85</v>
      </c>
      <c r="AK432" s="7" t="s">
        <v>256</v>
      </c>
      <c r="AL432" s="7" t="s">
        <v>257</v>
      </c>
      <c r="AM432" s="7" t="s">
        <v>363</v>
      </c>
    </row>
    <row r="433" spans="1:40" ht="22.5" customHeight="1" x14ac:dyDescent="0.2">
      <c r="A433" s="6">
        <v>46010.684382233798</v>
      </c>
      <c r="B433" s="7" t="s">
        <v>1258</v>
      </c>
      <c r="C433" s="7">
        <v>28</v>
      </c>
      <c r="D433" s="7" t="s">
        <v>42</v>
      </c>
      <c r="E433" s="7" t="s">
        <v>58</v>
      </c>
      <c r="F433" s="7" t="s">
        <v>74</v>
      </c>
      <c r="G433" s="7" t="s">
        <v>45</v>
      </c>
      <c r="H433" s="7">
        <v>5</v>
      </c>
      <c r="I433" s="7">
        <v>1</v>
      </c>
      <c r="J433" s="7" t="s">
        <v>100</v>
      </c>
      <c r="L433" s="7" t="s">
        <v>47</v>
      </c>
      <c r="S433" s="7">
        <v>3</v>
      </c>
      <c r="T433" s="7">
        <v>8</v>
      </c>
      <c r="U433" s="7">
        <v>5</v>
      </c>
      <c r="AE433" s="7">
        <v>650</v>
      </c>
      <c r="AF433" s="7" t="s">
        <v>323</v>
      </c>
      <c r="AG433" s="7" t="s">
        <v>295</v>
      </c>
      <c r="AH433" s="7">
        <v>4</v>
      </c>
      <c r="AI433" s="7" t="s">
        <v>255</v>
      </c>
      <c r="AJ433" s="7" t="s">
        <v>85</v>
      </c>
      <c r="AK433" s="7" t="s">
        <v>256</v>
      </c>
      <c r="AL433" s="7" t="s">
        <v>257</v>
      </c>
      <c r="AM433" s="7" t="s">
        <v>363</v>
      </c>
    </row>
    <row r="434" spans="1:40" ht="22.5" customHeight="1" x14ac:dyDescent="0.2">
      <c r="A434" s="6">
        <v>46010.685587974542</v>
      </c>
      <c r="B434" s="7" t="s">
        <v>1259</v>
      </c>
      <c r="C434" s="7">
        <v>54</v>
      </c>
      <c r="D434" s="7" t="s">
        <v>73</v>
      </c>
      <c r="E434" s="7" t="s">
        <v>43</v>
      </c>
      <c r="F434" s="7" t="s">
        <v>44</v>
      </c>
      <c r="G434" s="7" t="s">
        <v>109</v>
      </c>
      <c r="H434" s="7">
        <v>6</v>
      </c>
      <c r="I434" s="7">
        <v>1</v>
      </c>
      <c r="J434" s="7" t="s">
        <v>988</v>
      </c>
      <c r="N434" s="7" t="s">
        <v>291</v>
      </c>
      <c r="Y434" s="7">
        <v>18</v>
      </c>
      <c r="Z434" s="7">
        <v>60</v>
      </c>
      <c r="AA434" s="7">
        <v>95</v>
      </c>
      <c r="AE434" s="7">
        <v>9600</v>
      </c>
      <c r="AF434" s="7" t="s">
        <v>360</v>
      </c>
      <c r="AG434" s="7" t="s">
        <v>361</v>
      </c>
      <c r="AH434" s="7">
        <v>30</v>
      </c>
      <c r="AI434" s="7" t="s">
        <v>296</v>
      </c>
      <c r="AJ434" s="7" t="s">
        <v>85</v>
      </c>
      <c r="AK434" s="7" t="s">
        <v>256</v>
      </c>
      <c r="AL434" s="7" t="s">
        <v>257</v>
      </c>
      <c r="AM434" s="7" t="s">
        <v>278</v>
      </c>
    </row>
    <row r="435" spans="1:40" ht="22.5" customHeight="1" x14ac:dyDescent="0.2">
      <c r="A435" s="6">
        <v>46010.686562337964</v>
      </c>
      <c r="B435" s="7" t="s">
        <v>1260</v>
      </c>
      <c r="C435" s="7">
        <v>21</v>
      </c>
      <c r="D435" s="7" t="s">
        <v>42</v>
      </c>
      <c r="E435" s="7" t="s">
        <v>58</v>
      </c>
      <c r="F435" s="7" t="s">
        <v>562</v>
      </c>
      <c r="G435" s="7" t="s">
        <v>182</v>
      </c>
      <c r="H435" s="7">
        <v>4</v>
      </c>
      <c r="I435" s="7">
        <v>1</v>
      </c>
      <c r="J435" s="7" t="s">
        <v>46</v>
      </c>
      <c r="K435" s="7" t="s">
        <v>47</v>
      </c>
      <c r="P435" s="7">
        <v>2</v>
      </c>
      <c r="Q435" s="7">
        <v>18</v>
      </c>
      <c r="R435" s="7">
        <v>11</v>
      </c>
      <c r="AE435" s="7">
        <v>1430</v>
      </c>
      <c r="AF435" s="7" t="s">
        <v>159</v>
      </c>
      <c r="AG435" s="7" t="s">
        <v>1026</v>
      </c>
      <c r="AH435" s="7">
        <v>9</v>
      </c>
      <c r="AI435" s="7" t="s">
        <v>285</v>
      </c>
      <c r="AJ435" s="7" t="s">
        <v>277</v>
      </c>
      <c r="AK435" s="7" t="s">
        <v>256</v>
      </c>
      <c r="AL435" s="7" t="s">
        <v>68</v>
      </c>
      <c r="AN435" s="7" t="s">
        <v>259</v>
      </c>
    </row>
    <row r="436" spans="1:40" ht="22.5" customHeight="1" x14ac:dyDescent="0.2">
      <c r="A436" s="6">
        <v>46010.687717858797</v>
      </c>
      <c r="B436" s="7" t="s">
        <v>1261</v>
      </c>
      <c r="C436" s="7">
        <v>42</v>
      </c>
      <c r="D436" s="7" t="s">
        <v>73</v>
      </c>
      <c r="F436" s="7" t="s">
        <v>44</v>
      </c>
      <c r="G436" s="7" t="s">
        <v>60</v>
      </c>
      <c r="H436" s="7">
        <v>5</v>
      </c>
      <c r="I436" s="7">
        <v>2</v>
      </c>
      <c r="J436" s="7" t="s">
        <v>290</v>
      </c>
      <c r="K436" s="7" t="s">
        <v>47</v>
      </c>
      <c r="N436" s="7" t="s">
        <v>291</v>
      </c>
      <c r="P436" s="7">
        <v>10</v>
      </c>
      <c r="Q436" s="7">
        <v>9</v>
      </c>
      <c r="R436" s="7">
        <v>6</v>
      </c>
      <c r="Y436" s="7">
        <v>14</v>
      </c>
      <c r="Z436" s="7">
        <v>48</v>
      </c>
      <c r="AA436" s="7">
        <v>80</v>
      </c>
      <c r="AE436" s="7">
        <v>9200</v>
      </c>
      <c r="AF436" s="7" t="s">
        <v>252</v>
      </c>
      <c r="AG436" s="7" t="s">
        <v>317</v>
      </c>
      <c r="AH436" s="7">
        <v>5</v>
      </c>
      <c r="AI436" s="7" t="s">
        <v>296</v>
      </c>
      <c r="AJ436" s="7" t="s">
        <v>362</v>
      </c>
      <c r="AK436" s="7" t="s">
        <v>307</v>
      </c>
      <c r="AL436" s="7" t="s">
        <v>68</v>
      </c>
      <c r="AN436" s="7" t="s">
        <v>684</v>
      </c>
    </row>
    <row r="437" spans="1:40" ht="22.5" customHeight="1" x14ac:dyDescent="0.2">
      <c r="A437" s="6">
        <v>46010.688636805557</v>
      </c>
      <c r="B437" s="7" t="s">
        <v>1262</v>
      </c>
      <c r="C437" s="7">
        <v>41</v>
      </c>
      <c r="D437" s="7" t="s">
        <v>42</v>
      </c>
      <c r="E437" s="7" t="s">
        <v>58</v>
      </c>
      <c r="F437" s="7" t="s">
        <v>144</v>
      </c>
      <c r="G437" s="7" t="s">
        <v>182</v>
      </c>
      <c r="H437" s="7">
        <v>5</v>
      </c>
      <c r="I437" s="7">
        <v>1</v>
      </c>
      <c r="J437" s="7" t="s">
        <v>100</v>
      </c>
      <c r="L437" s="7" t="s">
        <v>47</v>
      </c>
      <c r="S437" s="7">
        <v>7</v>
      </c>
      <c r="T437" s="7">
        <v>4</v>
      </c>
      <c r="U437" s="7">
        <v>5</v>
      </c>
      <c r="AE437" s="7">
        <v>520</v>
      </c>
      <c r="AF437" s="7" t="s">
        <v>252</v>
      </c>
      <c r="AG437" s="7" t="s">
        <v>284</v>
      </c>
      <c r="AH437" s="7">
        <v>3</v>
      </c>
      <c r="AI437" s="7" t="s">
        <v>344</v>
      </c>
      <c r="AJ437" s="7" t="s">
        <v>85</v>
      </c>
      <c r="AK437" s="7" t="s">
        <v>335</v>
      </c>
      <c r="AL437" s="7" t="s">
        <v>257</v>
      </c>
      <c r="AM437" s="7" t="s">
        <v>278</v>
      </c>
    </row>
    <row r="438" spans="1:40" ht="22.5" customHeight="1" x14ac:dyDescent="0.2">
      <c r="A438" s="6">
        <v>46010.689463263887</v>
      </c>
      <c r="B438" s="7" t="s">
        <v>1263</v>
      </c>
      <c r="C438" s="7">
        <v>31</v>
      </c>
      <c r="D438" s="7" t="s">
        <v>73</v>
      </c>
      <c r="E438" s="7" t="s">
        <v>58</v>
      </c>
      <c r="F438" s="7" t="s">
        <v>74</v>
      </c>
      <c r="G438" s="7" t="s">
        <v>45</v>
      </c>
      <c r="H438" s="7">
        <v>5</v>
      </c>
      <c r="I438" s="7">
        <v>1</v>
      </c>
      <c r="J438" s="7" t="s">
        <v>46</v>
      </c>
      <c r="K438" s="7" t="s">
        <v>47</v>
      </c>
      <c r="P438" s="7">
        <v>4</v>
      </c>
      <c r="Q438" s="7">
        <v>20</v>
      </c>
      <c r="R438" s="7">
        <v>12</v>
      </c>
      <c r="AE438" s="7">
        <v>1560</v>
      </c>
      <c r="AF438" s="7" t="s">
        <v>252</v>
      </c>
      <c r="AG438" s="7" t="s">
        <v>284</v>
      </c>
      <c r="AH438" s="7">
        <v>6</v>
      </c>
      <c r="AI438" s="7" t="s">
        <v>255</v>
      </c>
      <c r="AJ438" s="7" t="s">
        <v>85</v>
      </c>
      <c r="AK438" s="7" t="s">
        <v>256</v>
      </c>
      <c r="AL438" s="7" t="s">
        <v>68</v>
      </c>
      <c r="AN438" s="7" t="s">
        <v>259</v>
      </c>
    </row>
    <row r="439" spans="1:40" ht="22.5" customHeight="1" x14ac:dyDescent="0.2">
      <c r="A439" s="6">
        <v>46010.692037233792</v>
      </c>
      <c r="B439" s="7" t="s">
        <v>1264</v>
      </c>
      <c r="C439" s="7">
        <v>46</v>
      </c>
      <c r="D439" s="7" t="s">
        <v>42</v>
      </c>
      <c r="E439" s="7" t="s">
        <v>58</v>
      </c>
      <c r="F439" s="7" t="s">
        <v>144</v>
      </c>
      <c r="G439" s="7" t="s">
        <v>89</v>
      </c>
      <c r="H439" s="7">
        <v>5</v>
      </c>
      <c r="I439" s="7">
        <v>1</v>
      </c>
      <c r="J439" s="7" t="s">
        <v>46</v>
      </c>
      <c r="K439" s="7" t="s">
        <v>47</v>
      </c>
      <c r="P439" s="7">
        <v>13</v>
      </c>
      <c r="Q439" s="7">
        <v>4</v>
      </c>
      <c r="R439" s="7">
        <v>3</v>
      </c>
      <c r="AE439" s="7">
        <v>390</v>
      </c>
      <c r="AF439" s="7" t="s">
        <v>252</v>
      </c>
      <c r="AG439" s="7" t="s">
        <v>361</v>
      </c>
      <c r="AH439" s="7">
        <v>2</v>
      </c>
      <c r="AI439" s="7" t="s">
        <v>344</v>
      </c>
      <c r="AJ439" s="7" t="s">
        <v>85</v>
      </c>
      <c r="AK439" s="7" t="s">
        <v>335</v>
      </c>
      <c r="AL439" s="7" t="s">
        <v>68</v>
      </c>
      <c r="AN439" s="7" t="s">
        <v>259</v>
      </c>
    </row>
    <row r="440" spans="1:40" ht="22.5" customHeight="1" x14ac:dyDescent="0.2">
      <c r="A440" s="6">
        <v>46010.693183287032</v>
      </c>
      <c r="B440" s="7" t="s">
        <v>1265</v>
      </c>
      <c r="C440" s="7">
        <v>27</v>
      </c>
      <c r="D440" s="7" t="s">
        <v>73</v>
      </c>
      <c r="E440" s="7" t="s">
        <v>58</v>
      </c>
      <c r="F440" s="7" t="s">
        <v>74</v>
      </c>
      <c r="G440" s="7" t="s">
        <v>89</v>
      </c>
      <c r="H440" s="7">
        <v>5</v>
      </c>
      <c r="I440" s="7">
        <v>1</v>
      </c>
      <c r="J440" s="7" t="s">
        <v>46</v>
      </c>
      <c r="K440" s="7" t="s">
        <v>47</v>
      </c>
      <c r="P440" s="7">
        <v>2</v>
      </c>
      <c r="Q440" s="7">
        <v>14</v>
      </c>
      <c r="R440" s="7">
        <v>24</v>
      </c>
      <c r="AE440" s="7">
        <v>1820</v>
      </c>
      <c r="AF440" s="7" t="s">
        <v>252</v>
      </c>
      <c r="AG440" s="7" t="s">
        <v>284</v>
      </c>
      <c r="AH440" s="7">
        <v>12</v>
      </c>
      <c r="AI440" s="7" t="s">
        <v>255</v>
      </c>
      <c r="AJ440" s="7" t="s">
        <v>85</v>
      </c>
      <c r="AK440" s="7" t="s">
        <v>335</v>
      </c>
      <c r="AL440" s="7" t="s">
        <v>68</v>
      </c>
      <c r="AN440" s="7" t="s">
        <v>259</v>
      </c>
    </row>
    <row r="441" spans="1:40" ht="22.5" customHeight="1" x14ac:dyDescent="0.2">
      <c r="A441" s="6">
        <v>46010.694094386577</v>
      </c>
      <c r="B441" s="7" t="s">
        <v>1266</v>
      </c>
      <c r="C441" s="7">
        <v>57</v>
      </c>
      <c r="D441" s="7" t="s">
        <v>42</v>
      </c>
      <c r="E441" s="7" t="s">
        <v>58</v>
      </c>
      <c r="F441" s="7" t="s">
        <v>144</v>
      </c>
      <c r="G441" s="7" t="s">
        <v>89</v>
      </c>
      <c r="H441" s="7">
        <v>5</v>
      </c>
      <c r="I441" s="7">
        <v>1</v>
      </c>
      <c r="J441" s="7" t="s">
        <v>100</v>
      </c>
      <c r="L441" s="7" t="s">
        <v>47</v>
      </c>
      <c r="S441" s="7">
        <v>10</v>
      </c>
      <c r="T441" s="7">
        <v>3</v>
      </c>
      <c r="U441" s="7">
        <v>2</v>
      </c>
      <c r="AE441" s="7">
        <v>260</v>
      </c>
      <c r="AF441" s="7" t="s">
        <v>159</v>
      </c>
      <c r="AG441" s="7" t="s">
        <v>295</v>
      </c>
      <c r="AH441" s="7">
        <v>2</v>
      </c>
      <c r="AI441" s="7" t="s">
        <v>344</v>
      </c>
      <c r="AJ441" s="7" t="s">
        <v>85</v>
      </c>
      <c r="AK441" s="7" t="s">
        <v>256</v>
      </c>
      <c r="AL441" s="7" t="s">
        <v>68</v>
      </c>
      <c r="AN441" s="7" t="s">
        <v>303</v>
      </c>
    </row>
    <row r="442" spans="1:40" ht="22.5" customHeight="1" x14ac:dyDescent="0.2">
      <c r="A442" s="6">
        <v>46010.809037951389</v>
      </c>
      <c r="B442" s="7" t="s">
        <v>1267</v>
      </c>
      <c r="C442" s="7">
        <v>37</v>
      </c>
      <c r="D442" s="7" t="s">
        <v>73</v>
      </c>
      <c r="E442" s="7" t="s">
        <v>58</v>
      </c>
      <c r="F442" s="7" t="s">
        <v>74</v>
      </c>
      <c r="G442" s="7" t="s">
        <v>60</v>
      </c>
      <c r="H442" s="7">
        <v>4</v>
      </c>
      <c r="I442" s="7">
        <v>2</v>
      </c>
      <c r="J442" s="7" t="s">
        <v>246</v>
      </c>
      <c r="K442" s="7" t="s">
        <v>47</v>
      </c>
      <c r="M442" s="7" t="s">
        <v>47</v>
      </c>
      <c r="P442" s="7">
        <v>6</v>
      </c>
      <c r="Q442" s="7">
        <v>8</v>
      </c>
      <c r="R442" s="7">
        <v>5</v>
      </c>
      <c r="V442" s="7">
        <v>5</v>
      </c>
      <c r="W442" s="7">
        <v>24</v>
      </c>
      <c r="X442" s="7">
        <v>22</v>
      </c>
      <c r="AE442" s="7">
        <v>3900</v>
      </c>
      <c r="AF442" s="7" t="s">
        <v>159</v>
      </c>
      <c r="AG442" s="7" t="s">
        <v>317</v>
      </c>
      <c r="AH442" s="7">
        <v>12</v>
      </c>
      <c r="AI442" s="7" t="s">
        <v>255</v>
      </c>
      <c r="AJ442" s="7" t="s">
        <v>85</v>
      </c>
      <c r="AK442" s="7" t="s">
        <v>256</v>
      </c>
      <c r="AL442" s="7" t="s">
        <v>257</v>
      </c>
      <c r="AN442" s="7" t="s">
        <v>460</v>
      </c>
    </row>
    <row r="443" spans="1:40" ht="22.5" customHeight="1" x14ac:dyDescent="0.2">
      <c r="A443" s="6">
        <v>46010.812992071762</v>
      </c>
      <c r="B443" s="7" t="s">
        <v>1268</v>
      </c>
      <c r="C443" s="7">
        <v>41</v>
      </c>
      <c r="D443" s="7" t="s">
        <v>42</v>
      </c>
      <c r="E443" s="7" t="s">
        <v>43</v>
      </c>
      <c r="F443" s="7" t="s">
        <v>144</v>
      </c>
      <c r="G443" s="7" t="s">
        <v>89</v>
      </c>
      <c r="H443" s="7">
        <v>5</v>
      </c>
      <c r="I443" s="7">
        <v>1</v>
      </c>
      <c r="J443" s="7" t="s">
        <v>100</v>
      </c>
      <c r="L443" s="7" t="s">
        <v>47</v>
      </c>
      <c r="S443" s="7">
        <v>7</v>
      </c>
      <c r="T443" s="7">
        <v>4</v>
      </c>
      <c r="U443" s="7">
        <v>3</v>
      </c>
      <c r="AE443" s="7">
        <v>390</v>
      </c>
      <c r="AF443" s="7" t="s">
        <v>252</v>
      </c>
      <c r="AG443" s="7" t="s">
        <v>361</v>
      </c>
      <c r="AH443" s="7">
        <v>2</v>
      </c>
      <c r="AI443" s="7" t="s">
        <v>344</v>
      </c>
      <c r="AJ443" s="7" t="s">
        <v>277</v>
      </c>
      <c r="AK443" s="7" t="s">
        <v>335</v>
      </c>
      <c r="AL443" s="7" t="s">
        <v>68</v>
      </c>
      <c r="AN443" s="7" t="s">
        <v>259</v>
      </c>
    </row>
    <row r="444" spans="1:40" ht="22.5" customHeight="1" x14ac:dyDescent="0.2">
      <c r="A444" s="6">
        <v>46010.815030902777</v>
      </c>
      <c r="B444" s="7" t="s">
        <v>1269</v>
      </c>
      <c r="C444" s="7">
        <v>26</v>
      </c>
      <c r="D444" s="7" t="s">
        <v>73</v>
      </c>
      <c r="E444" s="7" t="s">
        <v>58</v>
      </c>
      <c r="F444" s="7" t="s">
        <v>562</v>
      </c>
      <c r="G444" s="7" t="s">
        <v>182</v>
      </c>
      <c r="H444" s="7">
        <v>4</v>
      </c>
      <c r="I444" s="7">
        <v>1</v>
      </c>
      <c r="J444" s="7" t="s">
        <v>46</v>
      </c>
      <c r="K444" s="7" t="s">
        <v>47</v>
      </c>
      <c r="P444" s="7">
        <v>2</v>
      </c>
      <c r="Q444" s="7">
        <v>22</v>
      </c>
      <c r="R444" s="7">
        <v>13</v>
      </c>
      <c r="AE444" s="7">
        <v>1690</v>
      </c>
      <c r="AF444" s="7" t="s">
        <v>323</v>
      </c>
      <c r="AG444" s="7" t="s">
        <v>1270</v>
      </c>
      <c r="AH444" s="7">
        <v>11</v>
      </c>
      <c r="AI444" s="7" t="s">
        <v>285</v>
      </c>
      <c r="AJ444" s="7" t="s">
        <v>96</v>
      </c>
      <c r="AK444" s="7" t="s">
        <v>256</v>
      </c>
      <c r="AL444" s="7" t="s">
        <v>152</v>
      </c>
      <c r="AM444" s="7" t="s">
        <v>278</v>
      </c>
    </row>
    <row r="445" spans="1:40" ht="22.5" customHeight="1" x14ac:dyDescent="0.2">
      <c r="A445" s="6">
        <v>46010.817193750001</v>
      </c>
      <c r="B445" s="7" t="s">
        <v>1271</v>
      </c>
      <c r="C445" s="7">
        <v>50</v>
      </c>
      <c r="D445" s="7" t="s">
        <v>73</v>
      </c>
      <c r="E445" s="7" t="s">
        <v>43</v>
      </c>
      <c r="F445" s="7" t="s">
        <v>44</v>
      </c>
      <c r="G445" s="7" t="s">
        <v>45</v>
      </c>
      <c r="H445" s="7">
        <v>6</v>
      </c>
      <c r="I445" s="7">
        <v>2</v>
      </c>
      <c r="J445" s="7" t="s">
        <v>290</v>
      </c>
      <c r="K445" s="7" t="s">
        <v>47</v>
      </c>
      <c r="N445" s="7" t="s">
        <v>291</v>
      </c>
      <c r="P445" s="7">
        <v>12</v>
      </c>
      <c r="Q445" s="7">
        <v>5</v>
      </c>
      <c r="R445" s="7">
        <v>4</v>
      </c>
      <c r="Y445" s="7">
        <v>16</v>
      </c>
      <c r="Z445" s="7">
        <v>54</v>
      </c>
      <c r="AA445" s="7">
        <v>90</v>
      </c>
      <c r="AE445" s="7">
        <v>11000</v>
      </c>
      <c r="AF445" s="7" t="s">
        <v>159</v>
      </c>
      <c r="AG445" s="7" t="s">
        <v>253</v>
      </c>
      <c r="AH445" s="7">
        <v>6</v>
      </c>
      <c r="AI445" s="7" t="s">
        <v>296</v>
      </c>
      <c r="AJ445" s="7" t="s">
        <v>362</v>
      </c>
      <c r="AK445" s="7" t="s">
        <v>307</v>
      </c>
      <c r="AL445" s="7" t="s">
        <v>68</v>
      </c>
      <c r="AN445" s="7" t="s">
        <v>460</v>
      </c>
    </row>
    <row r="446" spans="1:40" ht="22.5" customHeight="1" x14ac:dyDescent="0.2">
      <c r="A446" s="6">
        <v>46010.819234641203</v>
      </c>
      <c r="B446" s="7" t="s">
        <v>1272</v>
      </c>
      <c r="C446" s="7">
        <v>34</v>
      </c>
      <c r="D446" s="7" t="s">
        <v>42</v>
      </c>
      <c r="E446" s="7" t="s">
        <v>58</v>
      </c>
      <c r="F446" s="7" t="s">
        <v>74</v>
      </c>
      <c r="G446" s="7" t="s">
        <v>45</v>
      </c>
      <c r="H446" s="7">
        <v>3</v>
      </c>
      <c r="I446" s="7">
        <v>1</v>
      </c>
      <c r="J446" s="7" t="s">
        <v>100</v>
      </c>
      <c r="L446" s="7" t="s">
        <v>47</v>
      </c>
      <c r="S446" s="7">
        <v>4</v>
      </c>
      <c r="T446" s="7">
        <v>7</v>
      </c>
      <c r="U446" s="7">
        <v>5</v>
      </c>
      <c r="AE446" s="7">
        <v>650</v>
      </c>
      <c r="AF446" s="7" t="s">
        <v>159</v>
      </c>
      <c r="AG446" s="7" t="s">
        <v>317</v>
      </c>
      <c r="AH446" s="7">
        <v>4</v>
      </c>
      <c r="AI446" s="7" t="s">
        <v>255</v>
      </c>
      <c r="AJ446" s="7" t="s">
        <v>96</v>
      </c>
      <c r="AK446" s="7" t="s">
        <v>256</v>
      </c>
      <c r="AL446" s="7" t="s">
        <v>257</v>
      </c>
      <c r="AN446" s="7" t="s">
        <v>684</v>
      </c>
    </row>
    <row r="447" spans="1:40" ht="22.5" customHeight="1" x14ac:dyDescent="0.2">
      <c r="A447" s="6">
        <v>46010.822778668982</v>
      </c>
      <c r="B447" s="7" t="s">
        <v>1273</v>
      </c>
      <c r="C447" s="7">
        <v>39</v>
      </c>
      <c r="D447" s="7" t="s">
        <v>73</v>
      </c>
      <c r="E447" s="7" t="s">
        <v>58</v>
      </c>
      <c r="F447" s="7" t="s">
        <v>172</v>
      </c>
      <c r="G447" s="7" t="s">
        <v>109</v>
      </c>
      <c r="H447" s="7">
        <v>4</v>
      </c>
      <c r="I447" s="7">
        <v>3</v>
      </c>
      <c r="J447" s="7" t="s">
        <v>390</v>
      </c>
      <c r="K447" s="7" t="s">
        <v>47</v>
      </c>
      <c r="L447" s="7" t="s">
        <v>47</v>
      </c>
      <c r="M447" s="7" t="s">
        <v>47</v>
      </c>
      <c r="P447" s="7">
        <v>9</v>
      </c>
      <c r="Q447" s="7">
        <v>6</v>
      </c>
      <c r="R447" s="7">
        <v>4</v>
      </c>
      <c r="S447" s="7">
        <v>3</v>
      </c>
      <c r="T447" s="7">
        <v>5</v>
      </c>
      <c r="U447" s="7">
        <v>3</v>
      </c>
      <c r="V447" s="7">
        <v>6</v>
      </c>
      <c r="W447" s="7">
        <v>26</v>
      </c>
      <c r="X447" s="7">
        <v>24</v>
      </c>
      <c r="AE447" s="7">
        <v>4400</v>
      </c>
      <c r="AF447" s="7" t="s">
        <v>276</v>
      </c>
      <c r="AG447" s="7" t="s">
        <v>253</v>
      </c>
      <c r="AH447" s="7">
        <v>12</v>
      </c>
      <c r="AI447" s="7" t="s">
        <v>559</v>
      </c>
      <c r="AJ447" s="7" t="s">
        <v>362</v>
      </c>
      <c r="AK447" s="7" t="s">
        <v>307</v>
      </c>
      <c r="AL447" s="7" t="s">
        <v>257</v>
      </c>
      <c r="AM447" s="7" t="s">
        <v>363</v>
      </c>
    </row>
    <row r="448" spans="1:40" ht="22.5" customHeight="1" x14ac:dyDescent="0.2">
      <c r="A448" s="6">
        <v>46010.824512997686</v>
      </c>
      <c r="B448" s="7" t="s">
        <v>1274</v>
      </c>
      <c r="C448" s="7">
        <v>48</v>
      </c>
      <c r="D448" s="7" t="s">
        <v>42</v>
      </c>
      <c r="E448" s="7" t="s">
        <v>43</v>
      </c>
      <c r="F448" s="7" t="s">
        <v>144</v>
      </c>
      <c r="G448" s="7" t="s">
        <v>89</v>
      </c>
      <c r="H448" s="7">
        <v>6</v>
      </c>
      <c r="I448" s="7">
        <v>1</v>
      </c>
      <c r="J448" s="7" t="s">
        <v>46</v>
      </c>
      <c r="K448" s="7" t="s">
        <v>47</v>
      </c>
      <c r="P448" s="7">
        <v>14</v>
      </c>
      <c r="Q448" s="7">
        <v>4</v>
      </c>
      <c r="R448" s="7">
        <v>3</v>
      </c>
      <c r="AE448" s="7">
        <v>390</v>
      </c>
      <c r="AF448" s="7" t="s">
        <v>252</v>
      </c>
      <c r="AG448" s="7" t="s">
        <v>361</v>
      </c>
      <c r="AH448" s="7">
        <v>2</v>
      </c>
      <c r="AI448" s="7" t="s">
        <v>344</v>
      </c>
      <c r="AJ448" s="7" t="s">
        <v>277</v>
      </c>
      <c r="AK448" s="7" t="s">
        <v>256</v>
      </c>
      <c r="AL448" s="7" t="s">
        <v>68</v>
      </c>
      <c r="AN448" s="7" t="s">
        <v>460</v>
      </c>
    </row>
    <row r="449" spans="1:41" ht="22.5" customHeight="1" x14ac:dyDescent="0.2">
      <c r="A449" s="6">
        <v>46010.826470706015</v>
      </c>
      <c r="B449" s="7" t="s">
        <v>1275</v>
      </c>
      <c r="C449" s="7">
        <v>33</v>
      </c>
      <c r="D449" s="7" t="s">
        <v>73</v>
      </c>
      <c r="E449" s="7" t="s">
        <v>58</v>
      </c>
      <c r="F449" s="7" t="s">
        <v>138</v>
      </c>
      <c r="G449" s="7" t="s">
        <v>60</v>
      </c>
      <c r="H449" s="7">
        <v>4</v>
      </c>
      <c r="I449" s="7">
        <v>1</v>
      </c>
      <c r="J449" s="7" t="s">
        <v>431</v>
      </c>
      <c r="M449" s="7" t="s">
        <v>47</v>
      </c>
      <c r="V449" s="7">
        <v>5</v>
      </c>
      <c r="W449" s="7">
        <v>28</v>
      </c>
      <c r="X449" s="7">
        <v>26</v>
      </c>
      <c r="AE449" s="7">
        <v>4000</v>
      </c>
      <c r="AF449" s="7" t="s">
        <v>276</v>
      </c>
      <c r="AG449" s="7" t="s">
        <v>253</v>
      </c>
      <c r="AH449" s="7">
        <v>14</v>
      </c>
      <c r="AI449" s="7" t="s">
        <v>255</v>
      </c>
      <c r="AJ449" s="7" t="s">
        <v>85</v>
      </c>
      <c r="AK449" s="7" t="s">
        <v>256</v>
      </c>
      <c r="AL449" s="7" t="s">
        <v>152</v>
      </c>
      <c r="AM449" s="7" t="s">
        <v>1276</v>
      </c>
    </row>
    <row r="450" spans="1:41" ht="22.5" customHeight="1" x14ac:dyDescent="0.2">
      <c r="A450" s="6">
        <v>46010.830043912036</v>
      </c>
      <c r="B450" s="7" t="s">
        <v>1277</v>
      </c>
      <c r="C450" s="7">
        <v>29</v>
      </c>
      <c r="D450" s="7" t="s">
        <v>1278</v>
      </c>
      <c r="E450" s="7" t="s">
        <v>58</v>
      </c>
      <c r="F450" s="7" t="s">
        <v>74</v>
      </c>
      <c r="G450" s="7" t="s">
        <v>45</v>
      </c>
      <c r="H450" s="7">
        <v>3</v>
      </c>
      <c r="I450" s="7">
        <v>1</v>
      </c>
      <c r="J450" s="7" t="s">
        <v>46</v>
      </c>
      <c r="K450" s="7" t="s">
        <v>47</v>
      </c>
      <c r="P450" s="7">
        <v>3</v>
      </c>
      <c r="Q450" s="7">
        <v>18</v>
      </c>
      <c r="R450" s="7">
        <v>11</v>
      </c>
      <c r="AE450" s="7">
        <v>1430</v>
      </c>
      <c r="AF450" s="7" t="s">
        <v>323</v>
      </c>
      <c r="AH450" s="7">
        <v>9</v>
      </c>
      <c r="AI450" s="7" t="s">
        <v>255</v>
      </c>
      <c r="AJ450" s="7" t="s">
        <v>96</v>
      </c>
      <c r="AK450" s="7" t="s">
        <v>256</v>
      </c>
      <c r="AL450" s="7" t="s">
        <v>257</v>
      </c>
      <c r="AM450" s="7" t="s">
        <v>278</v>
      </c>
    </row>
    <row r="451" spans="1:41" ht="22.5" customHeight="1" x14ac:dyDescent="0.2">
      <c r="A451" s="6">
        <v>46010.849976863421</v>
      </c>
      <c r="B451" s="7" t="s">
        <v>1279</v>
      </c>
      <c r="C451" s="7">
        <v>57</v>
      </c>
      <c r="D451" s="7" t="s">
        <v>73</v>
      </c>
      <c r="E451" s="7" t="s">
        <v>43</v>
      </c>
      <c r="F451" s="7" t="s">
        <v>44</v>
      </c>
      <c r="G451" s="7" t="s">
        <v>45</v>
      </c>
      <c r="H451" s="7">
        <v>5</v>
      </c>
      <c r="I451" s="7">
        <v>3</v>
      </c>
      <c r="J451" s="7" t="s">
        <v>46</v>
      </c>
      <c r="K451" s="7" t="s">
        <v>47</v>
      </c>
      <c r="N451" s="7" t="s">
        <v>291</v>
      </c>
      <c r="Q451" s="7">
        <v>5</v>
      </c>
      <c r="R451" s="7" t="s">
        <v>1280</v>
      </c>
      <c r="T451" s="7">
        <v>20</v>
      </c>
      <c r="U451" s="7">
        <v>92</v>
      </c>
      <c r="AE451" s="7">
        <v>9400</v>
      </c>
      <c r="AF451" s="7" t="s">
        <v>252</v>
      </c>
      <c r="AG451" s="7" t="s">
        <v>361</v>
      </c>
      <c r="AH451" s="7">
        <v>7</v>
      </c>
      <c r="AI451" s="7" t="s">
        <v>296</v>
      </c>
      <c r="AJ451" s="7" t="s">
        <v>362</v>
      </c>
      <c r="AK451" s="7" t="s">
        <v>307</v>
      </c>
      <c r="AL451" s="7" t="s">
        <v>257</v>
      </c>
      <c r="AN451" s="7" t="s">
        <v>259</v>
      </c>
    </row>
    <row r="452" spans="1:41" ht="22.5" customHeight="1" x14ac:dyDescent="0.2">
      <c r="A452" s="6">
        <v>46010.857245208332</v>
      </c>
      <c r="B452" s="7" t="s">
        <v>1281</v>
      </c>
      <c r="C452" s="7">
        <v>46</v>
      </c>
      <c r="D452" s="7" t="s">
        <v>73</v>
      </c>
      <c r="E452" s="7" t="s">
        <v>43</v>
      </c>
      <c r="F452" s="7" t="s">
        <v>44</v>
      </c>
      <c r="G452" s="7" t="s">
        <v>45</v>
      </c>
      <c r="H452" s="7">
        <v>5</v>
      </c>
      <c r="I452" s="7">
        <v>2</v>
      </c>
      <c r="J452" s="7" t="s">
        <v>290</v>
      </c>
      <c r="K452" s="7" t="s">
        <v>47</v>
      </c>
      <c r="N452" s="7" t="s">
        <v>291</v>
      </c>
      <c r="P452" s="7" t="s">
        <v>590</v>
      </c>
      <c r="Q452" s="7" t="s">
        <v>324</v>
      </c>
      <c r="R452" s="7" t="s">
        <v>1282</v>
      </c>
      <c r="Y452" s="7" t="s">
        <v>1283</v>
      </c>
      <c r="Z452" s="7" t="s">
        <v>140</v>
      </c>
      <c r="AA452" s="7" t="s">
        <v>465</v>
      </c>
      <c r="AE452" s="7" t="s">
        <v>1284</v>
      </c>
      <c r="AF452" s="7" t="s">
        <v>252</v>
      </c>
      <c r="AG452" s="7" t="s">
        <v>253</v>
      </c>
      <c r="AH452" s="7" t="s">
        <v>367</v>
      </c>
      <c r="AI452" s="7" t="s">
        <v>296</v>
      </c>
      <c r="AJ452" s="7" t="s">
        <v>85</v>
      </c>
      <c r="AK452" s="7" t="s">
        <v>256</v>
      </c>
      <c r="AL452" s="7" t="s">
        <v>68</v>
      </c>
      <c r="AN452" s="7" t="s">
        <v>460</v>
      </c>
      <c r="AO452" s="7" t="s">
        <v>1285</v>
      </c>
    </row>
    <row r="453" spans="1:41" ht="22.5" customHeight="1" x14ac:dyDescent="0.2">
      <c r="A453" s="6">
        <v>46010.859767997681</v>
      </c>
      <c r="B453" s="7" t="s">
        <v>1134</v>
      </c>
      <c r="C453" s="7">
        <v>24</v>
      </c>
      <c r="D453" s="7" t="s">
        <v>42</v>
      </c>
      <c r="E453" s="7" t="s">
        <v>58</v>
      </c>
      <c r="F453" s="7" t="s">
        <v>562</v>
      </c>
      <c r="G453" s="7" t="s">
        <v>182</v>
      </c>
      <c r="H453" s="7">
        <v>4</v>
      </c>
      <c r="I453" s="7">
        <v>1</v>
      </c>
      <c r="J453" s="7" t="s">
        <v>100</v>
      </c>
      <c r="L453" s="7" t="s">
        <v>47</v>
      </c>
      <c r="S453" s="7" t="s">
        <v>478</v>
      </c>
      <c r="T453" s="7" t="s">
        <v>367</v>
      </c>
      <c r="U453" s="7" t="s">
        <v>1282</v>
      </c>
      <c r="AE453" s="7" t="s">
        <v>1286</v>
      </c>
      <c r="AF453" s="7" t="s">
        <v>323</v>
      </c>
      <c r="AG453" s="7" t="s">
        <v>284</v>
      </c>
      <c r="AH453" s="7" t="s">
        <v>1287</v>
      </c>
      <c r="AI453" s="7" t="s">
        <v>285</v>
      </c>
      <c r="AJ453" s="7" t="s">
        <v>96</v>
      </c>
      <c r="AK453" s="7" t="s">
        <v>256</v>
      </c>
      <c r="AL453" s="7" t="s">
        <v>152</v>
      </c>
      <c r="AM453" s="7" t="s">
        <v>286</v>
      </c>
      <c r="AO453" s="7" t="s">
        <v>1288</v>
      </c>
    </row>
    <row r="454" spans="1:41" ht="22.5" customHeight="1" x14ac:dyDescent="0.2">
      <c r="A454" s="6">
        <v>46010.864790439809</v>
      </c>
      <c r="B454" s="7" t="s">
        <v>1289</v>
      </c>
      <c r="C454" s="7">
        <v>38</v>
      </c>
      <c r="D454" s="7" t="s">
        <v>73</v>
      </c>
      <c r="E454" s="7" t="s">
        <v>58</v>
      </c>
      <c r="F454" s="7" t="s">
        <v>172</v>
      </c>
      <c r="G454" s="7" t="s">
        <v>60</v>
      </c>
      <c r="H454" s="7">
        <v>4</v>
      </c>
      <c r="I454" s="7">
        <v>2</v>
      </c>
      <c r="J454" s="7" t="s">
        <v>246</v>
      </c>
      <c r="K454" s="7" t="s">
        <v>47</v>
      </c>
      <c r="M454" s="7" t="s">
        <v>47</v>
      </c>
      <c r="P454" s="7" t="s">
        <v>1290</v>
      </c>
      <c r="Q454" s="7" t="s">
        <v>501</v>
      </c>
      <c r="R454" s="7" t="s">
        <v>437</v>
      </c>
      <c r="V454" s="7" t="s">
        <v>1291</v>
      </c>
      <c r="W454" s="7" t="s">
        <v>1292</v>
      </c>
      <c r="X454" s="7" t="s">
        <v>1293</v>
      </c>
      <c r="AE454" s="7" t="s">
        <v>1294</v>
      </c>
      <c r="AF454" s="7" t="s">
        <v>276</v>
      </c>
      <c r="AG454" s="7" t="s">
        <v>253</v>
      </c>
      <c r="AH454" s="7" t="s">
        <v>719</v>
      </c>
      <c r="AI454" s="7" t="s">
        <v>559</v>
      </c>
      <c r="AJ454" s="7" t="s">
        <v>362</v>
      </c>
      <c r="AL454" s="7" t="s">
        <v>257</v>
      </c>
      <c r="AM454" s="7" t="s">
        <v>363</v>
      </c>
      <c r="AO454" s="7" t="s">
        <v>1295</v>
      </c>
    </row>
    <row r="455" spans="1:41" ht="22.5" customHeight="1" x14ac:dyDescent="0.2">
      <c r="A455" s="6">
        <v>46010.868363171292</v>
      </c>
      <c r="B455" s="7" t="s">
        <v>1296</v>
      </c>
      <c r="C455" s="7">
        <v>52</v>
      </c>
      <c r="D455" s="7" t="s">
        <v>73</v>
      </c>
      <c r="E455" s="7" t="s">
        <v>43</v>
      </c>
      <c r="F455" s="7" t="s">
        <v>44</v>
      </c>
      <c r="G455" s="7" t="s">
        <v>45</v>
      </c>
      <c r="H455" s="7">
        <v>6</v>
      </c>
      <c r="I455" s="7">
        <v>1</v>
      </c>
      <c r="J455" s="7" t="s">
        <v>988</v>
      </c>
      <c r="N455" s="7" t="s">
        <v>291</v>
      </c>
      <c r="Y455" s="7" t="s">
        <v>1297</v>
      </c>
      <c r="Z455" s="7" t="s">
        <v>1298</v>
      </c>
      <c r="AA455" s="7" t="s">
        <v>1299</v>
      </c>
      <c r="AE455" s="7" t="s">
        <v>1300</v>
      </c>
      <c r="AF455" s="7" t="s">
        <v>252</v>
      </c>
      <c r="AG455" s="7" t="s">
        <v>361</v>
      </c>
      <c r="AH455" s="7" t="s">
        <v>324</v>
      </c>
      <c r="AI455" s="7" t="s">
        <v>296</v>
      </c>
      <c r="AJ455" s="7" t="s">
        <v>362</v>
      </c>
      <c r="AL455" s="7" t="s">
        <v>68</v>
      </c>
      <c r="AN455" s="7" t="s">
        <v>259</v>
      </c>
      <c r="AO455" s="7" t="s">
        <v>1301</v>
      </c>
    </row>
    <row r="456" spans="1:41" ht="22.5" customHeight="1" x14ac:dyDescent="0.2">
      <c r="A456" s="6">
        <v>46011.476909849538</v>
      </c>
      <c r="B456" s="7" t="s">
        <v>1302</v>
      </c>
      <c r="C456" s="7">
        <v>56</v>
      </c>
      <c r="D456" s="7" t="s">
        <v>73</v>
      </c>
      <c r="E456" s="7" t="s">
        <v>58</v>
      </c>
      <c r="F456" s="7" t="s">
        <v>44</v>
      </c>
      <c r="G456" s="7" t="s">
        <v>60</v>
      </c>
      <c r="H456" s="7">
        <v>6</v>
      </c>
      <c r="I456" s="7">
        <v>1</v>
      </c>
      <c r="J456" s="7" t="s">
        <v>46</v>
      </c>
      <c r="K456" s="7" t="s">
        <v>47</v>
      </c>
      <c r="P456" s="7">
        <v>8</v>
      </c>
      <c r="Q456" s="7">
        <v>9</v>
      </c>
      <c r="R456" s="7">
        <v>6</v>
      </c>
      <c r="AE456" s="7">
        <v>780</v>
      </c>
      <c r="AF456" s="7" t="s">
        <v>276</v>
      </c>
      <c r="AG456" s="7" t="s">
        <v>295</v>
      </c>
      <c r="AH456" s="7">
        <v>3</v>
      </c>
      <c r="AI456" s="7" t="s">
        <v>296</v>
      </c>
      <c r="AJ456" s="7" t="s">
        <v>277</v>
      </c>
      <c r="AK456" s="7" t="s">
        <v>335</v>
      </c>
      <c r="AL456" s="7" t="s">
        <v>257</v>
      </c>
      <c r="AM456" s="7" t="s">
        <v>368</v>
      </c>
    </row>
    <row r="457" spans="1:41" ht="22.5" customHeight="1" x14ac:dyDescent="0.2">
      <c r="A457" s="6">
        <v>46011.477938333337</v>
      </c>
      <c r="B457" s="7" t="s">
        <v>1303</v>
      </c>
      <c r="C457" s="7">
        <v>28</v>
      </c>
      <c r="D457" s="7" t="s">
        <v>42</v>
      </c>
      <c r="E457" s="7" t="s">
        <v>58</v>
      </c>
      <c r="F457" s="7" t="s">
        <v>74</v>
      </c>
      <c r="G457" s="7" t="s">
        <v>45</v>
      </c>
      <c r="H457" s="7">
        <v>5</v>
      </c>
      <c r="I457" s="7">
        <v>1</v>
      </c>
      <c r="J457" s="7" t="s">
        <v>100</v>
      </c>
      <c r="L457" s="7" t="s">
        <v>47</v>
      </c>
      <c r="S457" s="7">
        <v>2</v>
      </c>
      <c r="T457" s="7">
        <v>10</v>
      </c>
      <c r="U457" s="7">
        <v>7</v>
      </c>
      <c r="AE457" s="7">
        <v>780</v>
      </c>
      <c r="AF457" s="7" t="s">
        <v>276</v>
      </c>
      <c r="AG457" s="7" t="s">
        <v>361</v>
      </c>
      <c r="AH457" s="7">
        <v>4</v>
      </c>
      <c r="AI457" s="7" t="s">
        <v>255</v>
      </c>
      <c r="AJ457" s="7" t="s">
        <v>85</v>
      </c>
      <c r="AK457" s="7" t="s">
        <v>256</v>
      </c>
      <c r="AL457" s="7" t="s">
        <v>68</v>
      </c>
      <c r="AN457" s="7" t="s">
        <v>259</v>
      </c>
    </row>
    <row r="458" spans="1:41" ht="22.5" customHeight="1" x14ac:dyDescent="0.2">
      <c r="A458" s="6">
        <v>46011.479021099542</v>
      </c>
      <c r="B458" s="7" t="s">
        <v>1304</v>
      </c>
      <c r="C458" s="7">
        <v>23</v>
      </c>
      <c r="D458" s="7" t="s">
        <v>73</v>
      </c>
      <c r="E458" s="7" t="s">
        <v>58</v>
      </c>
      <c r="F458" s="7" t="s">
        <v>562</v>
      </c>
      <c r="G458" s="7" t="s">
        <v>182</v>
      </c>
      <c r="H458" s="7">
        <v>5</v>
      </c>
      <c r="I458" s="7">
        <v>1</v>
      </c>
      <c r="J458" s="7" t="s">
        <v>46</v>
      </c>
      <c r="K458" s="7" t="s">
        <v>47</v>
      </c>
      <c r="P458" s="7">
        <v>1</v>
      </c>
      <c r="Q458" s="7">
        <v>8</v>
      </c>
      <c r="R458" s="7">
        <v>11</v>
      </c>
      <c r="AE458" s="7">
        <v>1180</v>
      </c>
      <c r="AF458" s="7" t="s">
        <v>360</v>
      </c>
      <c r="AG458" s="7" t="s">
        <v>361</v>
      </c>
      <c r="AH458" s="7">
        <v>9</v>
      </c>
      <c r="AI458" s="7" t="s">
        <v>285</v>
      </c>
      <c r="AJ458" s="7" t="s">
        <v>362</v>
      </c>
      <c r="AK458" s="7" t="s">
        <v>307</v>
      </c>
      <c r="AL458" s="7" t="s">
        <v>68</v>
      </c>
      <c r="AN458" s="7" t="s">
        <v>303</v>
      </c>
    </row>
    <row r="459" spans="1:41" ht="22.5" customHeight="1" x14ac:dyDescent="0.2">
      <c r="A459" s="6">
        <v>46011.48021415509</v>
      </c>
      <c r="B459" s="7" t="s">
        <v>1305</v>
      </c>
      <c r="C459" s="7">
        <v>50</v>
      </c>
      <c r="D459" s="7" t="s">
        <v>73</v>
      </c>
      <c r="E459" s="7" t="s">
        <v>43</v>
      </c>
      <c r="F459" s="7" t="s">
        <v>172</v>
      </c>
      <c r="G459" s="7" t="s">
        <v>60</v>
      </c>
      <c r="H459" s="7">
        <v>5</v>
      </c>
      <c r="I459" s="7">
        <v>2</v>
      </c>
      <c r="J459" s="7" t="s">
        <v>246</v>
      </c>
      <c r="K459" s="7" t="s">
        <v>47</v>
      </c>
      <c r="M459" s="7" t="s">
        <v>47</v>
      </c>
      <c r="P459" s="7">
        <v>12</v>
      </c>
      <c r="Q459" s="7">
        <v>7</v>
      </c>
      <c r="R459" s="7">
        <v>5</v>
      </c>
      <c r="V459" s="7">
        <v>10</v>
      </c>
      <c r="W459" s="7">
        <v>26</v>
      </c>
      <c r="X459" s="7">
        <v>23</v>
      </c>
      <c r="AE459" s="7">
        <v>3600</v>
      </c>
      <c r="AF459" s="7" t="s">
        <v>323</v>
      </c>
      <c r="AG459" s="7" t="s">
        <v>317</v>
      </c>
      <c r="AH459" s="7">
        <v>13</v>
      </c>
      <c r="AI459" s="7" t="s">
        <v>559</v>
      </c>
      <c r="AJ459" s="7" t="s">
        <v>85</v>
      </c>
      <c r="AK459" s="7" t="s">
        <v>256</v>
      </c>
      <c r="AL459" s="7" t="s">
        <v>257</v>
      </c>
      <c r="AM459" s="7" t="s">
        <v>363</v>
      </c>
    </row>
    <row r="460" spans="1:41" ht="22.5" customHeight="1" x14ac:dyDescent="0.2">
      <c r="A460" s="6">
        <v>46011.48109296296</v>
      </c>
      <c r="B460" s="7" t="s">
        <v>1306</v>
      </c>
      <c r="C460" s="7">
        <v>35</v>
      </c>
      <c r="D460" s="7" t="s">
        <v>42</v>
      </c>
      <c r="E460" s="7" t="s">
        <v>58</v>
      </c>
      <c r="F460" s="7" t="s">
        <v>144</v>
      </c>
      <c r="G460" s="7" t="s">
        <v>89</v>
      </c>
      <c r="H460" s="7">
        <v>5</v>
      </c>
      <c r="I460" s="7">
        <v>1</v>
      </c>
      <c r="J460" s="7" t="s">
        <v>100</v>
      </c>
      <c r="L460" s="7" t="s">
        <v>47</v>
      </c>
      <c r="S460" s="7">
        <v>4</v>
      </c>
      <c r="T460" s="7">
        <v>6</v>
      </c>
      <c r="U460" s="7">
        <v>4</v>
      </c>
      <c r="AE460" s="7">
        <v>520</v>
      </c>
      <c r="AF460" s="7" t="s">
        <v>323</v>
      </c>
      <c r="AG460" s="7" t="s">
        <v>317</v>
      </c>
      <c r="AH460" s="7">
        <v>3</v>
      </c>
      <c r="AI460" s="7" t="s">
        <v>344</v>
      </c>
      <c r="AJ460" s="7" t="s">
        <v>85</v>
      </c>
      <c r="AK460" s="7" t="s">
        <v>335</v>
      </c>
      <c r="AL460" s="7" t="s">
        <v>257</v>
      </c>
      <c r="AM460" s="7" t="s">
        <v>286</v>
      </c>
    </row>
    <row r="461" spans="1:41" ht="22.5" customHeight="1" x14ac:dyDescent="0.2">
      <c r="A461" s="6">
        <v>46011.482016412032</v>
      </c>
      <c r="B461" s="7" t="s">
        <v>1096</v>
      </c>
      <c r="C461" s="7">
        <v>50</v>
      </c>
      <c r="D461" s="7" t="s">
        <v>73</v>
      </c>
      <c r="E461" s="7" t="s">
        <v>58</v>
      </c>
      <c r="F461" s="7" t="s">
        <v>138</v>
      </c>
      <c r="G461" s="7" t="s">
        <v>60</v>
      </c>
      <c r="H461" s="7">
        <v>5</v>
      </c>
      <c r="I461" s="7">
        <v>1</v>
      </c>
      <c r="J461" s="7" t="s">
        <v>46</v>
      </c>
      <c r="K461" s="7" t="s">
        <v>47</v>
      </c>
      <c r="P461" s="7">
        <v>3</v>
      </c>
      <c r="Q461" s="7">
        <v>25</v>
      </c>
      <c r="R461" s="7">
        <v>16</v>
      </c>
      <c r="AE461" s="7">
        <v>2080</v>
      </c>
      <c r="AF461" s="7" t="s">
        <v>252</v>
      </c>
      <c r="AG461" s="7" t="s">
        <v>1026</v>
      </c>
      <c r="AH461" s="7">
        <v>12</v>
      </c>
      <c r="AI461" s="7" t="s">
        <v>255</v>
      </c>
      <c r="AJ461" s="7" t="s">
        <v>362</v>
      </c>
      <c r="AK461" s="7" t="s">
        <v>307</v>
      </c>
      <c r="AL461" s="7" t="s">
        <v>68</v>
      </c>
      <c r="AN461" s="7" t="s">
        <v>303</v>
      </c>
    </row>
    <row r="462" spans="1:41" ht="22.5" customHeight="1" x14ac:dyDescent="0.2">
      <c r="A462" s="6">
        <v>46011.482977326392</v>
      </c>
      <c r="B462" s="7" t="s">
        <v>1307</v>
      </c>
      <c r="C462" s="7">
        <v>43</v>
      </c>
      <c r="D462" s="7" t="s">
        <v>42</v>
      </c>
      <c r="E462" s="7" t="s">
        <v>43</v>
      </c>
      <c r="F462" s="7" t="s">
        <v>44</v>
      </c>
      <c r="G462" s="7" t="s">
        <v>45</v>
      </c>
      <c r="H462" s="7">
        <v>5</v>
      </c>
      <c r="I462" s="7">
        <v>1</v>
      </c>
      <c r="J462" s="7" t="s">
        <v>46</v>
      </c>
      <c r="K462" s="7" t="s">
        <v>47</v>
      </c>
      <c r="P462" s="7">
        <v>14</v>
      </c>
      <c r="Q462" s="7">
        <v>5</v>
      </c>
      <c r="R462" s="7">
        <v>3</v>
      </c>
      <c r="AE462" s="7">
        <v>390</v>
      </c>
      <c r="AF462" s="7" t="s">
        <v>159</v>
      </c>
      <c r="AG462" s="7" t="s">
        <v>295</v>
      </c>
      <c r="AH462" s="7">
        <v>4</v>
      </c>
      <c r="AI462" s="7" t="s">
        <v>296</v>
      </c>
      <c r="AJ462" s="7" t="s">
        <v>362</v>
      </c>
      <c r="AK462" s="7" t="s">
        <v>307</v>
      </c>
      <c r="AL462" s="7" t="s">
        <v>257</v>
      </c>
      <c r="AM462" s="7" t="s">
        <v>278</v>
      </c>
    </row>
    <row r="463" spans="1:41" ht="22.5" customHeight="1" x14ac:dyDescent="0.2">
      <c r="A463" s="6">
        <v>46011.483861250003</v>
      </c>
      <c r="B463" s="7" t="s">
        <v>1308</v>
      </c>
      <c r="C463" s="7">
        <v>38</v>
      </c>
      <c r="D463" s="7" t="s">
        <v>73</v>
      </c>
      <c r="E463" s="7" t="s">
        <v>58</v>
      </c>
      <c r="F463" s="7" t="s">
        <v>74</v>
      </c>
      <c r="G463" s="7" t="s">
        <v>45</v>
      </c>
      <c r="H463" s="7">
        <v>6</v>
      </c>
      <c r="I463" s="7">
        <v>1</v>
      </c>
      <c r="J463" s="7" t="s">
        <v>431</v>
      </c>
      <c r="M463" s="7" t="s">
        <v>47</v>
      </c>
      <c r="V463" s="7">
        <v>5</v>
      </c>
      <c r="W463" s="7">
        <v>30</v>
      </c>
      <c r="X463" s="7">
        <v>27</v>
      </c>
      <c r="AE463" s="7">
        <v>4350</v>
      </c>
      <c r="AF463" s="7" t="s">
        <v>276</v>
      </c>
      <c r="AG463" s="7" t="s">
        <v>317</v>
      </c>
      <c r="AH463" s="7">
        <v>15</v>
      </c>
      <c r="AI463" s="7" t="s">
        <v>255</v>
      </c>
      <c r="AJ463" s="7" t="s">
        <v>362</v>
      </c>
      <c r="AK463" s="7" t="s">
        <v>307</v>
      </c>
      <c r="AL463" s="7" t="s">
        <v>68</v>
      </c>
      <c r="AN463" s="7" t="s">
        <v>303</v>
      </c>
    </row>
    <row r="464" spans="1:41" ht="22.5" customHeight="1" x14ac:dyDescent="0.2">
      <c r="A464" s="6">
        <v>46011.484984479168</v>
      </c>
      <c r="B464" s="7" t="s">
        <v>1309</v>
      </c>
      <c r="C464" s="7">
        <v>54</v>
      </c>
      <c r="D464" s="7" t="s">
        <v>73</v>
      </c>
      <c r="E464" s="7" t="s">
        <v>43</v>
      </c>
      <c r="F464" s="7" t="s">
        <v>339</v>
      </c>
      <c r="G464" s="7" t="s">
        <v>182</v>
      </c>
      <c r="H464" s="7">
        <v>5</v>
      </c>
      <c r="I464" s="7">
        <v>1</v>
      </c>
      <c r="J464" s="7" t="s">
        <v>46</v>
      </c>
      <c r="K464" s="7" t="s">
        <v>47</v>
      </c>
      <c r="P464" s="7">
        <v>16</v>
      </c>
      <c r="Q464" s="7">
        <v>6</v>
      </c>
      <c r="R464" s="7">
        <v>5</v>
      </c>
      <c r="AE464" s="7">
        <v>520</v>
      </c>
      <c r="AF464" s="7" t="s">
        <v>252</v>
      </c>
      <c r="AG464" s="7" t="s">
        <v>361</v>
      </c>
      <c r="AH464" s="7">
        <v>3</v>
      </c>
      <c r="AI464" s="7" t="s">
        <v>724</v>
      </c>
      <c r="AJ464" s="7" t="s">
        <v>85</v>
      </c>
      <c r="AK464" s="7" t="s">
        <v>335</v>
      </c>
      <c r="AL464" s="7" t="s">
        <v>257</v>
      </c>
      <c r="AM464" s="7" t="s">
        <v>286</v>
      </c>
    </row>
    <row r="465" spans="1:40" ht="22.5" customHeight="1" x14ac:dyDescent="0.2">
      <c r="A465" s="6">
        <v>46011.485837337968</v>
      </c>
      <c r="B465" s="7" t="s">
        <v>1257</v>
      </c>
      <c r="C465" s="7">
        <v>27</v>
      </c>
      <c r="D465" s="7" t="s">
        <v>73</v>
      </c>
      <c r="E465" s="7" t="s">
        <v>58</v>
      </c>
      <c r="F465" s="7" t="s">
        <v>172</v>
      </c>
      <c r="G465" s="7" t="s">
        <v>45</v>
      </c>
      <c r="H465" s="7">
        <v>5</v>
      </c>
      <c r="I465" s="7">
        <v>1</v>
      </c>
      <c r="J465" s="7" t="s">
        <v>46</v>
      </c>
      <c r="K465" s="7" t="s">
        <v>47</v>
      </c>
      <c r="P465" s="7">
        <v>2</v>
      </c>
      <c r="Q465" s="7">
        <v>18</v>
      </c>
      <c r="R465" s="7">
        <v>11</v>
      </c>
      <c r="AE465" s="7">
        <v>11430</v>
      </c>
      <c r="AF465" s="7" t="s">
        <v>159</v>
      </c>
      <c r="AG465" s="7" t="s">
        <v>317</v>
      </c>
      <c r="AH465" s="7">
        <v>9</v>
      </c>
      <c r="AI465" s="7" t="s">
        <v>559</v>
      </c>
      <c r="AJ465" s="7" t="s">
        <v>85</v>
      </c>
      <c r="AK465" s="7" t="s">
        <v>256</v>
      </c>
      <c r="AL465" s="7" t="s">
        <v>257</v>
      </c>
      <c r="AM465" s="7" t="s">
        <v>278</v>
      </c>
    </row>
    <row r="466" spans="1:40" ht="22.5" customHeight="1" x14ac:dyDescent="0.2">
      <c r="A466" s="6">
        <v>46011.48717359954</v>
      </c>
      <c r="B466" s="7" t="s">
        <v>1310</v>
      </c>
      <c r="C466" s="7">
        <v>37</v>
      </c>
      <c r="D466" s="7" t="s">
        <v>73</v>
      </c>
      <c r="E466" s="7" t="s">
        <v>58</v>
      </c>
      <c r="F466" s="7" t="s">
        <v>44</v>
      </c>
      <c r="G466" s="7" t="s">
        <v>45</v>
      </c>
      <c r="H466" s="7">
        <v>5</v>
      </c>
      <c r="I466" s="7">
        <v>1</v>
      </c>
      <c r="J466" s="7" t="s">
        <v>46</v>
      </c>
      <c r="K466" s="7" t="s">
        <v>47</v>
      </c>
      <c r="P466" s="7">
        <v>6</v>
      </c>
      <c r="Q466" s="7">
        <v>12</v>
      </c>
      <c r="R466" s="7">
        <v>8</v>
      </c>
      <c r="AE466" s="7">
        <v>900</v>
      </c>
      <c r="AF466" s="7" t="s">
        <v>252</v>
      </c>
      <c r="AG466" s="7" t="s">
        <v>253</v>
      </c>
      <c r="AH466" s="7">
        <v>6</v>
      </c>
      <c r="AI466" s="7" t="s">
        <v>296</v>
      </c>
      <c r="AJ466" s="7" t="s">
        <v>85</v>
      </c>
      <c r="AK466" s="7" t="s">
        <v>256</v>
      </c>
      <c r="AL466" s="7" t="s">
        <v>68</v>
      </c>
      <c r="AN466" s="7" t="s">
        <v>259</v>
      </c>
    </row>
    <row r="467" spans="1:40" ht="22.5" customHeight="1" x14ac:dyDescent="0.2">
      <c r="A467" s="6">
        <v>46011.488066493053</v>
      </c>
      <c r="B467" s="7" t="s">
        <v>1311</v>
      </c>
      <c r="C467" s="7">
        <v>39</v>
      </c>
      <c r="D467" s="7" t="s">
        <v>73</v>
      </c>
      <c r="E467" s="7" t="s">
        <v>58</v>
      </c>
      <c r="F467" s="7" t="s">
        <v>74</v>
      </c>
      <c r="G467" s="7" t="s">
        <v>45</v>
      </c>
      <c r="H467" s="7">
        <v>4</v>
      </c>
      <c r="I467" s="7">
        <v>1</v>
      </c>
      <c r="J467" s="7" t="s">
        <v>100</v>
      </c>
      <c r="L467" s="7" t="s">
        <v>47</v>
      </c>
      <c r="S467" s="7">
        <v>3</v>
      </c>
      <c r="T467" s="7">
        <v>11</v>
      </c>
      <c r="U467" s="7">
        <v>7</v>
      </c>
      <c r="AE467" s="7">
        <v>910</v>
      </c>
      <c r="AF467" s="7" t="s">
        <v>159</v>
      </c>
      <c r="AG467" s="7" t="s">
        <v>295</v>
      </c>
      <c r="AH467" s="7">
        <v>5</v>
      </c>
      <c r="AI467" s="7" t="s">
        <v>255</v>
      </c>
      <c r="AJ467" s="7" t="s">
        <v>96</v>
      </c>
      <c r="AK467" s="7" t="s">
        <v>335</v>
      </c>
      <c r="AL467" s="7" t="s">
        <v>68</v>
      </c>
      <c r="AN467" s="7" t="s">
        <v>684</v>
      </c>
    </row>
    <row r="468" spans="1:40" ht="22.5" customHeight="1" x14ac:dyDescent="0.2">
      <c r="A468" s="6">
        <v>46011.489106435183</v>
      </c>
      <c r="B468" s="7" t="s">
        <v>1312</v>
      </c>
      <c r="C468" s="7">
        <v>24</v>
      </c>
      <c r="D468" s="7" t="s">
        <v>73</v>
      </c>
      <c r="E468" s="7" t="s">
        <v>43</v>
      </c>
      <c r="F468" s="7" t="s">
        <v>562</v>
      </c>
      <c r="G468" s="7" t="s">
        <v>182</v>
      </c>
      <c r="H468" s="7">
        <v>5</v>
      </c>
      <c r="I468" s="7">
        <v>1</v>
      </c>
      <c r="J468" s="7" t="s">
        <v>46</v>
      </c>
      <c r="K468" s="7" t="s">
        <v>47</v>
      </c>
      <c r="P468" s="7">
        <v>2</v>
      </c>
      <c r="Q468" s="7">
        <v>20</v>
      </c>
      <c r="R468" s="7">
        <v>12</v>
      </c>
      <c r="AE468" s="7">
        <v>1560</v>
      </c>
      <c r="AF468" s="7" t="s">
        <v>360</v>
      </c>
      <c r="AG468" s="7" t="s">
        <v>317</v>
      </c>
      <c r="AH468" s="7">
        <v>10</v>
      </c>
      <c r="AI468" s="7" t="s">
        <v>285</v>
      </c>
      <c r="AJ468" s="7" t="s">
        <v>85</v>
      </c>
      <c r="AK468" s="7" t="s">
        <v>256</v>
      </c>
      <c r="AL468" s="7" t="s">
        <v>257</v>
      </c>
      <c r="AM468" s="7" t="s">
        <v>363</v>
      </c>
    </row>
    <row r="469" spans="1:40" ht="22.5" customHeight="1" x14ac:dyDescent="0.2">
      <c r="A469" s="6">
        <v>46011.490076400463</v>
      </c>
      <c r="B469" s="7" t="s">
        <v>1313</v>
      </c>
      <c r="C469" s="7">
        <v>56</v>
      </c>
      <c r="D469" s="7" t="s">
        <v>73</v>
      </c>
      <c r="E469" s="7" t="s">
        <v>43</v>
      </c>
      <c r="F469" s="7" t="s">
        <v>44</v>
      </c>
      <c r="G469" s="7" t="s">
        <v>60</v>
      </c>
      <c r="H469" s="7">
        <v>5</v>
      </c>
      <c r="I469" s="7">
        <v>2</v>
      </c>
      <c r="J469" s="7" t="s">
        <v>246</v>
      </c>
      <c r="K469" s="7" t="s">
        <v>47</v>
      </c>
      <c r="M469" s="7" t="s">
        <v>47</v>
      </c>
      <c r="P469" s="7">
        <v>10</v>
      </c>
      <c r="Q469" s="7">
        <v>8</v>
      </c>
      <c r="R469" s="7">
        <v>6</v>
      </c>
      <c r="V469" s="7">
        <v>7</v>
      </c>
      <c r="W469" s="7">
        <v>30</v>
      </c>
      <c r="X469" s="7">
        <v>26</v>
      </c>
      <c r="AE469" s="7">
        <v>4160</v>
      </c>
      <c r="AF469" s="7" t="s">
        <v>252</v>
      </c>
      <c r="AG469" s="7" t="s">
        <v>284</v>
      </c>
      <c r="AH469" s="7">
        <v>15</v>
      </c>
      <c r="AI469" s="7" t="s">
        <v>559</v>
      </c>
      <c r="AJ469" s="7" t="s">
        <v>85</v>
      </c>
      <c r="AK469" s="7" t="s">
        <v>256</v>
      </c>
      <c r="AL469" s="7" t="s">
        <v>257</v>
      </c>
      <c r="AM469" s="7" t="s">
        <v>258</v>
      </c>
    </row>
    <row r="470" spans="1:40" ht="22.5" customHeight="1" x14ac:dyDescent="0.2">
      <c r="A470" s="6">
        <v>46011.490878263889</v>
      </c>
      <c r="B470" s="7" t="s">
        <v>1314</v>
      </c>
      <c r="C470" s="7">
        <v>34</v>
      </c>
      <c r="D470" s="7" t="s">
        <v>42</v>
      </c>
      <c r="E470" s="7" t="s">
        <v>43</v>
      </c>
      <c r="F470" s="7" t="s">
        <v>144</v>
      </c>
      <c r="G470" s="7" t="s">
        <v>182</v>
      </c>
      <c r="H470" s="7">
        <v>5</v>
      </c>
      <c r="I470" s="7">
        <v>1</v>
      </c>
      <c r="J470" s="7" t="s">
        <v>100</v>
      </c>
      <c r="L470" s="7" t="s">
        <v>47</v>
      </c>
      <c r="S470" s="7">
        <v>5</v>
      </c>
      <c r="T470" s="7">
        <v>6</v>
      </c>
      <c r="U470" s="7">
        <v>4</v>
      </c>
      <c r="AE470" s="7">
        <v>520</v>
      </c>
      <c r="AF470" s="7" t="s">
        <v>323</v>
      </c>
      <c r="AG470" s="7" t="s">
        <v>253</v>
      </c>
      <c r="AH470" s="7">
        <v>3</v>
      </c>
      <c r="AI470" s="7" t="s">
        <v>306</v>
      </c>
      <c r="AJ470" s="7" t="s">
        <v>85</v>
      </c>
      <c r="AK470" s="7" t="s">
        <v>335</v>
      </c>
      <c r="AL470" s="7" t="s">
        <v>68</v>
      </c>
      <c r="AN470" s="7" t="s">
        <v>684</v>
      </c>
    </row>
    <row r="471" spans="1:40" ht="22.5" customHeight="1" x14ac:dyDescent="0.2">
      <c r="A471" s="6">
        <v>46011.491776365743</v>
      </c>
      <c r="B471" s="7" t="s">
        <v>1315</v>
      </c>
      <c r="C471" s="7">
        <v>28</v>
      </c>
      <c r="D471" s="7" t="s">
        <v>73</v>
      </c>
      <c r="E471" s="7" t="s">
        <v>58</v>
      </c>
      <c r="F471" s="7" t="s">
        <v>138</v>
      </c>
      <c r="G471" s="7" t="s">
        <v>45</v>
      </c>
      <c r="H471" s="7">
        <v>5</v>
      </c>
      <c r="I471" s="7">
        <v>1</v>
      </c>
      <c r="J471" s="7" t="s">
        <v>46</v>
      </c>
      <c r="K471" s="7" t="s">
        <v>47</v>
      </c>
      <c r="P471" s="7">
        <v>3</v>
      </c>
      <c r="Q471" s="7">
        <v>24</v>
      </c>
      <c r="R471" s="7">
        <v>15</v>
      </c>
      <c r="AE471" s="7">
        <v>1560</v>
      </c>
      <c r="AF471" s="7" t="s">
        <v>252</v>
      </c>
      <c r="AG471" s="7" t="s">
        <v>284</v>
      </c>
      <c r="AH471" s="7">
        <v>12</v>
      </c>
      <c r="AI471" s="7" t="s">
        <v>255</v>
      </c>
      <c r="AJ471" s="7" t="s">
        <v>362</v>
      </c>
      <c r="AK471" s="7" t="s">
        <v>307</v>
      </c>
      <c r="AL471" s="7" t="s">
        <v>257</v>
      </c>
      <c r="AM471" s="7" t="s">
        <v>286</v>
      </c>
    </row>
    <row r="472" spans="1:40" ht="22.5" customHeight="1" x14ac:dyDescent="0.2">
      <c r="A472" s="6">
        <v>46011.492507731484</v>
      </c>
      <c r="B472" s="7" t="s">
        <v>1316</v>
      </c>
      <c r="C472" s="7">
        <v>42</v>
      </c>
      <c r="D472" s="7" t="s">
        <v>42</v>
      </c>
      <c r="E472" s="7" t="s">
        <v>58</v>
      </c>
      <c r="F472" s="7" t="s">
        <v>144</v>
      </c>
      <c r="G472" s="7" t="s">
        <v>182</v>
      </c>
      <c r="H472" s="7">
        <v>5</v>
      </c>
      <c r="I472" s="7">
        <v>1</v>
      </c>
      <c r="J472" s="7" t="s">
        <v>46</v>
      </c>
      <c r="K472" s="7" t="s">
        <v>47</v>
      </c>
      <c r="P472" s="7">
        <v>14</v>
      </c>
      <c r="Q472" s="7">
        <v>5</v>
      </c>
      <c r="R472" s="7">
        <v>3</v>
      </c>
      <c r="AE472" s="7">
        <v>390</v>
      </c>
      <c r="AF472" s="7" t="s">
        <v>323</v>
      </c>
      <c r="AG472" s="7" t="s">
        <v>295</v>
      </c>
      <c r="AH472" s="7">
        <v>2</v>
      </c>
      <c r="AI472" s="7" t="s">
        <v>344</v>
      </c>
      <c r="AJ472" s="7" t="s">
        <v>85</v>
      </c>
      <c r="AK472" s="7" t="s">
        <v>335</v>
      </c>
      <c r="AL472" s="7" t="s">
        <v>68</v>
      </c>
      <c r="AN472" s="7" t="s">
        <v>259</v>
      </c>
    </row>
    <row r="473" spans="1:40" ht="22.5" customHeight="1" x14ac:dyDescent="0.2">
      <c r="A473" s="6">
        <v>46011.494891493057</v>
      </c>
      <c r="B473" s="7" t="s">
        <v>1317</v>
      </c>
      <c r="C473" s="7">
        <v>36</v>
      </c>
      <c r="D473" s="7" t="s">
        <v>73</v>
      </c>
      <c r="E473" s="7" t="s">
        <v>58</v>
      </c>
      <c r="F473" s="7" t="s">
        <v>74</v>
      </c>
      <c r="G473" s="7" t="s">
        <v>45</v>
      </c>
      <c r="H473" s="7">
        <v>4</v>
      </c>
      <c r="I473" s="7">
        <v>1</v>
      </c>
      <c r="J473" s="7" t="s">
        <v>431</v>
      </c>
      <c r="M473" s="7" t="s">
        <v>47</v>
      </c>
      <c r="V473" s="7">
        <v>4</v>
      </c>
      <c r="W473" s="7">
        <v>32</v>
      </c>
      <c r="X473" s="7">
        <v>28</v>
      </c>
      <c r="AE473" s="7">
        <v>4550</v>
      </c>
      <c r="AF473" s="7" t="s">
        <v>252</v>
      </c>
      <c r="AG473" s="7" t="s">
        <v>317</v>
      </c>
      <c r="AH473" s="7">
        <v>16</v>
      </c>
      <c r="AI473" s="7" t="s">
        <v>255</v>
      </c>
      <c r="AJ473" s="7" t="s">
        <v>85</v>
      </c>
      <c r="AK473" s="7" t="s">
        <v>256</v>
      </c>
      <c r="AL473" s="7" t="s">
        <v>257</v>
      </c>
      <c r="AM473" s="7" t="s">
        <v>363</v>
      </c>
    </row>
    <row r="474" spans="1:40" ht="22.5" customHeight="1" x14ac:dyDescent="0.2">
      <c r="A474" s="6">
        <v>46011.495849259256</v>
      </c>
      <c r="B474" s="7" t="s">
        <v>1318</v>
      </c>
      <c r="C474" s="7">
        <v>51</v>
      </c>
      <c r="D474" s="7" t="s">
        <v>42</v>
      </c>
      <c r="E474" s="7" t="s">
        <v>58</v>
      </c>
      <c r="F474" s="7" t="s">
        <v>339</v>
      </c>
      <c r="G474" s="7" t="s">
        <v>45</v>
      </c>
      <c r="H474" s="7">
        <v>4</v>
      </c>
      <c r="I474" s="7">
        <v>1</v>
      </c>
      <c r="J474" s="7" t="s">
        <v>46</v>
      </c>
      <c r="K474" s="7" t="s">
        <v>47</v>
      </c>
      <c r="P474" s="7">
        <v>15</v>
      </c>
      <c r="Q474" s="7">
        <v>7</v>
      </c>
      <c r="R474" s="7">
        <v>5</v>
      </c>
      <c r="AE474" s="7">
        <v>650</v>
      </c>
      <c r="AF474" s="7" t="s">
        <v>360</v>
      </c>
      <c r="AG474" s="7" t="s">
        <v>295</v>
      </c>
      <c r="AH474" s="7">
        <v>4</v>
      </c>
      <c r="AI474" s="7" t="s">
        <v>724</v>
      </c>
      <c r="AJ474" s="7" t="s">
        <v>96</v>
      </c>
      <c r="AK474" s="7" t="s">
        <v>256</v>
      </c>
      <c r="AL474" s="7" t="s">
        <v>257</v>
      </c>
      <c r="AM474" s="7" t="s">
        <v>286</v>
      </c>
    </row>
    <row r="475" spans="1:40" ht="22.5" customHeight="1" x14ac:dyDescent="0.2">
      <c r="A475" s="6">
        <v>46011.497086226853</v>
      </c>
      <c r="B475" s="7" t="s">
        <v>1319</v>
      </c>
      <c r="C475" s="7">
        <v>33</v>
      </c>
      <c r="D475" s="7" t="s">
        <v>73</v>
      </c>
      <c r="E475" s="7" t="s">
        <v>58</v>
      </c>
      <c r="F475" s="7" t="s">
        <v>172</v>
      </c>
      <c r="G475" s="7" t="s">
        <v>60</v>
      </c>
      <c r="H475" s="7">
        <v>4</v>
      </c>
      <c r="I475" s="7">
        <v>2</v>
      </c>
      <c r="J475" s="7" t="s">
        <v>61</v>
      </c>
      <c r="K475" s="7" t="s">
        <v>47</v>
      </c>
      <c r="L475" s="7" t="s">
        <v>47</v>
      </c>
      <c r="P475" s="7">
        <v>5</v>
      </c>
      <c r="Q475" s="7">
        <v>10</v>
      </c>
      <c r="R475" s="7">
        <v>7</v>
      </c>
      <c r="S475" s="7">
        <v>2</v>
      </c>
      <c r="T475" s="7">
        <v>6</v>
      </c>
      <c r="U475" s="7">
        <v>4</v>
      </c>
      <c r="AE475" s="7">
        <v>1430</v>
      </c>
      <c r="AF475" s="7" t="s">
        <v>252</v>
      </c>
      <c r="AG475" s="7" t="s">
        <v>1070</v>
      </c>
      <c r="AH475" s="7">
        <v>6</v>
      </c>
      <c r="AI475" s="7" t="s">
        <v>559</v>
      </c>
      <c r="AJ475" s="7" t="s">
        <v>85</v>
      </c>
      <c r="AK475" s="7" t="s">
        <v>256</v>
      </c>
      <c r="AL475" s="7" t="s">
        <v>257</v>
      </c>
      <c r="AM475" s="7" t="s">
        <v>286</v>
      </c>
    </row>
    <row r="476" spans="1:40" ht="22.5" customHeight="1" x14ac:dyDescent="0.2">
      <c r="A476" s="6">
        <v>46011.510670671298</v>
      </c>
      <c r="B476" s="7" t="s">
        <v>1320</v>
      </c>
      <c r="C476" s="7">
        <v>39</v>
      </c>
      <c r="D476" s="7" t="s">
        <v>73</v>
      </c>
      <c r="E476" s="7" t="s">
        <v>43</v>
      </c>
      <c r="F476" s="7" t="s">
        <v>44</v>
      </c>
      <c r="G476" s="7" t="s">
        <v>45</v>
      </c>
      <c r="H476" s="7">
        <v>5</v>
      </c>
      <c r="I476" s="7">
        <v>1</v>
      </c>
      <c r="J476" s="7" t="s">
        <v>46</v>
      </c>
      <c r="K476" s="7" t="s">
        <v>47</v>
      </c>
      <c r="P476" s="7">
        <v>7</v>
      </c>
      <c r="Q476" s="7">
        <v>11</v>
      </c>
      <c r="R476" s="7">
        <v>8</v>
      </c>
      <c r="AE476" s="7">
        <v>1040</v>
      </c>
      <c r="AF476" s="7" t="s">
        <v>252</v>
      </c>
      <c r="AG476" s="7" t="s">
        <v>1026</v>
      </c>
      <c r="AH476" s="7">
        <v>6</v>
      </c>
      <c r="AI476" s="7" t="s">
        <v>296</v>
      </c>
      <c r="AJ476" s="7" t="s">
        <v>85</v>
      </c>
      <c r="AK476" s="7" t="s">
        <v>256</v>
      </c>
      <c r="AL476" s="7" t="s">
        <v>257</v>
      </c>
      <c r="AM476" s="7" t="s">
        <v>1321</v>
      </c>
    </row>
    <row r="477" spans="1:40" ht="22.5" customHeight="1" x14ac:dyDescent="0.2">
      <c r="A477" s="6">
        <v>46011.512500682875</v>
      </c>
      <c r="B477" s="7" t="s">
        <v>1322</v>
      </c>
      <c r="C477" s="7">
        <v>27</v>
      </c>
      <c r="D477" s="7" t="s">
        <v>42</v>
      </c>
      <c r="E477" s="7" t="s">
        <v>58</v>
      </c>
      <c r="F477" s="7" t="s">
        <v>74</v>
      </c>
      <c r="G477" s="7" t="s">
        <v>45</v>
      </c>
      <c r="H477" s="7">
        <v>3</v>
      </c>
      <c r="I477" s="7">
        <v>1</v>
      </c>
      <c r="J477" s="7" t="s">
        <v>100</v>
      </c>
      <c r="L477" s="7" t="s">
        <v>157</v>
      </c>
      <c r="S477" s="7">
        <v>2</v>
      </c>
      <c r="T477" s="7">
        <v>9</v>
      </c>
      <c r="U477" s="7">
        <v>6</v>
      </c>
      <c r="AE477" s="7">
        <v>780</v>
      </c>
      <c r="AF477" s="7" t="s">
        <v>323</v>
      </c>
      <c r="AG477" s="7" t="s">
        <v>253</v>
      </c>
      <c r="AH477" s="7">
        <v>5</v>
      </c>
      <c r="AI477" s="7" t="s">
        <v>255</v>
      </c>
      <c r="AJ477" s="7" t="s">
        <v>96</v>
      </c>
      <c r="AK477" s="7" t="s">
        <v>256</v>
      </c>
      <c r="AL477" s="7" t="s">
        <v>152</v>
      </c>
      <c r="AM477" s="7" t="s">
        <v>689</v>
      </c>
    </row>
    <row r="478" spans="1:40" ht="22.5" customHeight="1" x14ac:dyDescent="0.2">
      <c r="A478" s="6">
        <v>46011.516680868051</v>
      </c>
      <c r="B478" s="7" t="s">
        <v>1323</v>
      </c>
      <c r="C478" s="7">
        <v>44</v>
      </c>
      <c r="D478" s="7" t="s">
        <v>73</v>
      </c>
      <c r="E478" s="7" t="s">
        <v>43</v>
      </c>
      <c r="F478" s="7" t="s">
        <v>172</v>
      </c>
      <c r="G478" s="7" t="s">
        <v>60</v>
      </c>
      <c r="H478" s="7">
        <v>4</v>
      </c>
      <c r="I478" s="7">
        <v>1</v>
      </c>
      <c r="J478" s="7" t="s">
        <v>988</v>
      </c>
      <c r="N478" s="7" t="s">
        <v>291</v>
      </c>
      <c r="Y478" s="7">
        <v>6</v>
      </c>
      <c r="Z478" s="7">
        <v>70</v>
      </c>
      <c r="AA478" s="7">
        <v>85</v>
      </c>
      <c r="AE478" s="7">
        <v>7200</v>
      </c>
      <c r="AF478" s="7" t="s">
        <v>159</v>
      </c>
      <c r="AG478" s="7" t="s">
        <v>1118</v>
      </c>
      <c r="AH478" s="7">
        <v>35</v>
      </c>
      <c r="AI478" s="7" t="s">
        <v>559</v>
      </c>
      <c r="AJ478" s="7" t="s">
        <v>85</v>
      </c>
      <c r="AK478" s="7" t="s">
        <v>1324</v>
      </c>
      <c r="AL478" s="7" t="s">
        <v>68</v>
      </c>
      <c r="AN478" s="7" t="s">
        <v>1046</v>
      </c>
    </row>
    <row r="479" spans="1:40" ht="22.5" customHeight="1" x14ac:dyDescent="0.2">
      <c r="A479" s="6">
        <v>46011.52055346065</v>
      </c>
      <c r="B479" s="7" t="s">
        <v>1260</v>
      </c>
      <c r="C479" s="7">
        <v>24</v>
      </c>
      <c r="D479" s="7" t="s">
        <v>42</v>
      </c>
      <c r="E479" s="7" t="s">
        <v>58</v>
      </c>
      <c r="F479" s="7" t="s">
        <v>562</v>
      </c>
      <c r="G479" s="7" t="s">
        <v>182</v>
      </c>
      <c r="H479" s="7">
        <v>4</v>
      </c>
      <c r="I479" s="7">
        <v>1</v>
      </c>
      <c r="J479" s="7" t="s">
        <v>46</v>
      </c>
      <c r="K479" s="7" t="s">
        <v>47</v>
      </c>
      <c r="P479" s="7">
        <v>1</v>
      </c>
      <c r="Q479" s="7">
        <v>14</v>
      </c>
      <c r="R479" s="7">
        <v>9</v>
      </c>
      <c r="AE479" s="7">
        <v>1170</v>
      </c>
      <c r="AF479" s="7" t="s">
        <v>360</v>
      </c>
      <c r="AG479" s="7" t="s">
        <v>1325</v>
      </c>
      <c r="AH479" s="7">
        <v>7</v>
      </c>
      <c r="AI479" s="7" t="s">
        <v>285</v>
      </c>
      <c r="AJ479" s="7" t="s">
        <v>96</v>
      </c>
      <c r="AK479" s="7" t="s">
        <v>256</v>
      </c>
      <c r="AL479" s="7" t="s">
        <v>257</v>
      </c>
      <c r="AM479" s="7" t="s">
        <v>278</v>
      </c>
    </row>
    <row r="480" spans="1:40" ht="22.5" customHeight="1" x14ac:dyDescent="0.2">
      <c r="A480" s="6">
        <v>46011.528294537042</v>
      </c>
      <c r="B480" s="7" t="s">
        <v>1326</v>
      </c>
      <c r="C480" s="7">
        <v>52</v>
      </c>
      <c r="D480" s="7" t="s">
        <v>73</v>
      </c>
      <c r="E480" s="7" t="s">
        <v>43</v>
      </c>
      <c r="F480" s="7" t="s">
        <v>138</v>
      </c>
      <c r="G480" s="7" t="s">
        <v>109</v>
      </c>
      <c r="H480" s="7">
        <v>5</v>
      </c>
      <c r="I480" s="7">
        <v>2</v>
      </c>
      <c r="J480" s="7" t="s">
        <v>246</v>
      </c>
      <c r="K480" s="7" t="s">
        <v>47</v>
      </c>
      <c r="M480" s="7" t="s">
        <v>47</v>
      </c>
      <c r="P480" s="7">
        <v>6</v>
      </c>
      <c r="Q480" s="7">
        <v>6</v>
      </c>
      <c r="R480" s="7">
        <v>5</v>
      </c>
      <c r="V480" s="7">
        <v>8</v>
      </c>
      <c r="W480" s="7">
        <v>22</v>
      </c>
      <c r="X480" s="7">
        <v>20</v>
      </c>
      <c r="AE480" s="7">
        <v>3250</v>
      </c>
      <c r="AF480" s="7" t="s">
        <v>252</v>
      </c>
      <c r="AG480" s="7" t="s">
        <v>1325</v>
      </c>
      <c r="AH480" s="7">
        <v>11</v>
      </c>
      <c r="AI480" s="7" t="s">
        <v>255</v>
      </c>
      <c r="AJ480" s="7" t="s">
        <v>85</v>
      </c>
      <c r="AK480" s="7" t="s">
        <v>256</v>
      </c>
      <c r="AL480" s="7" t="s">
        <v>257</v>
      </c>
      <c r="AN480" s="7" t="s">
        <v>638</v>
      </c>
    </row>
    <row r="481" spans="1:40" ht="22.5" customHeight="1" x14ac:dyDescent="0.2">
      <c r="A481" s="6">
        <v>46011.530462395836</v>
      </c>
      <c r="B481" s="7" t="s">
        <v>1077</v>
      </c>
      <c r="C481" s="7">
        <v>30</v>
      </c>
      <c r="D481" s="7" t="s">
        <v>73</v>
      </c>
      <c r="E481" s="7" t="s">
        <v>58</v>
      </c>
      <c r="F481" s="7" t="s">
        <v>172</v>
      </c>
      <c r="G481" s="7" t="s">
        <v>45</v>
      </c>
      <c r="H481" s="7">
        <v>3</v>
      </c>
      <c r="I481" s="7">
        <v>1</v>
      </c>
      <c r="J481" s="7" t="s">
        <v>46</v>
      </c>
      <c r="K481" s="7" t="s">
        <v>47</v>
      </c>
      <c r="P481" s="7">
        <v>3</v>
      </c>
      <c r="Q481" s="7">
        <v>55</v>
      </c>
      <c r="R481" s="7">
        <v>32</v>
      </c>
      <c r="AE481" s="7">
        <v>4550</v>
      </c>
      <c r="AF481" s="7" t="s">
        <v>159</v>
      </c>
      <c r="AG481" s="7" t="s">
        <v>253</v>
      </c>
      <c r="AH481" s="7">
        <v>25</v>
      </c>
      <c r="AI481" s="7" t="s">
        <v>559</v>
      </c>
      <c r="AJ481" s="7" t="s">
        <v>362</v>
      </c>
      <c r="AK481" s="7" t="s">
        <v>307</v>
      </c>
      <c r="AL481" s="7" t="s">
        <v>152</v>
      </c>
      <c r="AM481" s="7" t="s">
        <v>1327</v>
      </c>
    </row>
    <row r="482" spans="1:40" ht="22.5" customHeight="1" x14ac:dyDescent="0.2">
      <c r="A482" s="6">
        <v>46011.532485300922</v>
      </c>
      <c r="B482" s="7" t="s">
        <v>1328</v>
      </c>
      <c r="C482" s="7">
        <v>36</v>
      </c>
      <c r="D482" s="7" t="s">
        <v>42</v>
      </c>
      <c r="E482" s="7" t="s">
        <v>58</v>
      </c>
      <c r="F482" s="7" t="s">
        <v>144</v>
      </c>
      <c r="G482" s="7" t="s">
        <v>89</v>
      </c>
      <c r="H482" s="7">
        <v>4</v>
      </c>
      <c r="I482" s="7">
        <v>1</v>
      </c>
      <c r="J482" s="7" t="s">
        <v>100</v>
      </c>
      <c r="L482" s="7" t="s">
        <v>47</v>
      </c>
      <c r="S482" s="7">
        <v>5</v>
      </c>
      <c r="T482" s="7">
        <v>6</v>
      </c>
      <c r="U482" s="7">
        <v>4</v>
      </c>
      <c r="AE482" s="7">
        <v>520</v>
      </c>
      <c r="AF482" s="7" t="s">
        <v>252</v>
      </c>
      <c r="AG482" s="7" t="s">
        <v>284</v>
      </c>
      <c r="AH482" s="7">
        <v>3</v>
      </c>
      <c r="AI482" s="7" t="s">
        <v>344</v>
      </c>
      <c r="AJ482" s="7" t="s">
        <v>277</v>
      </c>
      <c r="AK482" s="7" t="s">
        <v>335</v>
      </c>
      <c r="AL482" s="7" t="s">
        <v>68</v>
      </c>
      <c r="AN482" s="7" t="s">
        <v>259</v>
      </c>
    </row>
    <row r="483" spans="1:40" ht="22.5" customHeight="1" x14ac:dyDescent="0.2">
      <c r="A483" s="6">
        <v>46011.533733506949</v>
      </c>
      <c r="B483" s="7" t="s">
        <v>1329</v>
      </c>
      <c r="C483" s="7">
        <v>22</v>
      </c>
      <c r="D483" s="7" t="s">
        <v>73</v>
      </c>
      <c r="E483" s="7" t="s">
        <v>58</v>
      </c>
      <c r="F483" s="7" t="s">
        <v>562</v>
      </c>
      <c r="G483" s="7" t="s">
        <v>182</v>
      </c>
      <c r="H483" s="7">
        <v>5</v>
      </c>
      <c r="I483" s="7">
        <v>1</v>
      </c>
      <c r="J483" s="7" t="s">
        <v>46</v>
      </c>
      <c r="K483" s="7" t="s">
        <v>47</v>
      </c>
      <c r="P483" s="7">
        <v>1</v>
      </c>
      <c r="Q483" s="7">
        <v>18</v>
      </c>
      <c r="R483" s="7">
        <v>11</v>
      </c>
      <c r="AE483" s="7">
        <v>1430</v>
      </c>
      <c r="AF483" s="7" t="s">
        <v>323</v>
      </c>
      <c r="AG483" s="7" t="s">
        <v>1270</v>
      </c>
      <c r="AH483" s="7">
        <v>9</v>
      </c>
      <c r="AI483" s="7" t="s">
        <v>285</v>
      </c>
      <c r="AJ483" s="7" t="s">
        <v>96</v>
      </c>
      <c r="AK483" s="7" t="s">
        <v>256</v>
      </c>
      <c r="AL483" s="7" t="s">
        <v>257</v>
      </c>
      <c r="AN483" s="7" t="s">
        <v>460</v>
      </c>
    </row>
    <row r="484" spans="1:40" ht="22.5" customHeight="1" x14ac:dyDescent="0.2">
      <c r="A484" s="6">
        <v>46011.535499664351</v>
      </c>
      <c r="B484" s="7" t="s">
        <v>1330</v>
      </c>
      <c r="C484" s="7">
        <v>47</v>
      </c>
      <c r="D484" s="7" t="s">
        <v>73</v>
      </c>
      <c r="E484" s="7" t="s">
        <v>43</v>
      </c>
      <c r="F484" s="7" t="s">
        <v>172</v>
      </c>
      <c r="G484" s="7" t="s">
        <v>60</v>
      </c>
      <c r="H484" s="7">
        <v>6</v>
      </c>
      <c r="I484" s="7">
        <v>1</v>
      </c>
      <c r="J484" s="7" t="s">
        <v>46</v>
      </c>
      <c r="K484" s="7" t="s">
        <v>47</v>
      </c>
      <c r="P484" s="7">
        <v>10</v>
      </c>
      <c r="Q484" s="7">
        <v>9</v>
      </c>
      <c r="R484" s="7">
        <v>6</v>
      </c>
      <c r="AE484" s="7">
        <v>780</v>
      </c>
      <c r="AF484" s="7" t="s">
        <v>252</v>
      </c>
      <c r="AG484" s="7" t="s">
        <v>317</v>
      </c>
      <c r="AH484" s="7">
        <v>4</v>
      </c>
      <c r="AI484" s="7" t="s">
        <v>559</v>
      </c>
      <c r="AJ484" s="7" t="s">
        <v>85</v>
      </c>
      <c r="AK484" s="7" t="s">
        <v>256</v>
      </c>
      <c r="AL484" s="7" t="s">
        <v>68</v>
      </c>
      <c r="AN484" s="7" t="s">
        <v>373</v>
      </c>
    </row>
    <row r="485" spans="1:40" ht="22.5" customHeight="1" x14ac:dyDescent="0.2">
      <c r="A485" s="6">
        <v>46011.537043969904</v>
      </c>
      <c r="B485" s="7" t="s">
        <v>1331</v>
      </c>
      <c r="C485" s="7">
        <v>34</v>
      </c>
      <c r="D485" s="7" t="s">
        <v>73</v>
      </c>
      <c r="E485" s="7" t="s">
        <v>58</v>
      </c>
      <c r="F485" s="7" t="s">
        <v>74</v>
      </c>
      <c r="G485" s="7" t="s">
        <v>155</v>
      </c>
      <c r="H485" s="7">
        <v>3</v>
      </c>
      <c r="I485" s="7">
        <v>1</v>
      </c>
      <c r="J485" s="7" t="s">
        <v>431</v>
      </c>
      <c r="M485" s="7" t="s">
        <v>47</v>
      </c>
      <c r="V485" s="7">
        <v>3</v>
      </c>
      <c r="W485" s="7">
        <v>28</v>
      </c>
      <c r="X485" s="7">
        <v>26</v>
      </c>
      <c r="AE485" s="7">
        <v>4100</v>
      </c>
      <c r="AF485" s="7" t="s">
        <v>276</v>
      </c>
      <c r="AG485" s="7" t="s">
        <v>253</v>
      </c>
      <c r="AH485" s="7">
        <v>14</v>
      </c>
      <c r="AI485" s="7" t="s">
        <v>255</v>
      </c>
      <c r="AJ485" s="7" t="s">
        <v>362</v>
      </c>
      <c r="AK485" s="7" t="s">
        <v>307</v>
      </c>
      <c r="AL485" s="7" t="s">
        <v>152</v>
      </c>
      <c r="AM485" s="7" t="s">
        <v>286</v>
      </c>
    </row>
    <row r="486" spans="1:40" ht="22.5" customHeight="1" x14ac:dyDescent="0.2">
      <c r="A486" s="6">
        <v>46011.541017870375</v>
      </c>
      <c r="B486" s="7" t="s">
        <v>1332</v>
      </c>
      <c r="C486" s="7">
        <v>41</v>
      </c>
      <c r="D486" s="7" t="s">
        <v>73</v>
      </c>
      <c r="E486" s="7" t="s">
        <v>43</v>
      </c>
      <c r="F486" s="7" t="s">
        <v>44</v>
      </c>
      <c r="G486" s="7" t="s">
        <v>89</v>
      </c>
      <c r="H486" s="7">
        <v>5</v>
      </c>
      <c r="I486" s="7">
        <v>1</v>
      </c>
      <c r="J486" s="7" t="s">
        <v>46</v>
      </c>
      <c r="K486" s="7" t="s">
        <v>47</v>
      </c>
      <c r="P486" s="7">
        <v>9</v>
      </c>
      <c r="Q486" s="7">
        <v>10</v>
      </c>
      <c r="R486" s="7">
        <v>7</v>
      </c>
      <c r="AE486" s="7">
        <v>910</v>
      </c>
      <c r="AF486" s="7" t="s">
        <v>252</v>
      </c>
      <c r="AG486" s="7" t="s">
        <v>1325</v>
      </c>
      <c r="AH486" s="7">
        <v>5</v>
      </c>
      <c r="AI486" s="7" t="s">
        <v>296</v>
      </c>
      <c r="AJ486" s="7" t="s">
        <v>85</v>
      </c>
      <c r="AK486" s="7" t="s">
        <v>256</v>
      </c>
      <c r="AL486" s="7" t="s">
        <v>68</v>
      </c>
      <c r="AN486" s="7" t="s">
        <v>259</v>
      </c>
    </row>
    <row r="487" spans="1:40" ht="22.5" customHeight="1" x14ac:dyDescent="0.2">
      <c r="A487" s="6">
        <v>46011.543158229164</v>
      </c>
      <c r="B487" s="7" t="s">
        <v>1333</v>
      </c>
      <c r="C487" s="7">
        <v>26</v>
      </c>
      <c r="D487" s="7" t="s">
        <v>42</v>
      </c>
      <c r="E487" s="7" t="s">
        <v>58</v>
      </c>
      <c r="F487" s="7" t="s">
        <v>74</v>
      </c>
      <c r="G487" s="7" t="s">
        <v>45</v>
      </c>
      <c r="H487" s="7">
        <v>3</v>
      </c>
      <c r="I487" s="7">
        <v>1</v>
      </c>
      <c r="J487" s="7" t="s">
        <v>100</v>
      </c>
      <c r="L487" s="7" t="s">
        <v>47</v>
      </c>
      <c r="S487" s="7">
        <v>3</v>
      </c>
      <c r="T487" s="7">
        <v>12</v>
      </c>
      <c r="U487" s="7">
        <v>7</v>
      </c>
      <c r="AE487" s="7">
        <v>910</v>
      </c>
      <c r="AF487" s="7" t="s">
        <v>323</v>
      </c>
      <c r="AG487" s="7" t="s">
        <v>317</v>
      </c>
      <c r="AH487" s="7">
        <v>6</v>
      </c>
      <c r="AI487" s="7" t="s">
        <v>255</v>
      </c>
      <c r="AJ487" s="7" t="s">
        <v>96</v>
      </c>
      <c r="AK487" s="7" t="s">
        <v>256</v>
      </c>
      <c r="AL487" s="7" t="s">
        <v>257</v>
      </c>
      <c r="AM487" s="7" t="s">
        <v>258</v>
      </c>
    </row>
    <row r="488" spans="1:40" ht="22.5" customHeight="1" x14ac:dyDescent="0.2">
      <c r="A488" s="6">
        <v>46011.544587476848</v>
      </c>
      <c r="B488" s="7" t="s">
        <v>1334</v>
      </c>
      <c r="C488" s="7">
        <v>23</v>
      </c>
      <c r="D488" s="7" t="s">
        <v>73</v>
      </c>
      <c r="E488" s="7" t="s">
        <v>58</v>
      </c>
      <c r="F488" s="7" t="s">
        <v>562</v>
      </c>
      <c r="G488" s="7" t="s">
        <v>89</v>
      </c>
      <c r="H488" s="7">
        <v>4</v>
      </c>
      <c r="I488" s="7">
        <v>1</v>
      </c>
      <c r="J488" s="7" t="s">
        <v>46</v>
      </c>
      <c r="K488" s="7" t="s">
        <v>47</v>
      </c>
      <c r="P488" s="7">
        <v>2</v>
      </c>
      <c r="Q488" s="7">
        <v>16</v>
      </c>
      <c r="R488" s="7">
        <v>10</v>
      </c>
      <c r="AE488" s="7">
        <v>1300</v>
      </c>
      <c r="AF488" s="7" t="s">
        <v>360</v>
      </c>
      <c r="AG488" s="7" t="s">
        <v>295</v>
      </c>
      <c r="AH488" s="7">
        <v>8</v>
      </c>
      <c r="AI488" s="7" t="s">
        <v>285</v>
      </c>
      <c r="AJ488" s="7" t="s">
        <v>96</v>
      </c>
      <c r="AK488" s="7" t="s">
        <v>256</v>
      </c>
      <c r="AL488" s="7" t="s">
        <v>257</v>
      </c>
      <c r="AM488" s="7" t="s">
        <v>286</v>
      </c>
    </row>
    <row r="489" spans="1:40" ht="22.5" customHeight="1" x14ac:dyDescent="0.2">
      <c r="A489" s="6">
        <v>46011.546964548616</v>
      </c>
      <c r="B489" s="7" t="s">
        <v>1335</v>
      </c>
      <c r="C489" s="7">
        <v>48</v>
      </c>
      <c r="D489" s="7" t="s">
        <v>73</v>
      </c>
      <c r="E489" s="7" t="s">
        <v>43</v>
      </c>
      <c r="F489" s="7" t="s">
        <v>172</v>
      </c>
      <c r="G489" s="7" t="s">
        <v>60</v>
      </c>
      <c r="H489" s="7">
        <v>6</v>
      </c>
      <c r="I489" s="7">
        <v>2</v>
      </c>
      <c r="J489" s="7" t="s">
        <v>246</v>
      </c>
      <c r="K489" s="7" t="s">
        <v>47</v>
      </c>
      <c r="M489" s="7" t="s">
        <v>47</v>
      </c>
      <c r="P489" s="7">
        <v>11</v>
      </c>
      <c r="Q489" s="7">
        <v>6</v>
      </c>
      <c r="R489" s="7">
        <v>9</v>
      </c>
      <c r="V489" s="7">
        <v>9</v>
      </c>
      <c r="W489" s="7">
        <v>24</v>
      </c>
      <c r="X489" s="7">
        <v>22</v>
      </c>
      <c r="AE489" s="7">
        <v>3640</v>
      </c>
      <c r="AF489" s="7" t="s">
        <v>252</v>
      </c>
      <c r="AG489" s="7" t="s">
        <v>361</v>
      </c>
      <c r="AH489" s="7">
        <v>12</v>
      </c>
      <c r="AI489" s="7" t="s">
        <v>559</v>
      </c>
      <c r="AJ489" s="7" t="s">
        <v>85</v>
      </c>
      <c r="AK489" s="7" t="s">
        <v>256</v>
      </c>
      <c r="AL489" s="7" t="s">
        <v>68</v>
      </c>
      <c r="AN489" s="7" t="s">
        <v>460</v>
      </c>
    </row>
    <row r="490" spans="1:40" ht="22.5" customHeight="1" x14ac:dyDescent="0.2">
      <c r="A490" s="6">
        <v>46011.549300914354</v>
      </c>
      <c r="B490" s="7" t="s">
        <v>1336</v>
      </c>
      <c r="C490" s="7">
        <v>32</v>
      </c>
      <c r="D490" s="7" t="s">
        <v>42</v>
      </c>
      <c r="E490" s="7" t="s">
        <v>58</v>
      </c>
      <c r="F490" s="7" t="s">
        <v>144</v>
      </c>
      <c r="G490" s="7" t="s">
        <v>89</v>
      </c>
      <c r="H490" s="7">
        <v>4</v>
      </c>
      <c r="I490" s="7">
        <v>1</v>
      </c>
      <c r="J490" s="7" t="s">
        <v>100</v>
      </c>
      <c r="L490" s="7" t="s">
        <v>47</v>
      </c>
      <c r="S490" s="7">
        <v>4</v>
      </c>
      <c r="T490" s="7">
        <v>5</v>
      </c>
      <c r="U490" s="7">
        <v>3</v>
      </c>
      <c r="AE490" s="7">
        <v>390</v>
      </c>
      <c r="AF490" s="7" t="s">
        <v>159</v>
      </c>
      <c r="AG490" s="7" t="s">
        <v>284</v>
      </c>
      <c r="AH490" s="7">
        <v>2</v>
      </c>
      <c r="AI490" s="7" t="s">
        <v>344</v>
      </c>
      <c r="AJ490" s="7" t="s">
        <v>277</v>
      </c>
      <c r="AK490" s="7" t="s">
        <v>335</v>
      </c>
      <c r="AL490" s="7" t="s">
        <v>68</v>
      </c>
      <c r="AN490" s="7" t="s">
        <v>373</v>
      </c>
    </row>
    <row r="491" spans="1:40" ht="22.5" customHeight="1" x14ac:dyDescent="0.2">
      <c r="A491" s="6">
        <v>46011.551062326384</v>
      </c>
      <c r="B491" s="7" t="s">
        <v>1337</v>
      </c>
      <c r="C491" s="7">
        <v>29</v>
      </c>
      <c r="D491" s="7" t="s">
        <v>73</v>
      </c>
      <c r="E491" s="7" t="s">
        <v>58</v>
      </c>
      <c r="F491" s="7" t="s">
        <v>138</v>
      </c>
      <c r="G491" s="7" t="s">
        <v>60</v>
      </c>
      <c r="H491" s="7">
        <v>3</v>
      </c>
      <c r="I491" s="7">
        <v>1</v>
      </c>
      <c r="J491" s="7" t="s">
        <v>46</v>
      </c>
      <c r="K491" s="7" t="s">
        <v>47</v>
      </c>
      <c r="P491" s="7">
        <v>4</v>
      </c>
      <c r="Q491" s="7">
        <v>22</v>
      </c>
      <c r="R491" s="7">
        <v>14</v>
      </c>
      <c r="AE491" s="7">
        <v>1820</v>
      </c>
      <c r="AF491" s="7" t="s">
        <v>323</v>
      </c>
      <c r="AG491" s="7" t="s">
        <v>253</v>
      </c>
      <c r="AH491" s="7">
        <v>11</v>
      </c>
      <c r="AI491" s="7" t="s">
        <v>255</v>
      </c>
      <c r="AJ491" s="7" t="s">
        <v>85</v>
      </c>
      <c r="AK491" s="7" t="s">
        <v>256</v>
      </c>
      <c r="AL491" s="7" t="s">
        <v>257</v>
      </c>
      <c r="AN491" s="7" t="s">
        <v>460</v>
      </c>
    </row>
    <row r="492" spans="1:40" ht="22.5" customHeight="1" x14ac:dyDescent="0.2">
      <c r="A492" s="6">
        <v>46011.552409456017</v>
      </c>
      <c r="B492" s="7" t="s">
        <v>1338</v>
      </c>
      <c r="C492" s="7">
        <v>45</v>
      </c>
      <c r="D492" s="7" t="s">
        <v>42</v>
      </c>
      <c r="E492" s="7" t="s">
        <v>43</v>
      </c>
      <c r="F492" s="7" t="s">
        <v>44</v>
      </c>
      <c r="G492" s="7" t="s">
        <v>89</v>
      </c>
      <c r="H492" s="7">
        <v>5</v>
      </c>
      <c r="I492" s="7">
        <v>1</v>
      </c>
      <c r="J492" s="7" t="s">
        <v>46</v>
      </c>
      <c r="K492" s="7" t="s">
        <v>47</v>
      </c>
      <c r="P492" s="7">
        <v>13</v>
      </c>
      <c r="Q492" s="7">
        <v>6</v>
      </c>
      <c r="R492" s="7">
        <v>4</v>
      </c>
      <c r="AE492" s="7">
        <v>520</v>
      </c>
      <c r="AF492" s="7" t="s">
        <v>252</v>
      </c>
      <c r="AG492" s="7" t="s">
        <v>361</v>
      </c>
      <c r="AH492" s="7">
        <v>3</v>
      </c>
      <c r="AI492" s="7" t="s">
        <v>296</v>
      </c>
      <c r="AJ492" s="7" t="s">
        <v>85</v>
      </c>
      <c r="AK492" s="7" t="s">
        <v>256</v>
      </c>
      <c r="AL492" s="7" t="s">
        <v>68</v>
      </c>
      <c r="AN492" s="7" t="s">
        <v>373</v>
      </c>
    </row>
    <row r="493" spans="1:40" ht="22.5" customHeight="1" x14ac:dyDescent="0.2">
      <c r="A493" s="6">
        <v>46011.554260844903</v>
      </c>
      <c r="B493" s="7" t="s">
        <v>1339</v>
      </c>
      <c r="C493" s="7">
        <v>34</v>
      </c>
      <c r="D493" s="7" t="s">
        <v>73</v>
      </c>
      <c r="E493" s="7" t="s">
        <v>58</v>
      </c>
      <c r="F493" s="7" t="s">
        <v>74</v>
      </c>
      <c r="G493" s="7" t="s">
        <v>109</v>
      </c>
      <c r="H493" s="7">
        <v>4</v>
      </c>
      <c r="I493" s="7">
        <v>1</v>
      </c>
      <c r="J493" s="7" t="s">
        <v>431</v>
      </c>
      <c r="M493" s="7" t="s">
        <v>47</v>
      </c>
      <c r="V493" s="7">
        <v>5</v>
      </c>
      <c r="W493" s="7">
        <v>26</v>
      </c>
      <c r="X493" s="7">
        <v>24</v>
      </c>
      <c r="AE493" s="7">
        <v>3900</v>
      </c>
      <c r="AF493" s="7" t="s">
        <v>276</v>
      </c>
      <c r="AG493" s="7" t="s">
        <v>253</v>
      </c>
      <c r="AH493" s="7">
        <v>13</v>
      </c>
      <c r="AI493" s="7" t="s">
        <v>255</v>
      </c>
      <c r="AJ493" s="7" t="s">
        <v>362</v>
      </c>
      <c r="AK493" s="7" t="s">
        <v>307</v>
      </c>
      <c r="AL493" s="7" t="s">
        <v>152</v>
      </c>
      <c r="AM493" s="7" t="s">
        <v>286</v>
      </c>
    </row>
    <row r="494" spans="1:40" ht="22.5" customHeight="1" x14ac:dyDescent="0.2">
      <c r="A494" s="6">
        <v>46011.555507708334</v>
      </c>
      <c r="B494" s="7" t="s">
        <v>1340</v>
      </c>
      <c r="C494" s="7">
        <v>38</v>
      </c>
      <c r="D494" s="7" t="s">
        <v>73</v>
      </c>
      <c r="E494" s="7" t="s">
        <v>43</v>
      </c>
      <c r="F494" s="7" t="s">
        <v>339</v>
      </c>
      <c r="G494" s="7" t="s">
        <v>182</v>
      </c>
      <c r="H494" s="7">
        <v>4</v>
      </c>
      <c r="I494" s="7">
        <v>1</v>
      </c>
      <c r="J494" s="7" t="s">
        <v>46</v>
      </c>
      <c r="K494" s="7" t="s">
        <v>47</v>
      </c>
      <c r="P494" s="7">
        <v>8</v>
      </c>
      <c r="Q494" s="7">
        <v>15</v>
      </c>
      <c r="R494" s="7">
        <v>9</v>
      </c>
      <c r="AE494" s="7">
        <v>1170</v>
      </c>
      <c r="AF494" s="7" t="s">
        <v>360</v>
      </c>
      <c r="AG494" s="7" t="s">
        <v>253</v>
      </c>
      <c r="AH494" s="7">
        <v>7</v>
      </c>
      <c r="AI494" s="7" t="s">
        <v>724</v>
      </c>
      <c r="AJ494" s="7" t="s">
        <v>96</v>
      </c>
      <c r="AK494" s="7" t="s">
        <v>256</v>
      </c>
      <c r="AL494" s="7" t="s">
        <v>68</v>
      </c>
      <c r="AN494" s="7" t="s">
        <v>460</v>
      </c>
    </row>
    <row r="495" spans="1:40" ht="22.5" customHeight="1" x14ac:dyDescent="0.2">
      <c r="A495" s="6">
        <v>46011.556903460645</v>
      </c>
      <c r="B495" s="7" t="s">
        <v>1341</v>
      </c>
      <c r="C495" s="7">
        <v>28</v>
      </c>
      <c r="D495" s="7" t="s">
        <v>42</v>
      </c>
      <c r="E495" s="7" t="s">
        <v>58</v>
      </c>
      <c r="F495" s="7" t="s">
        <v>74</v>
      </c>
      <c r="G495" s="7" t="s">
        <v>45</v>
      </c>
      <c r="H495" s="7">
        <v>3</v>
      </c>
      <c r="I495" s="7">
        <v>1</v>
      </c>
      <c r="J495" s="7" t="s">
        <v>100</v>
      </c>
      <c r="L495" s="7" t="s">
        <v>47</v>
      </c>
      <c r="S495" s="7">
        <v>2</v>
      </c>
      <c r="T495" s="7">
        <v>10</v>
      </c>
      <c r="U495" s="7">
        <v>6</v>
      </c>
      <c r="AE495" s="7">
        <v>780</v>
      </c>
      <c r="AF495" s="7" t="s">
        <v>323</v>
      </c>
      <c r="AG495" s="7" t="s">
        <v>361</v>
      </c>
      <c r="AH495" s="7">
        <v>5</v>
      </c>
      <c r="AI495" s="7" t="s">
        <v>255</v>
      </c>
      <c r="AJ495" s="7" t="s">
        <v>277</v>
      </c>
      <c r="AK495" s="7" t="s">
        <v>256</v>
      </c>
      <c r="AL495" s="7" t="s">
        <v>257</v>
      </c>
      <c r="AM495" s="7" t="s">
        <v>1342</v>
      </c>
    </row>
    <row r="496" spans="1:40" ht="22.5" customHeight="1" x14ac:dyDescent="0.2">
      <c r="A496" s="6">
        <v>46012.807593344907</v>
      </c>
      <c r="B496" s="7" t="s">
        <v>1267</v>
      </c>
      <c r="C496" s="7">
        <v>34</v>
      </c>
      <c r="D496" s="7" t="s">
        <v>73</v>
      </c>
      <c r="E496" s="7" t="s">
        <v>43</v>
      </c>
      <c r="F496" s="7" t="s">
        <v>44</v>
      </c>
      <c r="G496" s="7" t="s">
        <v>45</v>
      </c>
      <c r="H496" s="7">
        <v>4</v>
      </c>
      <c r="I496" s="7">
        <v>1</v>
      </c>
      <c r="J496" s="7" t="s">
        <v>46</v>
      </c>
      <c r="K496" s="7" t="s">
        <v>47</v>
      </c>
      <c r="P496" s="7">
        <v>6</v>
      </c>
      <c r="Q496" s="7">
        <v>10</v>
      </c>
      <c r="R496" s="7">
        <v>7</v>
      </c>
      <c r="AE496" s="7">
        <v>910</v>
      </c>
      <c r="AF496" s="7" t="s">
        <v>252</v>
      </c>
      <c r="AG496" s="7" t="s">
        <v>284</v>
      </c>
      <c r="AH496" s="7">
        <v>5</v>
      </c>
      <c r="AI496" s="7" t="s">
        <v>296</v>
      </c>
      <c r="AJ496" s="7" t="s">
        <v>85</v>
      </c>
      <c r="AK496" s="7" t="s">
        <v>256</v>
      </c>
      <c r="AL496" s="7" t="s">
        <v>68</v>
      </c>
      <c r="AN496" s="7" t="s">
        <v>259</v>
      </c>
    </row>
    <row r="497" spans="1:40" ht="22.5" customHeight="1" x14ac:dyDescent="0.2">
      <c r="A497" s="6">
        <v>46012.80878850694</v>
      </c>
      <c r="B497" s="7" t="s">
        <v>1343</v>
      </c>
      <c r="C497" s="7">
        <v>26</v>
      </c>
      <c r="D497" s="7" t="s">
        <v>42</v>
      </c>
      <c r="E497" s="7" t="s">
        <v>58</v>
      </c>
      <c r="F497" s="7" t="s">
        <v>74</v>
      </c>
      <c r="G497" s="7" t="s">
        <v>45</v>
      </c>
      <c r="H497" s="7">
        <v>3</v>
      </c>
      <c r="I497" s="7">
        <v>1</v>
      </c>
      <c r="J497" s="7" t="s">
        <v>100</v>
      </c>
      <c r="L497" s="7" t="s">
        <v>47</v>
      </c>
      <c r="S497" s="7">
        <v>2</v>
      </c>
      <c r="T497" s="7">
        <v>9</v>
      </c>
      <c r="U497" s="7">
        <v>5</v>
      </c>
      <c r="AE497" s="7">
        <v>650</v>
      </c>
      <c r="AF497" s="7" t="s">
        <v>323</v>
      </c>
      <c r="AG497" s="7" t="s">
        <v>317</v>
      </c>
      <c r="AH497" s="7">
        <v>4</v>
      </c>
      <c r="AI497" s="7" t="s">
        <v>255</v>
      </c>
      <c r="AJ497" s="7" t="s">
        <v>96</v>
      </c>
      <c r="AK497" s="7" t="s">
        <v>256</v>
      </c>
      <c r="AL497" s="7" t="s">
        <v>257</v>
      </c>
      <c r="AM497" s="7" t="s">
        <v>258</v>
      </c>
    </row>
    <row r="498" spans="1:40" ht="22.5" customHeight="1" x14ac:dyDescent="0.2">
      <c r="A498" s="6">
        <v>46012.81009590278</v>
      </c>
      <c r="B498" s="7" t="s">
        <v>1344</v>
      </c>
      <c r="C498" s="7">
        <v>22</v>
      </c>
      <c r="D498" s="7" t="s">
        <v>73</v>
      </c>
      <c r="E498" s="7" t="s">
        <v>58</v>
      </c>
      <c r="F498" s="7" t="s">
        <v>562</v>
      </c>
      <c r="G498" s="7" t="s">
        <v>182</v>
      </c>
      <c r="H498" s="7">
        <v>5</v>
      </c>
      <c r="I498" s="7">
        <v>1</v>
      </c>
      <c r="J498" s="7" t="s">
        <v>46</v>
      </c>
      <c r="K498" s="7" t="s">
        <v>47</v>
      </c>
      <c r="P498" s="7">
        <v>1</v>
      </c>
      <c r="Q498" s="7">
        <v>20</v>
      </c>
      <c r="R498" s="7">
        <v>12</v>
      </c>
      <c r="AE498" s="7">
        <v>1560</v>
      </c>
      <c r="AF498" s="7" t="s">
        <v>360</v>
      </c>
      <c r="AG498" s="7" t="s">
        <v>253</v>
      </c>
      <c r="AH498" s="7">
        <v>10</v>
      </c>
      <c r="AI498" s="7" t="s">
        <v>285</v>
      </c>
      <c r="AJ498" s="7" t="s">
        <v>96</v>
      </c>
      <c r="AK498" s="7" t="s">
        <v>256</v>
      </c>
      <c r="AL498" s="7" t="s">
        <v>257</v>
      </c>
      <c r="AM498" s="7" t="s">
        <v>286</v>
      </c>
    </row>
    <row r="499" spans="1:40" ht="22.5" customHeight="1" x14ac:dyDescent="0.2">
      <c r="A499" s="6">
        <v>46012.811634074074</v>
      </c>
      <c r="B499" s="7" t="s">
        <v>1345</v>
      </c>
      <c r="C499" s="7">
        <v>49</v>
      </c>
      <c r="D499" s="7" t="s">
        <v>73</v>
      </c>
      <c r="E499" s="7" t="s">
        <v>43</v>
      </c>
      <c r="F499" s="7" t="s">
        <v>172</v>
      </c>
      <c r="G499" s="7" t="s">
        <v>60</v>
      </c>
      <c r="H499" s="7">
        <v>6</v>
      </c>
      <c r="I499" s="7">
        <v>2</v>
      </c>
      <c r="J499" s="7" t="s">
        <v>246</v>
      </c>
      <c r="K499" s="7" t="s">
        <v>47</v>
      </c>
      <c r="M499" s="7" t="s">
        <v>47</v>
      </c>
      <c r="P499" s="7">
        <v>11</v>
      </c>
      <c r="Q499" s="7">
        <v>6</v>
      </c>
      <c r="R499" s="7">
        <v>5</v>
      </c>
      <c r="V499" s="7">
        <v>9</v>
      </c>
      <c r="W499" s="7">
        <v>25</v>
      </c>
      <c r="X499" s="7">
        <v>22</v>
      </c>
      <c r="AE499" s="7">
        <v>3510</v>
      </c>
      <c r="AF499" s="7" t="s">
        <v>252</v>
      </c>
      <c r="AG499" s="7" t="s">
        <v>361</v>
      </c>
      <c r="AH499" s="7">
        <v>12</v>
      </c>
      <c r="AI499" s="7" t="s">
        <v>559</v>
      </c>
      <c r="AJ499" s="7" t="s">
        <v>85</v>
      </c>
      <c r="AK499" s="7" t="s">
        <v>256</v>
      </c>
      <c r="AL499" s="7" t="s">
        <v>68</v>
      </c>
      <c r="AN499" s="7" t="s">
        <v>460</v>
      </c>
    </row>
    <row r="500" spans="1:40" ht="22.5" customHeight="1" x14ac:dyDescent="0.2">
      <c r="A500" s="6">
        <v>46012.812893773153</v>
      </c>
      <c r="B500" s="7" t="s">
        <v>1346</v>
      </c>
      <c r="C500" s="7">
        <v>37</v>
      </c>
      <c r="D500" s="7" t="s">
        <v>42</v>
      </c>
      <c r="E500" s="7" t="s">
        <v>58</v>
      </c>
      <c r="F500" s="7" t="s">
        <v>144</v>
      </c>
      <c r="G500" s="7" t="s">
        <v>89</v>
      </c>
      <c r="H500" s="7">
        <v>4</v>
      </c>
      <c r="I500" s="7">
        <v>1</v>
      </c>
      <c r="J500" s="7" t="s">
        <v>100</v>
      </c>
      <c r="L500" s="7" t="s">
        <v>47</v>
      </c>
      <c r="S500" s="7">
        <v>5</v>
      </c>
      <c r="T500" s="7">
        <v>5</v>
      </c>
      <c r="U500" s="7">
        <v>3</v>
      </c>
      <c r="AE500" s="7">
        <v>390</v>
      </c>
      <c r="AF500" s="7" t="s">
        <v>159</v>
      </c>
      <c r="AG500" s="7" t="s">
        <v>284</v>
      </c>
      <c r="AH500" s="7">
        <v>2</v>
      </c>
      <c r="AI500" s="7" t="s">
        <v>344</v>
      </c>
      <c r="AJ500" s="7" t="s">
        <v>277</v>
      </c>
      <c r="AK500" s="7" t="s">
        <v>335</v>
      </c>
      <c r="AL500" s="7" t="s">
        <v>68</v>
      </c>
      <c r="AN500" s="7" t="s">
        <v>373</v>
      </c>
    </row>
    <row r="501" spans="1:40" ht="22.5" customHeight="1" x14ac:dyDescent="0.2">
      <c r="A501" s="6">
        <v>46012.81423452546</v>
      </c>
      <c r="B501" s="7" t="s">
        <v>1347</v>
      </c>
      <c r="C501" s="7">
        <v>31</v>
      </c>
      <c r="D501" s="7" t="s">
        <v>73</v>
      </c>
      <c r="E501" s="7" t="s">
        <v>58</v>
      </c>
      <c r="F501" s="7" t="s">
        <v>138</v>
      </c>
      <c r="G501" s="7" t="s">
        <v>60</v>
      </c>
      <c r="H501" s="7">
        <v>3</v>
      </c>
      <c r="I501" s="7">
        <v>1</v>
      </c>
      <c r="J501" s="7" t="s">
        <v>46</v>
      </c>
      <c r="K501" s="7" t="s">
        <v>47</v>
      </c>
      <c r="P501" s="7">
        <v>4</v>
      </c>
      <c r="Q501" s="7">
        <v>26</v>
      </c>
      <c r="R501" s="7">
        <v>16</v>
      </c>
      <c r="AE501" s="7">
        <v>2080</v>
      </c>
      <c r="AF501" s="7" t="s">
        <v>323</v>
      </c>
      <c r="AG501" s="7" t="s">
        <v>253</v>
      </c>
      <c r="AH501" s="7">
        <v>13</v>
      </c>
      <c r="AI501" s="7" t="s">
        <v>255</v>
      </c>
      <c r="AJ501" s="7" t="s">
        <v>85</v>
      </c>
      <c r="AK501" s="7" t="s">
        <v>256</v>
      </c>
      <c r="AL501" s="7" t="s">
        <v>257</v>
      </c>
      <c r="AN501" s="7" t="s">
        <v>460</v>
      </c>
    </row>
    <row r="502" spans="1:40" ht="22.5" customHeight="1" x14ac:dyDescent="0.2">
      <c r="A502" s="6">
        <v>46012.815494363429</v>
      </c>
      <c r="B502" s="7" t="s">
        <v>1348</v>
      </c>
      <c r="C502" s="7">
        <v>44</v>
      </c>
      <c r="D502" s="7" t="s">
        <v>42</v>
      </c>
      <c r="E502" s="7" t="s">
        <v>43</v>
      </c>
      <c r="F502" s="7" t="s">
        <v>44</v>
      </c>
      <c r="G502" s="7" t="s">
        <v>89</v>
      </c>
      <c r="H502" s="7">
        <v>5</v>
      </c>
      <c r="I502" s="7">
        <v>1</v>
      </c>
      <c r="J502" s="7" t="s">
        <v>46</v>
      </c>
      <c r="K502" s="7" t="s">
        <v>47</v>
      </c>
      <c r="P502" s="7">
        <v>15</v>
      </c>
      <c r="Q502" s="7">
        <v>4</v>
      </c>
      <c r="R502" s="7">
        <v>3</v>
      </c>
      <c r="AE502" s="7">
        <v>390</v>
      </c>
      <c r="AF502" s="7" t="s">
        <v>252</v>
      </c>
      <c r="AG502" s="7" t="s">
        <v>284</v>
      </c>
      <c r="AH502" s="7">
        <v>2</v>
      </c>
      <c r="AI502" s="7" t="s">
        <v>296</v>
      </c>
      <c r="AJ502" s="7" t="s">
        <v>85</v>
      </c>
      <c r="AK502" s="7" t="s">
        <v>256</v>
      </c>
      <c r="AL502" s="7" t="s">
        <v>68</v>
      </c>
      <c r="AN502" s="7" t="s">
        <v>259</v>
      </c>
    </row>
    <row r="503" spans="1:40" ht="22.5" customHeight="1" x14ac:dyDescent="0.2">
      <c r="A503" s="6">
        <v>46012.817076516207</v>
      </c>
      <c r="B503" s="7" t="s">
        <v>1349</v>
      </c>
      <c r="C503" s="7">
        <v>39</v>
      </c>
      <c r="D503" s="7" t="s">
        <v>73</v>
      </c>
      <c r="E503" s="7" t="s">
        <v>58</v>
      </c>
      <c r="F503" s="7" t="s">
        <v>74</v>
      </c>
      <c r="G503" s="7" t="s">
        <v>109</v>
      </c>
      <c r="H503" s="7">
        <v>4</v>
      </c>
      <c r="I503" s="7">
        <v>1</v>
      </c>
      <c r="J503" s="7" t="s">
        <v>431</v>
      </c>
      <c r="M503" s="7" t="s">
        <v>47</v>
      </c>
      <c r="V503" s="7">
        <v>6</v>
      </c>
      <c r="W503" s="7">
        <v>29</v>
      </c>
      <c r="X503" s="7">
        <v>26</v>
      </c>
      <c r="AE503" s="7">
        <v>4160</v>
      </c>
      <c r="AF503" s="7" t="s">
        <v>276</v>
      </c>
      <c r="AG503" s="7" t="s">
        <v>631</v>
      </c>
      <c r="AH503" s="7">
        <v>14</v>
      </c>
      <c r="AI503" s="7" t="s">
        <v>255</v>
      </c>
      <c r="AJ503" s="7" t="s">
        <v>362</v>
      </c>
      <c r="AK503" s="7" t="s">
        <v>307</v>
      </c>
      <c r="AL503" s="7" t="s">
        <v>152</v>
      </c>
      <c r="AM503" s="7" t="s">
        <v>689</v>
      </c>
    </row>
    <row r="504" spans="1:40" ht="22.5" customHeight="1" x14ac:dyDescent="0.2">
      <c r="A504" s="6">
        <v>46012.818266979171</v>
      </c>
      <c r="B504" s="7" t="s">
        <v>1350</v>
      </c>
      <c r="C504" s="7">
        <v>56</v>
      </c>
      <c r="D504" s="7" t="s">
        <v>73</v>
      </c>
      <c r="E504" s="7" t="s">
        <v>43</v>
      </c>
      <c r="F504" s="7" t="s">
        <v>339</v>
      </c>
      <c r="G504" s="7" t="s">
        <v>182</v>
      </c>
      <c r="H504" s="7">
        <v>6</v>
      </c>
      <c r="I504" s="7">
        <v>1</v>
      </c>
      <c r="J504" s="7" t="s">
        <v>46</v>
      </c>
      <c r="K504" s="7" t="s">
        <v>47</v>
      </c>
      <c r="P504" s="7">
        <v>18</v>
      </c>
      <c r="Q504" s="7">
        <v>6</v>
      </c>
      <c r="R504" s="7">
        <v>4</v>
      </c>
      <c r="AE504" s="7">
        <v>520</v>
      </c>
      <c r="AF504" s="7" t="s">
        <v>360</v>
      </c>
      <c r="AG504" s="7" t="s">
        <v>295</v>
      </c>
      <c r="AH504" s="7">
        <v>3</v>
      </c>
      <c r="AI504" s="7" t="s">
        <v>724</v>
      </c>
      <c r="AJ504" s="7" t="s">
        <v>96</v>
      </c>
      <c r="AK504" s="7" t="s">
        <v>335</v>
      </c>
      <c r="AL504" s="7" t="s">
        <v>68</v>
      </c>
      <c r="AN504" s="7" t="s">
        <v>460</v>
      </c>
    </row>
    <row r="505" spans="1:40" ht="22.5" customHeight="1" x14ac:dyDescent="0.2">
      <c r="A505" s="6">
        <v>46012.819625879631</v>
      </c>
      <c r="B505" s="7" t="s">
        <v>1351</v>
      </c>
      <c r="C505" s="7">
        <v>29</v>
      </c>
      <c r="D505" s="7" t="s">
        <v>73</v>
      </c>
      <c r="E505" s="7" t="s">
        <v>58</v>
      </c>
      <c r="F505" s="7" t="s">
        <v>172</v>
      </c>
      <c r="G505" s="7" t="s">
        <v>45</v>
      </c>
      <c r="H505" s="7">
        <v>3</v>
      </c>
      <c r="I505" s="7">
        <v>1</v>
      </c>
      <c r="J505" s="7" t="s">
        <v>46</v>
      </c>
      <c r="K505" s="7" t="s">
        <v>47</v>
      </c>
      <c r="P505" s="7">
        <v>3</v>
      </c>
      <c r="Q505" s="7">
        <v>17</v>
      </c>
      <c r="R505" s="7">
        <v>11</v>
      </c>
      <c r="AE505" s="7">
        <v>1430</v>
      </c>
      <c r="AF505" s="7" t="s">
        <v>252</v>
      </c>
      <c r="AG505" s="7" t="s">
        <v>361</v>
      </c>
      <c r="AH505" s="7">
        <v>8</v>
      </c>
      <c r="AI505" s="7" t="s">
        <v>559</v>
      </c>
      <c r="AJ505" s="7" t="s">
        <v>85</v>
      </c>
      <c r="AK505" s="7" t="s">
        <v>256</v>
      </c>
      <c r="AL505" s="7" t="s">
        <v>257</v>
      </c>
      <c r="AM505" s="7" t="s">
        <v>278</v>
      </c>
    </row>
    <row r="506" spans="1:40" ht="22.5" customHeight="1" x14ac:dyDescent="0.2">
      <c r="A506" s="6">
        <v>46012.821354525462</v>
      </c>
      <c r="B506" s="7" t="s">
        <v>1141</v>
      </c>
      <c r="C506" s="7">
        <v>36</v>
      </c>
      <c r="D506" s="7" t="s">
        <v>73</v>
      </c>
      <c r="E506" s="7" t="s">
        <v>43</v>
      </c>
      <c r="F506" s="7" t="s">
        <v>44</v>
      </c>
      <c r="G506" s="7" t="s">
        <v>45</v>
      </c>
      <c r="H506" s="7">
        <v>4</v>
      </c>
      <c r="I506" s="7">
        <v>1</v>
      </c>
      <c r="J506" s="7" t="s">
        <v>46</v>
      </c>
      <c r="K506" s="7" t="s">
        <v>47</v>
      </c>
      <c r="P506" s="7">
        <v>7</v>
      </c>
      <c r="Q506" s="7">
        <v>11</v>
      </c>
      <c r="R506" s="7">
        <v>7</v>
      </c>
      <c r="AE506" s="7">
        <v>910</v>
      </c>
      <c r="AF506" s="7" t="s">
        <v>252</v>
      </c>
      <c r="AG506" s="7" t="s">
        <v>284</v>
      </c>
      <c r="AH506" s="7">
        <v>5</v>
      </c>
      <c r="AI506" s="7" t="s">
        <v>296</v>
      </c>
      <c r="AJ506" s="7" t="s">
        <v>85</v>
      </c>
      <c r="AK506" s="7" t="s">
        <v>256</v>
      </c>
      <c r="AL506" s="7" t="s">
        <v>68</v>
      </c>
      <c r="AN506" s="7" t="s">
        <v>259</v>
      </c>
    </row>
    <row r="507" spans="1:40" ht="22.5" customHeight="1" x14ac:dyDescent="0.2">
      <c r="A507" s="6">
        <v>46012.82271547454</v>
      </c>
      <c r="B507" s="7" t="s">
        <v>1352</v>
      </c>
      <c r="C507" s="7">
        <v>25</v>
      </c>
      <c r="D507" s="7" t="s">
        <v>42</v>
      </c>
      <c r="E507" s="7" t="s">
        <v>58</v>
      </c>
      <c r="F507" s="7" t="s">
        <v>74</v>
      </c>
      <c r="G507" s="7" t="s">
        <v>45</v>
      </c>
      <c r="H507" s="7">
        <v>3</v>
      </c>
      <c r="I507" s="7">
        <v>1</v>
      </c>
      <c r="J507" s="7" t="s">
        <v>100</v>
      </c>
      <c r="L507" s="7" t="s">
        <v>47</v>
      </c>
      <c r="S507" s="7">
        <v>2</v>
      </c>
      <c r="T507" s="7">
        <v>8</v>
      </c>
      <c r="U507" s="7">
        <v>5</v>
      </c>
      <c r="AE507" s="7">
        <v>650</v>
      </c>
      <c r="AF507" s="7" t="s">
        <v>323</v>
      </c>
      <c r="AG507" s="7" t="s">
        <v>317</v>
      </c>
      <c r="AH507" s="7">
        <v>4</v>
      </c>
      <c r="AI507" s="7" t="s">
        <v>255</v>
      </c>
      <c r="AJ507" s="7" t="s">
        <v>96</v>
      </c>
      <c r="AK507" s="7" t="s">
        <v>256</v>
      </c>
      <c r="AL507" s="7" t="s">
        <v>257</v>
      </c>
      <c r="AM507" s="7" t="s">
        <v>258</v>
      </c>
    </row>
    <row r="508" spans="1:40" ht="22.5" customHeight="1" x14ac:dyDescent="0.2">
      <c r="A508" s="6">
        <v>46012.824067893518</v>
      </c>
      <c r="B508" s="7" t="s">
        <v>1353</v>
      </c>
      <c r="C508" s="7">
        <v>21</v>
      </c>
      <c r="D508" s="7" t="s">
        <v>73</v>
      </c>
      <c r="E508" s="7" t="s">
        <v>58</v>
      </c>
      <c r="F508" s="7" t="s">
        <v>562</v>
      </c>
      <c r="G508" s="7" t="s">
        <v>182</v>
      </c>
      <c r="H508" s="7">
        <v>5</v>
      </c>
      <c r="I508" s="7">
        <v>1</v>
      </c>
      <c r="J508" s="7" t="s">
        <v>46</v>
      </c>
      <c r="K508" s="7" t="s">
        <v>47</v>
      </c>
      <c r="P508" s="7">
        <v>1</v>
      </c>
      <c r="Q508" s="7">
        <v>15</v>
      </c>
      <c r="R508" s="7">
        <v>9</v>
      </c>
      <c r="AE508" s="7">
        <v>1170</v>
      </c>
      <c r="AF508" s="7" t="s">
        <v>360</v>
      </c>
      <c r="AG508" s="7" t="s">
        <v>295</v>
      </c>
      <c r="AH508" s="7">
        <v>7</v>
      </c>
      <c r="AI508" s="7" t="s">
        <v>285</v>
      </c>
      <c r="AJ508" s="7" t="s">
        <v>96</v>
      </c>
      <c r="AK508" s="7" t="s">
        <v>256</v>
      </c>
      <c r="AL508" s="7" t="s">
        <v>257</v>
      </c>
      <c r="AN508" s="7" t="s">
        <v>684</v>
      </c>
    </row>
    <row r="509" spans="1:40" ht="22.5" customHeight="1" x14ac:dyDescent="0.2">
      <c r="A509" s="6">
        <v>46012.824170752312</v>
      </c>
      <c r="B509" s="7" t="s">
        <v>1354</v>
      </c>
      <c r="C509" s="7">
        <v>24</v>
      </c>
      <c r="D509" s="7" t="s">
        <v>73</v>
      </c>
      <c r="E509" s="7" t="s">
        <v>43</v>
      </c>
      <c r="F509" s="7" t="s">
        <v>562</v>
      </c>
      <c r="G509" s="7" t="s">
        <v>182</v>
      </c>
      <c r="H509" s="7">
        <v>4</v>
      </c>
      <c r="I509" s="7">
        <v>1</v>
      </c>
      <c r="J509" s="7" t="s">
        <v>46</v>
      </c>
      <c r="K509" s="7" t="s">
        <v>47</v>
      </c>
      <c r="P509" s="7">
        <v>2</v>
      </c>
      <c r="Q509" s="7">
        <v>14</v>
      </c>
      <c r="R509" s="7">
        <v>8</v>
      </c>
      <c r="AE509" s="7">
        <v>900</v>
      </c>
      <c r="AF509" s="7" t="s">
        <v>276</v>
      </c>
      <c r="AG509" s="7" t="s">
        <v>284</v>
      </c>
      <c r="AH509" s="7">
        <v>7</v>
      </c>
      <c r="AI509" s="7" t="s">
        <v>285</v>
      </c>
      <c r="AJ509" s="7" t="s">
        <v>85</v>
      </c>
      <c r="AK509" s="7" t="s">
        <v>256</v>
      </c>
      <c r="AL509" s="7" t="s">
        <v>257</v>
      </c>
      <c r="AM509" s="7" t="s">
        <v>286</v>
      </c>
    </row>
    <row r="510" spans="1:40" ht="22.5" customHeight="1" x14ac:dyDescent="0.2">
      <c r="A510" s="6">
        <v>46012.825637118054</v>
      </c>
      <c r="B510" s="7" t="s">
        <v>1355</v>
      </c>
      <c r="C510" s="7">
        <v>52</v>
      </c>
      <c r="D510" s="7" t="s">
        <v>73</v>
      </c>
      <c r="E510" s="7" t="s">
        <v>43</v>
      </c>
      <c r="F510" s="7" t="s">
        <v>172</v>
      </c>
      <c r="G510" s="7" t="s">
        <v>60</v>
      </c>
      <c r="H510" s="7">
        <v>6</v>
      </c>
      <c r="I510" s="7">
        <v>2</v>
      </c>
      <c r="J510" s="7" t="s">
        <v>246</v>
      </c>
      <c r="K510" s="7" t="s">
        <v>47</v>
      </c>
      <c r="M510" s="7" t="s">
        <v>47</v>
      </c>
      <c r="P510" s="7">
        <v>13</v>
      </c>
      <c r="Q510" s="7">
        <v>6</v>
      </c>
      <c r="R510" s="7">
        <v>5</v>
      </c>
      <c r="V510" s="7">
        <v>11</v>
      </c>
      <c r="W510" s="7">
        <v>24</v>
      </c>
      <c r="X510" s="7">
        <v>21</v>
      </c>
      <c r="AE510" s="7">
        <v>3380</v>
      </c>
      <c r="AF510" s="7" t="s">
        <v>252</v>
      </c>
      <c r="AG510" s="7" t="s">
        <v>361</v>
      </c>
      <c r="AH510" s="7">
        <v>12</v>
      </c>
      <c r="AI510" s="7" t="s">
        <v>559</v>
      </c>
      <c r="AJ510" s="7" t="s">
        <v>85</v>
      </c>
      <c r="AK510" s="7" t="s">
        <v>256</v>
      </c>
      <c r="AL510" s="7" t="s">
        <v>68</v>
      </c>
      <c r="AN510" s="7" t="s">
        <v>460</v>
      </c>
    </row>
    <row r="511" spans="1:40" ht="22.5" customHeight="1" x14ac:dyDescent="0.2">
      <c r="A511" s="6">
        <v>46012.826871087964</v>
      </c>
      <c r="B511" s="7" t="s">
        <v>1356</v>
      </c>
      <c r="C511" s="7">
        <v>38</v>
      </c>
      <c r="D511" s="7" t="s">
        <v>42</v>
      </c>
      <c r="E511" s="7" t="s">
        <v>58</v>
      </c>
      <c r="F511" s="7" t="s">
        <v>144</v>
      </c>
      <c r="G511" s="7" t="s">
        <v>89</v>
      </c>
      <c r="H511" s="7">
        <v>4</v>
      </c>
      <c r="I511" s="7">
        <v>1</v>
      </c>
      <c r="J511" s="7" t="s">
        <v>100</v>
      </c>
      <c r="L511" s="7" t="s">
        <v>47</v>
      </c>
      <c r="S511" s="7">
        <v>6</v>
      </c>
      <c r="T511" s="7">
        <v>5</v>
      </c>
      <c r="U511" s="7">
        <v>3</v>
      </c>
      <c r="AE511" s="7">
        <v>390</v>
      </c>
      <c r="AF511" s="7" t="s">
        <v>159</v>
      </c>
      <c r="AG511" s="7" t="s">
        <v>284</v>
      </c>
      <c r="AH511" s="7">
        <v>2</v>
      </c>
      <c r="AI511" s="7" t="s">
        <v>344</v>
      </c>
      <c r="AJ511" s="7" t="s">
        <v>277</v>
      </c>
      <c r="AK511" s="7" t="s">
        <v>335</v>
      </c>
      <c r="AL511" s="7" t="s">
        <v>68</v>
      </c>
      <c r="AN511" s="7" t="s">
        <v>373</v>
      </c>
    </row>
    <row r="512" spans="1:40" ht="22.5" customHeight="1" x14ac:dyDescent="0.2">
      <c r="A512" s="6">
        <v>46012.827984155098</v>
      </c>
      <c r="B512" s="7" t="s">
        <v>1357</v>
      </c>
      <c r="C512" s="7">
        <v>33</v>
      </c>
      <c r="D512" s="7" t="s">
        <v>73</v>
      </c>
      <c r="E512" s="7" t="s">
        <v>58</v>
      </c>
      <c r="F512" s="7" t="s">
        <v>138</v>
      </c>
      <c r="G512" s="7" t="s">
        <v>60</v>
      </c>
      <c r="H512" s="7">
        <v>3</v>
      </c>
      <c r="I512" s="7">
        <v>1</v>
      </c>
      <c r="J512" s="7" t="s">
        <v>46</v>
      </c>
      <c r="K512" s="7" t="s">
        <v>47</v>
      </c>
      <c r="P512" s="7">
        <v>4</v>
      </c>
      <c r="Q512" s="7">
        <v>23</v>
      </c>
      <c r="R512" s="7">
        <v>15</v>
      </c>
      <c r="AE512" s="7">
        <v>1950</v>
      </c>
      <c r="AF512" s="7" t="s">
        <v>323</v>
      </c>
      <c r="AG512" s="7" t="s">
        <v>253</v>
      </c>
      <c r="AH512" s="7">
        <v>11</v>
      </c>
      <c r="AI512" s="7" t="s">
        <v>255</v>
      </c>
      <c r="AJ512" s="7" t="s">
        <v>85</v>
      </c>
      <c r="AK512" s="7" t="s">
        <v>256</v>
      </c>
      <c r="AL512" s="7" t="s">
        <v>257</v>
      </c>
      <c r="AM512" s="7" t="s">
        <v>278</v>
      </c>
    </row>
    <row r="513" spans="1:40" ht="22.5" customHeight="1" x14ac:dyDescent="0.2">
      <c r="A513" s="6">
        <v>46012.829244733795</v>
      </c>
      <c r="B513" s="7" t="s">
        <v>1358</v>
      </c>
      <c r="C513" s="7">
        <v>46</v>
      </c>
      <c r="D513" s="7" t="s">
        <v>42</v>
      </c>
      <c r="E513" s="7" t="s">
        <v>43</v>
      </c>
      <c r="F513" s="7" t="s">
        <v>44</v>
      </c>
      <c r="G513" s="7" t="s">
        <v>89</v>
      </c>
      <c r="H513" s="7">
        <v>5</v>
      </c>
      <c r="I513" s="7">
        <v>1</v>
      </c>
      <c r="J513" s="7" t="s">
        <v>46</v>
      </c>
      <c r="K513" s="7" t="s">
        <v>47</v>
      </c>
      <c r="P513" s="7">
        <v>16</v>
      </c>
      <c r="Q513" s="7">
        <v>4</v>
      </c>
      <c r="R513" s="7">
        <v>3</v>
      </c>
      <c r="AE513" s="7">
        <v>390</v>
      </c>
      <c r="AF513" s="7" t="s">
        <v>252</v>
      </c>
      <c r="AG513" s="7" t="s">
        <v>284</v>
      </c>
      <c r="AH513" s="7">
        <v>2</v>
      </c>
      <c r="AI513" s="7" t="s">
        <v>296</v>
      </c>
      <c r="AJ513" s="7" t="s">
        <v>85</v>
      </c>
      <c r="AK513" s="7" t="s">
        <v>256</v>
      </c>
      <c r="AL513" s="7" t="s">
        <v>68</v>
      </c>
      <c r="AN513" s="7" t="s">
        <v>259</v>
      </c>
    </row>
    <row r="514" spans="1:40" ht="22.5" customHeight="1" x14ac:dyDescent="0.2">
      <c r="A514" s="6">
        <v>46012.830340879635</v>
      </c>
      <c r="B514" s="7" t="s">
        <v>1359</v>
      </c>
      <c r="C514" s="7">
        <v>40</v>
      </c>
      <c r="D514" s="7" t="s">
        <v>73</v>
      </c>
      <c r="E514" s="7" t="s">
        <v>58</v>
      </c>
      <c r="F514" s="7" t="s">
        <v>74</v>
      </c>
      <c r="G514" s="7" t="s">
        <v>109</v>
      </c>
      <c r="H514" s="7">
        <v>4</v>
      </c>
      <c r="I514" s="7">
        <v>1</v>
      </c>
      <c r="J514" s="7" t="s">
        <v>431</v>
      </c>
      <c r="M514" s="7" t="s">
        <v>47</v>
      </c>
      <c r="V514" s="7">
        <v>6</v>
      </c>
      <c r="W514" s="7">
        <v>31</v>
      </c>
      <c r="X514" s="7">
        <v>27</v>
      </c>
      <c r="AE514" s="7">
        <v>4350</v>
      </c>
      <c r="AF514" s="7" t="s">
        <v>276</v>
      </c>
      <c r="AG514" s="7" t="s">
        <v>1325</v>
      </c>
      <c r="AH514" s="7">
        <v>15</v>
      </c>
      <c r="AI514" s="7" t="s">
        <v>255</v>
      </c>
      <c r="AJ514" s="7" t="s">
        <v>362</v>
      </c>
      <c r="AK514" s="7" t="s">
        <v>307</v>
      </c>
      <c r="AL514" s="7" t="s">
        <v>152</v>
      </c>
      <c r="AM514" s="7" t="s">
        <v>286</v>
      </c>
    </row>
    <row r="515" spans="1:40" ht="22.5" customHeight="1" x14ac:dyDescent="0.2">
      <c r="A515" s="6">
        <v>46012.831449166668</v>
      </c>
      <c r="B515" s="7" t="s">
        <v>1360</v>
      </c>
      <c r="C515" s="7">
        <v>58</v>
      </c>
      <c r="D515" s="7" t="s">
        <v>73</v>
      </c>
      <c r="E515" s="7" t="s">
        <v>43</v>
      </c>
      <c r="F515" s="7" t="s">
        <v>339</v>
      </c>
      <c r="G515" s="7" t="s">
        <v>182</v>
      </c>
      <c r="H515" s="7">
        <v>6</v>
      </c>
      <c r="I515" s="7">
        <v>1</v>
      </c>
      <c r="J515" s="7" t="s">
        <v>46</v>
      </c>
      <c r="K515" s="7" t="s">
        <v>47</v>
      </c>
      <c r="P515" s="7">
        <v>20</v>
      </c>
      <c r="Q515" s="7">
        <v>5</v>
      </c>
      <c r="R515" s="7">
        <v>4</v>
      </c>
      <c r="AE515" s="7">
        <v>520</v>
      </c>
      <c r="AF515" s="7" t="s">
        <v>360</v>
      </c>
      <c r="AG515" s="7" t="s">
        <v>295</v>
      </c>
      <c r="AH515" s="7">
        <v>3</v>
      </c>
      <c r="AI515" s="7" t="s">
        <v>724</v>
      </c>
      <c r="AJ515" s="7" t="s">
        <v>96</v>
      </c>
      <c r="AK515" s="7" t="s">
        <v>256</v>
      </c>
      <c r="AL515" s="7" t="s">
        <v>68</v>
      </c>
      <c r="AN515" s="7" t="s">
        <v>460</v>
      </c>
    </row>
    <row r="516" spans="1:40" ht="22.5" customHeight="1" x14ac:dyDescent="0.2">
      <c r="A516" s="6">
        <v>46012.833004074069</v>
      </c>
      <c r="B516" s="7" t="s">
        <v>1361</v>
      </c>
      <c r="C516" s="7">
        <v>28</v>
      </c>
      <c r="D516" s="7" t="s">
        <v>73</v>
      </c>
      <c r="E516" s="7" t="s">
        <v>58</v>
      </c>
      <c r="F516" s="7" t="s">
        <v>74</v>
      </c>
      <c r="G516" s="7" t="s">
        <v>45</v>
      </c>
      <c r="H516" s="7">
        <v>3</v>
      </c>
      <c r="I516" s="7">
        <v>1</v>
      </c>
      <c r="J516" s="7" t="s">
        <v>46</v>
      </c>
      <c r="K516" s="7" t="s">
        <v>47</v>
      </c>
      <c r="P516" s="7">
        <v>3</v>
      </c>
      <c r="Q516" s="7">
        <v>19</v>
      </c>
      <c r="R516" s="7">
        <v>12</v>
      </c>
      <c r="AE516" s="7">
        <v>1560</v>
      </c>
      <c r="AF516" s="7" t="s">
        <v>252</v>
      </c>
      <c r="AG516" s="7" t="s">
        <v>361</v>
      </c>
      <c r="AH516" s="7">
        <v>9</v>
      </c>
      <c r="AI516" s="7" t="s">
        <v>255</v>
      </c>
      <c r="AJ516" s="7" t="s">
        <v>85</v>
      </c>
      <c r="AK516" s="7" t="s">
        <v>256</v>
      </c>
      <c r="AL516" s="7" t="s">
        <v>257</v>
      </c>
      <c r="AM516" s="7" t="s">
        <v>278</v>
      </c>
    </row>
    <row r="517" spans="1:40" ht="22.5" customHeight="1" x14ac:dyDescent="0.2">
      <c r="A517" s="6">
        <v>46012.894087222223</v>
      </c>
      <c r="B517" s="7" t="s">
        <v>1362</v>
      </c>
      <c r="C517" s="7">
        <v>41</v>
      </c>
      <c r="D517" s="7" t="s">
        <v>42</v>
      </c>
      <c r="E517" s="7" t="s">
        <v>43</v>
      </c>
      <c r="F517" s="7" t="s">
        <v>144</v>
      </c>
      <c r="G517" s="7" t="s">
        <v>182</v>
      </c>
      <c r="H517" s="7">
        <v>5</v>
      </c>
      <c r="I517" s="7">
        <v>1</v>
      </c>
      <c r="J517" s="7" t="s">
        <v>100</v>
      </c>
      <c r="L517" s="7" t="s">
        <v>47</v>
      </c>
      <c r="S517" s="7">
        <v>2</v>
      </c>
      <c r="T517" s="7">
        <v>6</v>
      </c>
      <c r="U517" s="7">
        <v>4</v>
      </c>
      <c r="AE517" s="7">
        <v>420</v>
      </c>
      <c r="AF517" s="7" t="s">
        <v>159</v>
      </c>
      <c r="AG517" s="7" t="s">
        <v>284</v>
      </c>
      <c r="AH517" s="7">
        <v>3</v>
      </c>
      <c r="AI517" s="7" t="s">
        <v>344</v>
      </c>
      <c r="AJ517" s="7" t="s">
        <v>85</v>
      </c>
      <c r="AK517" s="7" t="s">
        <v>335</v>
      </c>
      <c r="AL517" s="7" t="s">
        <v>68</v>
      </c>
      <c r="AN517" s="7" t="s">
        <v>684</v>
      </c>
    </row>
    <row r="518" spans="1:40" ht="22.5" customHeight="1" x14ac:dyDescent="0.2">
      <c r="A518" s="6">
        <v>46012.895351828702</v>
      </c>
      <c r="B518" s="7" t="s">
        <v>1363</v>
      </c>
      <c r="C518" s="7">
        <v>32</v>
      </c>
      <c r="D518" s="7" t="s">
        <v>73</v>
      </c>
      <c r="E518" s="7" t="s">
        <v>58</v>
      </c>
      <c r="F518" s="7" t="s">
        <v>74</v>
      </c>
      <c r="G518" s="7" t="s">
        <v>45</v>
      </c>
      <c r="H518" s="7">
        <v>5</v>
      </c>
      <c r="I518" s="7">
        <v>1</v>
      </c>
      <c r="J518" s="7" t="s">
        <v>431</v>
      </c>
      <c r="M518" s="7" t="s">
        <v>47</v>
      </c>
      <c r="V518" s="7">
        <v>5</v>
      </c>
      <c r="W518" s="7">
        <v>28</v>
      </c>
      <c r="X518" s="7">
        <v>24</v>
      </c>
      <c r="AE518" s="7">
        <v>3840</v>
      </c>
      <c r="AF518" s="7" t="s">
        <v>276</v>
      </c>
      <c r="AG518" s="7" t="s">
        <v>361</v>
      </c>
      <c r="AH518" s="7">
        <v>14</v>
      </c>
      <c r="AI518" s="7" t="s">
        <v>255</v>
      </c>
      <c r="AJ518" s="7" t="s">
        <v>362</v>
      </c>
      <c r="AK518" s="7" t="s">
        <v>307</v>
      </c>
      <c r="AL518" s="7" t="s">
        <v>68</v>
      </c>
      <c r="AN518" s="7" t="s">
        <v>684</v>
      </c>
    </row>
    <row r="519" spans="1:40" ht="22.5" customHeight="1" x14ac:dyDescent="0.2">
      <c r="A519" s="6">
        <v>46012.896860810186</v>
      </c>
      <c r="B519" s="7" t="s">
        <v>1364</v>
      </c>
      <c r="C519" s="7">
        <v>48</v>
      </c>
      <c r="D519" s="7" t="s">
        <v>73</v>
      </c>
      <c r="E519" s="7" t="s">
        <v>43</v>
      </c>
      <c r="F519" s="7" t="s">
        <v>44</v>
      </c>
      <c r="G519" s="7" t="s">
        <v>60</v>
      </c>
      <c r="H519" s="7">
        <v>5</v>
      </c>
      <c r="I519" s="7">
        <v>2</v>
      </c>
      <c r="J519" s="7" t="s">
        <v>290</v>
      </c>
      <c r="K519" s="7" t="s">
        <v>47</v>
      </c>
      <c r="N519" s="7" t="s">
        <v>291</v>
      </c>
      <c r="P519" s="7">
        <v>10</v>
      </c>
      <c r="Q519" s="7">
        <v>7</v>
      </c>
      <c r="R519" s="7">
        <v>6</v>
      </c>
      <c r="Y519" s="7">
        <v>12</v>
      </c>
      <c r="Z519" s="7">
        <v>4</v>
      </c>
      <c r="AA519" s="7">
        <v>45</v>
      </c>
      <c r="AE519" s="7">
        <v>5400</v>
      </c>
      <c r="AF519" s="7" t="s">
        <v>252</v>
      </c>
      <c r="AG519" s="7" t="s">
        <v>284</v>
      </c>
      <c r="AH519" s="7">
        <v>4</v>
      </c>
      <c r="AI519" s="7" t="s">
        <v>296</v>
      </c>
      <c r="AJ519" s="7" t="s">
        <v>362</v>
      </c>
      <c r="AK519" s="7" t="s">
        <v>307</v>
      </c>
      <c r="AL519" s="7" t="s">
        <v>257</v>
      </c>
      <c r="AM519" s="7" t="s">
        <v>286</v>
      </c>
    </row>
    <row r="520" spans="1:40" ht="22.5" customHeight="1" x14ac:dyDescent="0.2">
      <c r="A520" s="6">
        <v>46012.897925972225</v>
      </c>
      <c r="B520" s="7" t="s">
        <v>1365</v>
      </c>
      <c r="C520" s="7">
        <v>28</v>
      </c>
      <c r="D520" s="7" t="s">
        <v>42</v>
      </c>
      <c r="E520" s="7" t="s">
        <v>58</v>
      </c>
      <c r="F520" s="7" t="s">
        <v>74</v>
      </c>
      <c r="G520" s="7" t="s">
        <v>45</v>
      </c>
      <c r="H520" s="7">
        <v>4</v>
      </c>
      <c r="I520" s="7">
        <v>1</v>
      </c>
      <c r="J520" s="7" t="s">
        <v>100</v>
      </c>
      <c r="L520" s="7" t="s">
        <v>47</v>
      </c>
      <c r="S520" s="7">
        <v>2</v>
      </c>
      <c r="T520" s="7">
        <v>9</v>
      </c>
      <c r="U520" s="7">
        <v>8</v>
      </c>
      <c r="AE520" s="7">
        <v>880</v>
      </c>
      <c r="AF520" s="7" t="s">
        <v>323</v>
      </c>
      <c r="AG520" s="7" t="s">
        <v>317</v>
      </c>
      <c r="AH520" s="7">
        <v>5</v>
      </c>
      <c r="AI520" s="7" t="s">
        <v>255</v>
      </c>
      <c r="AJ520" s="7" t="s">
        <v>85</v>
      </c>
      <c r="AK520" s="7" t="s">
        <v>256</v>
      </c>
      <c r="AL520" s="7" t="s">
        <v>257</v>
      </c>
      <c r="AM520" s="7" t="s">
        <v>258</v>
      </c>
    </row>
    <row r="521" spans="1:40" ht="22.5" customHeight="1" x14ac:dyDescent="0.2">
      <c r="A521" s="6">
        <v>46012.899544398148</v>
      </c>
      <c r="B521" s="7" t="s">
        <v>1366</v>
      </c>
      <c r="C521" s="7">
        <v>55</v>
      </c>
      <c r="D521" s="7" t="s">
        <v>73</v>
      </c>
      <c r="E521" s="7" t="s">
        <v>43</v>
      </c>
      <c r="F521" s="7" t="s">
        <v>172</v>
      </c>
      <c r="G521" s="7" t="s">
        <v>60</v>
      </c>
      <c r="H521" s="7">
        <v>5</v>
      </c>
      <c r="I521" s="7">
        <v>1</v>
      </c>
      <c r="J521" s="7" t="s">
        <v>431</v>
      </c>
      <c r="M521" s="7" t="s">
        <v>47</v>
      </c>
      <c r="V521" s="7">
        <v>9</v>
      </c>
      <c r="W521" s="7">
        <v>18</v>
      </c>
      <c r="X521" s="7">
        <v>20</v>
      </c>
      <c r="AE521" s="7">
        <v>2000</v>
      </c>
      <c r="AF521" s="7" t="s">
        <v>159</v>
      </c>
      <c r="AG521" s="7" t="s">
        <v>559</v>
      </c>
      <c r="AH521" s="7">
        <v>9</v>
      </c>
      <c r="AI521" s="7" t="s">
        <v>559</v>
      </c>
      <c r="AJ521" s="7" t="s">
        <v>362</v>
      </c>
      <c r="AK521" s="7" t="s">
        <v>307</v>
      </c>
      <c r="AL521" s="7" t="s">
        <v>68</v>
      </c>
      <c r="AN521" s="7" t="s">
        <v>303</v>
      </c>
    </row>
    <row r="522" spans="1:40" ht="22.5" customHeight="1" x14ac:dyDescent="0.2">
      <c r="A522" s="6">
        <v>46012.90085633102</v>
      </c>
      <c r="B522" s="7" t="s">
        <v>1367</v>
      </c>
      <c r="C522" s="7">
        <v>39</v>
      </c>
      <c r="D522" s="7" t="s">
        <v>73</v>
      </c>
      <c r="E522" s="7" t="s">
        <v>58</v>
      </c>
      <c r="F522" s="7" t="s">
        <v>74</v>
      </c>
      <c r="G522" s="7" t="s">
        <v>45</v>
      </c>
      <c r="H522" s="7">
        <v>3</v>
      </c>
      <c r="I522" s="7">
        <v>1</v>
      </c>
      <c r="J522" s="7" t="s">
        <v>431</v>
      </c>
      <c r="M522" s="7" t="s">
        <v>47</v>
      </c>
      <c r="V522" s="7">
        <v>2</v>
      </c>
      <c r="W522" s="7">
        <v>24</v>
      </c>
      <c r="X522" s="7">
        <v>22</v>
      </c>
      <c r="AE522" s="7">
        <v>2300</v>
      </c>
      <c r="AF522" s="7" t="s">
        <v>276</v>
      </c>
      <c r="AG522" s="7" t="s">
        <v>317</v>
      </c>
      <c r="AH522" s="7">
        <v>12</v>
      </c>
      <c r="AI522" s="7" t="s">
        <v>255</v>
      </c>
      <c r="AJ522" s="7" t="s">
        <v>85</v>
      </c>
      <c r="AK522" s="7" t="s">
        <v>256</v>
      </c>
      <c r="AL522" s="7" t="s">
        <v>68</v>
      </c>
      <c r="AN522" s="7" t="s">
        <v>684</v>
      </c>
    </row>
    <row r="523" spans="1:40" ht="22.5" customHeight="1" x14ac:dyDescent="0.2">
      <c r="A523" s="6">
        <v>46012.902599918976</v>
      </c>
      <c r="B523" s="7" t="s">
        <v>1368</v>
      </c>
      <c r="C523" s="7">
        <v>22</v>
      </c>
      <c r="D523" s="7" t="s">
        <v>73</v>
      </c>
      <c r="E523" s="7" t="s">
        <v>58</v>
      </c>
      <c r="F523" s="7" t="s">
        <v>562</v>
      </c>
      <c r="G523" s="7" t="s">
        <v>182</v>
      </c>
      <c r="H523" s="7">
        <v>5</v>
      </c>
      <c r="I523" s="7">
        <v>1</v>
      </c>
      <c r="J523" s="7" t="s">
        <v>46</v>
      </c>
      <c r="K523" s="7" t="s">
        <v>47</v>
      </c>
      <c r="P523" s="7">
        <v>2</v>
      </c>
      <c r="Q523" s="7">
        <v>7</v>
      </c>
      <c r="R523" s="7">
        <v>10</v>
      </c>
      <c r="AE523" s="7">
        <v>1000</v>
      </c>
      <c r="AF523" s="7" t="s">
        <v>323</v>
      </c>
      <c r="AG523" s="7" t="s">
        <v>317</v>
      </c>
      <c r="AH523" s="7">
        <v>4</v>
      </c>
      <c r="AI523" s="7" t="s">
        <v>285</v>
      </c>
      <c r="AJ523" s="7" t="s">
        <v>362</v>
      </c>
      <c r="AK523" s="7" t="s">
        <v>307</v>
      </c>
      <c r="AL523" s="7" t="s">
        <v>257</v>
      </c>
      <c r="AM523" s="7" t="s">
        <v>258</v>
      </c>
    </row>
    <row r="524" spans="1:40" ht="22.5" customHeight="1" x14ac:dyDescent="0.2">
      <c r="A524" s="6">
        <v>46012.903952546301</v>
      </c>
      <c r="B524" s="7" t="s">
        <v>1369</v>
      </c>
      <c r="C524" s="7">
        <v>51</v>
      </c>
      <c r="D524" s="7" t="s">
        <v>42</v>
      </c>
      <c r="E524" s="7" t="s">
        <v>58</v>
      </c>
      <c r="F524" s="7" t="s">
        <v>138</v>
      </c>
      <c r="G524" s="7" t="s">
        <v>60</v>
      </c>
      <c r="H524" s="7">
        <v>4</v>
      </c>
      <c r="I524" s="7">
        <v>1</v>
      </c>
      <c r="J524" s="7" t="s">
        <v>431</v>
      </c>
      <c r="M524" s="7" t="s">
        <v>47</v>
      </c>
      <c r="V524" s="7">
        <v>4</v>
      </c>
      <c r="W524" s="7">
        <v>24</v>
      </c>
      <c r="X524" s="7">
        <v>26</v>
      </c>
      <c r="AE524" s="7">
        <v>2800</v>
      </c>
      <c r="AF524" s="7" t="s">
        <v>159</v>
      </c>
      <c r="AG524" s="7" t="s">
        <v>253</v>
      </c>
      <c r="AH524" s="7">
        <v>12</v>
      </c>
      <c r="AI524" s="7" t="s">
        <v>255</v>
      </c>
      <c r="AJ524" s="7" t="s">
        <v>362</v>
      </c>
      <c r="AK524" s="7" t="s">
        <v>307</v>
      </c>
      <c r="AL524" s="7" t="s">
        <v>68</v>
      </c>
      <c r="AN524" s="7" t="s">
        <v>259</v>
      </c>
    </row>
    <row r="525" spans="1:40" ht="22.5" customHeight="1" x14ac:dyDescent="0.2">
      <c r="A525" s="6">
        <v>46012.905353692127</v>
      </c>
      <c r="B525" s="7" t="s">
        <v>1370</v>
      </c>
      <c r="C525" s="7">
        <v>39</v>
      </c>
      <c r="D525" s="7" t="s">
        <v>73</v>
      </c>
      <c r="E525" s="7" t="s">
        <v>43</v>
      </c>
      <c r="F525" s="7" t="s">
        <v>339</v>
      </c>
      <c r="G525" s="7" t="s">
        <v>45</v>
      </c>
      <c r="H525" s="7">
        <v>6</v>
      </c>
      <c r="I525" s="7">
        <v>1</v>
      </c>
      <c r="J525" s="7" t="s">
        <v>46</v>
      </c>
      <c r="K525" s="7" t="s">
        <v>47</v>
      </c>
      <c r="P525" s="7">
        <v>15</v>
      </c>
      <c r="Q525" s="7">
        <v>6</v>
      </c>
      <c r="R525" s="7">
        <v>5</v>
      </c>
      <c r="AE525" s="7">
        <v>580</v>
      </c>
      <c r="AF525" s="7" t="s">
        <v>276</v>
      </c>
      <c r="AG525" s="7" t="s">
        <v>317</v>
      </c>
      <c r="AH525" s="7">
        <v>3</v>
      </c>
      <c r="AI525" s="7" t="s">
        <v>724</v>
      </c>
      <c r="AJ525" s="7" t="s">
        <v>85</v>
      </c>
      <c r="AK525" s="7" t="s">
        <v>256</v>
      </c>
      <c r="AL525" s="7" t="s">
        <v>257</v>
      </c>
      <c r="AM525" s="7" t="s">
        <v>258</v>
      </c>
    </row>
    <row r="526" spans="1:40" ht="22.5" customHeight="1" x14ac:dyDescent="0.2">
      <c r="A526" s="6">
        <v>46013.47126726852</v>
      </c>
      <c r="B526" s="7" t="s">
        <v>1371</v>
      </c>
      <c r="C526" s="7">
        <v>33</v>
      </c>
      <c r="D526" s="7" t="s">
        <v>73</v>
      </c>
      <c r="E526" s="7" t="s">
        <v>43</v>
      </c>
      <c r="F526" s="7" t="s">
        <v>74</v>
      </c>
      <c r="G526" s="7" t="s">
        <v>45</v>
      </c>
      <c r="H526" s="7">
        <v>4</v>
      </c>
      <c r="I526" s="7">
        <v>1</v>
      </c>
      <c r="J526" s="7" t="s">
        <v>46</v>
      </c>
      <c r="K526" s="7" t="s">
        <v>47</v>
      </c>
      <c r="P526" s="7">
        <v>5</v>
      </c>
      <c r="Q526" s="7">
        <v>18</v>
      </c>
      <c r="R526" s="7">
        <v>11</v>
      </c>
      <c r="AE526" s="7">
        <v>1430</v>
      </c>
      <c r="AF526" s="7" t="s">
        <v>252</v>
      </c>
      <c r="AG526" s="7" t="s">
        <v>284</v>
      </c>
      <c r="AH526" s="7">
        <v>9</v>
      </c>
      <c r="AI526" s="7" t="s">
        <v>255</v>
      </c>
      <c r="AJ526" s="7" t="s">
        <v>85</v>
      </c>
      <c r="AK526" s="7" t="s">
        <v>256</v>
      </c>
      <c r="AL526" s="7" t="s">
        <v>257</v>
      </c>
      <c r="AM526" s="7" t="s">
        <v>368</v>
      </c>
    </row>
    <row r="527" spans="1:40" ht="22.5" customHeight="1" x14ac:dyDescent="0.2">
      <c r="A527" s="6">
        <v>46013.472787777777</v>
      </c>
      <c r="B527" s="7" t="s">
        <v>1372</v>
      </c>
      <c r="C527" s="7">
        <v>29</v>
      </c>
      <c r="D527" s="7" t="s">
        <v>42</v>
      </c>
      <c r="E527" s="7" t="s">
        <v>58</v>
      </c>
      <c r="F527" s="7" t="s">
        <v>74</v>
      </c>
      <c r="G527" s="7" t="s">
        <v>89</v>
      </c>
      <c r="H527" s="7">
        <v>3</v>
      </c>
      <c r="I527" s="7">
        <v>1</v>
      </c>
      <c r="J527" s="7" t="s">
        <v>100</v>
      </c>
      <c r="L527" s="7" t="s">
        <v>47</v>
      </c>
      <c r="S527" s="7">
        <v>4</v>
      </c>
      <c r="T527" s="7">
        <v>8</v>
      </c>
      <c r="U527" s="7">
        <v>5</v>
      </c>
      <c r="AE527" s="7">
        <v>650</v>
      </c>
      <c r="AF527" s="7" t="s">
        <v>323</v>
      </c>
      <c r="AG527" s="7" t="s">
        <v>317</v>
      </c>
      <c r="AH527" s="7">
        <v>4</v>
      </c>
      <c r="AI527" s="7" t="s">
        <v>255</v>
      </c>
      <c r="AJ527" s="7" t="s">
        <v>277</v>
      </c>
      <c r="AK527" s="7" t="s">
        <v>335</v>
      </c>
      <c r="AL527" s="7" t="s">
        <v>257</v>
      </c>
      <c r="AM527" s="7" t="s">
        <v>368</v>
      </c>
    </row>
    <row r="528" spans="1:40" ht="22.5" customHeight="1" x14ac:dyDescent="0.2">
      <c r="A528" s="6">
        <v>46013.476874166663</v>
      </c>
      <c r="B528" s="7" t="s">
        <v>1373</v>
      </c>
      <c r="C528" s="7">
        <v>46</v>
      </c>
      <c r="D528" s="7" t="s">
        <v>73</v>
      </c>
      <c r="E528" s="7" t="s">
        <v>43</v>
      </c>
      <c r="F528" s="7" t="s">
        <v>44</v>
      </c>
      <c r="G528" s="7" t="s">
        <v>60</v>
      </c>
      <c r="H528" s="7">
        <v>6</v>
      </c>
      <c r="I528" s="7">
        <v>2</v>
      </c>
      <c r="J528" s="7" t="s">
        <v>290</v>
      </c>
      <c r="K528" s="7" t="s">
        <v>47</v>
      </c>
      <c r="N528" s="7" t="s">
        <v>291</v>
      </c>
      <c r="P528" s="7">
        <v>11</v>
      </c>
      <c r="Q528" s="7">
        <v>7</v>
      </c>
      <c r="R528" s="7">
        <v>6</v>
      </c>
      <c r="Y528" s="7">
        <v>14</v>
      </c>
      <c r="Z528" s="7">
        <v>3</v>
      </c>
      <c r="AA528" s="7">
        <v>60</v>
      </c>
      <c r="AE528" s="7">
        <v>7800</v>
      </c>
      <c r="AF528" s="7" t="s">
        <v>252</v>
      </c>
      <c r="AG528" s="7" t="s">
        <v>253</v>
      </c>
      <c r="AH528" s="7">
        <v>3</v>
      </c>
      <c r="AI528" s="7" t="s">
        <v>296</v>
      </c>
      <c r="AJ528" s="7" t="s">
        <v>362</v>
      </c>
      <c r="AK528" s="7" t="s">
        <v>307</v>
      </c>
      <c r="AL528" s="7" t="s">
        <v>68</v>
      </c>
      <c r="AM528" s="7" t="s">
        <v>278</v>
      </c>
    </row>
    <row r="529" spans="1:40" ht="22.5" customHeight="1" x14ac:dyDescent="0.2">
      <c r="A529" s="6">
        <v>46013.482038703703</v>
      </c>
      <c r="B529" s="7" t="s">
        <v>1374</v>
      </c>
      <c r="C529" s="7">
        <v>27</v>
      </c>
      <c r="D529" s="7" t="s">
        <v>73</v>
      </c>
      <c r="E529" s="7" t="s">
        <v>58</v>
      </c>
      <c r="F529" s="7" t="s">
        <v>74</v>
      </c>
      <c r="G529" s="7" t="s">
        <v>109</v>
      </c>
      <c r="H529" s="7">
        <v>3</v>
      </c>
      <c r="I529" s="7">
        <v>1</v>
      </c>
      <c r="J529" s="7" t="s">
        <v>431</v>
      </c>
      <c r="M529" s="7" t="s">
        <v>47</v>
      </c>
      <c r="V529" s="7">
        <v>3</v>
      </c>
      <c r="W529" s="7">
        <v>36</v>
      </c>
      <c r="X529" s="7">
        <v>30</v>
      </c>
      <c r="AE529" s="7">
        <v>4800</v>
      </c>
      <c r="AF529" s="7" t="s">
        <v>276</v>
      </c>
      <c r="AG529" s="7" t="s">
        <v>253</v>
      </c>
      <c r="AH529" s="7">
        <v>18</v>
      </c>
      <c r="AI529" s="7" t="s">
        <v>255</v>
      </c>
      <c r="AJ529" s="7" t="s">
        <v>362</v>
      </c>
      <c r="AK529" s="7" t="s">
        <v>307</v>
      </c>
      <c r="AL529" s="7" t="s">
        <v>152</v>
      </c>
      <c r="AM529" s="7" t="s">
        <v>368</v>
      </c>
    </row>
    <row r="530" spans="1:40" ht="22.5" customHeight="1" x14ac:dyDescent="0.2">
      <c r="A530" s="6">
        <v>46013.485678564815</v>
      </c>
      <c r="B530" s="7" t="s">
        <v>1375</v>
      </c>
      <c r="C530" s="7">
        <v>42</v>
      </c>
      <c r="D530" s="7" t="s">
        <v>42</v>
      </c>
      <c r="E530" s="7" t="s">
        <v>43</v>
      </c>
      <c r="F530" s="7" t="s">
        <v>144</v>
      </c>
      <c r="G530" s="7" t="s">
        <v>89</v>
      </c>
      <c r="H530" s="7">
        <v>5</v>
      </c>
      <c r="I530" s="7">
        <v>1</v>
      </c>
      <c r="J530" s="7" t="s">
        <v>100</v>
      </c>
      <c r="L530" s="7" t="s">
        <v>47</v>
      </c>
      <c r="S530" s="7">
        <v>7</v>
      </c>
      <c r="T530" s="7">
        <v>4</v>
      </c>
      <c r="U530" s="7">
        <v>3</v>
      </c>
      <c r="AE530" s="7">
        <v>390</v>
      </c>
      <c r="AF530" s="7" t="s">
        <v>252</v>
      </c>
      <c r="AG530" s="7" t="s">
        <v>284</v>
      </c>
      <c r="AH530" s="7">
        <v>2</v>
      </c>
      <c r="AI530" s="7" t="s">
        <v>344</v>
      </c>
      <c r="AJ530" s="7" t="s">
        <v>277</v>
      </c>
      <c r="AK530" s="7" t="s">
        <v>335</v>
      </c>
      <c r="AL530" s="7" t="s">
        <v>68</v>
      </c>
      <c r="AN530" s="7" t="s">
        <v>259</v>
      </c>
    </row>
    <row r="531" spans="1:40" ht="22.5" customHeight="1" x14ac:dyDescent="0.2">
      <c r="A531" s="6">
        <v>46013.488152337959</v>
      </c>
      <c r="B531" s="7" t="s">
        <v>1376</v>
      </c>
      <c r="C531" s="7">
        <v>35</v>
      </c>
      <c r="D531" s="7" t="s">
        <v>73</v>
      </c>
      <c r="E531" s="7" t="s">
        <v>58</v>
      </c>
      <c r="F531" s="7" t="s">
        <v>172</v>
      </c>
      <c r="G531" s="7" t="s">
        <v>60</v>
      </c>
      <c r="H531" s="7">
        <v>4</v>
      </c>
      <c r="I531" s="7">
        <v>2</v>
      </c>
      <c r="J531" s="7" t="s">
        <v>246</v>
      </c>
      <c r="K531" s="7" t="s">
        <v>47</v>
      </c>
      <c r="M531" s="7" t="s">
        <v>47</v>
      </c>
      <c r="P531" s="7">
        <v>6</v>
      </c>
      <c r="Q531" s="7">
        <v>5</v>
      </c>
      <c r="R531" s="7">
        <v>4</v>
      </c>
      <c r="V531" s="7">
        <v>5</v>
      </c>
      <c r="W531" s="7">
        <v>20</v>
      </c>
      <c r="X531" s="7">
        <v>22</v>
      </c>
      <c r="AE531" s="7">
        <v>3500</v>
      </c>
      <c r="AF531" s="7" t="s">
        <v>159</v>
      </c>
      <c r="AG531" s="7" t="s">
        <v>361</v>
      </c>
      <c r="AH531" s="7">
        <v>9</v>
      </c>
      <c r="AI531" s="7" t="s">
        <v>559</v>
      </c>
      <c r="AJ531" s="7" t="s">
        <v>362</v>
      </c>
      <c r="AK531" s="7" t="s">
        <v>307</v>
      </c>
      <c r="AL531" s="7" t="s">
        <v>257</v>
      </c>
      <c r="AM531" s="7" t="s">
        <v>278</v>
      </c>
    </row>
    <row r="532" spans="1:40" ht="22.5" customHeight="1" x14ac:dyDescent="0.2">
      <c r="A532" s="6">
        <v>46013.489177581017</v>
      </c>
      <c r="B532" s="7" t="s">
        <v>1377</v>
      </c>
      <c r="C532" s="7">
        <v>22</v>
      </c>
      <c r="D532" s="7" t="s">
        <v>73</v>
      </c>
      <c r="E532" s="7" t="s">
        <v>43</v>
      </c>
      <c r="F532" s="7" t="s">
        <v>562</v>
      </c>
      <c r="G532" s="7" t="s">
        <v>182</v>
      </c>
      <c r="H532" s="7">
        <v>5</v>
      </c>
      <c r="I532" s="7">
        <v>1</v>
      </c>
      <c r="J532" s="7" t="s">
        <v>46</v>
      </c>
      <c r="K532" s="7" t="s">
        <v>47</v>
      </c>
      <c r="P532" s="7">
        <v>1</v>
      </c>
      <c r="Q532" s="7">
        <v>16</v>
      </c>
      <c r="R532" s="7">
        <v>9</v>
      </c>
      <c r="AE532" s="7">
        <v>1000</v>
      </c>
      <c r="AF532" s="7" t="s">
        <v>323</v>
      </c>
      <c r="AG532" s="7" t="s">
        <v>284</v>
      </c>
      <c r="AH532" s="7">
        <v>8</v>
      </c>
      <c r="AI532" s="7" t="s">
        <v>285</v>
      </c>
      <c r="AJ532" s="7" t="s">
        <v>85</v>
      </c>
      <c r="AK532" s="7" t="s">
        <v>256</v>
      </c>
      <c r="AL532" s="7" t="s">
        <v>68</v>
      </c>
      <c r="AN532" s="7" t="s">
        <v>303</v>
      </c>
    </row>
    <row r="533" spans="1:40" ht="22.5" customHeight="1" x14ac:dyDescent="0.2">
      <c r="A533" s="6">
        <v>46013.490546006942</v>
      </c>
      <c r="B533" s="7" t="s">
        <v>1378</v>
      </c>
      <c r="C533" s="7">
        <v>44</v>
      </c>
      <c r="D533" s="7" t="s">
        <v>73</v>
      </c>
      <c r="E533" s="7" t="s">
        <v>58</v>
      </c>
      <c r="F533" s="7" t="s">
        <v>138</v>
      </c>
      <c r="G533" s="7" t="s">
        <v>60</v>
      </c>
      <c r="H533" s="7">
        <v>5</v>
      </c>
      <c r="I533" s="7">
        <v>1</v>
      </c>
      <c r="J533" s="7" t="s">
        <v>431</v>
      </c>
      <c r="M533" s="7" t="s">
        <v>47</v>
      </c>
      <c r="V533" s="7">
        <v>7</v>
      </c>
      <c r="W533" s="7">
        <v>9</v>
      </c>
      <c r="X533" s="7">
        <v>20</v>
      </c>
      <c r="AE533" s="7">
        <v>2100</v>
      </c>
      <c r="AF533" s="7" t="s">
        <v>159</v>
      </c>
      <c r="AG533" s="7" t="s">
        <v>295</v>
      </c>
      <c r="AH533" s="7">
        <v>6</v>
      </c>
      <c r="AI533" s="7" t="s">
        <v>255</v>
      </c>
      <c r="AJ533" s="7" t="s">
        <v>362</v>
      </c>
      <c r="AK533" s="7" t="s">
        <v>307</v>
      </c>
      <c r="AL533" s="7" t="s">
        <v>257</v>
      </c>
      <c r="AM533" s="7" t="s">
        <v>258</v>
      </c>
    </row>
    <row r="534" spans="1:40" ht="22.5" customHeight="1" x14ac:dyDescent="0.2">
      <c r="A534" s="6">
        <v>46013.491142847226</v>
      </c>
      <c r="B534" s="7" t="s">
        <v>1379</v>
      </c>
      <c r="C534" s="7">
        <v>23</v>
      </c>
      <c r="D534" s="7" t="s">
        <v>73</v>
      </c>
      <c r="E534" s="7" t="s">
        <v>58</v>
      </c>
      <c r="F534" s="7" t="s">
        <v>562</v>
      </c>
      <c r="G534" s="7" t="s">
        <v>182</v>
      </c>
      <c r="H534" s="7">
        <v>4</v>
      </c>
      <c r="I534" s="7">
        <v>1</v>
      </c>
      <c r="J534" s="7" t="s">
        <v>46</v>
      </c>
      <c r="K534" s="7" t="s">
        <v>47</v>
      </c>
      <c r="P534" s="7">
        <v>2</v>
      </c>
      <c r="Q534" s="7">
        <v>15</v>
      </c>
      <c r="R534" s="7">
        <v>9</v>
      </c>
      <c r="AE534" s="7">
        <v>1170</v>
      </c>
      <c r="AF534" s="7" t="s">
        <v>360</v>
      </c>
      <c r="AG534" s="7" t="s">
        <v>295</v>
      </c>
      <c r="AH534" s="7">
        <v>7</v>
      </c>
      <c r="AI534" s="7" t="s">
        <v>285</v>
      </c>
      <c r="AJ534" s="7" t="s">
        <v>96</v>
      </c>
      <c r="AK534" s="7" t="s">
        <v>256</v>
      </c>
      <c r="AL534" s="7" t="s">
        <v>257</v>
      </c>
      <c r="AM534" s="7" t="s">
        <v>363</v>
      </c>
    </row>
    <row r="535" spans="1:40" ht="22.5" customHeight="1" x14ac:dyDescent="0.2">
      <c r="A535" s="6">
        <v>46013.493371226854</v>
      </c>
      <c r="B535" s="7" t="s">
        <v>1380</v>
      </c>
      <c r="C535" s="7">
        <v>39</v>
      </c>
      <c r="D535" s="7" t="s">
        <v>42</v>
      </c>
      <c r="E535" s="7" t="s">
        <v>58</v>
      </c>
      <c r="F535" s="7" t="s">
        <v>74</v>
      </c>
      <c r="G535" s="7" t="s">
        <v>60</v>
      </c>
      <c r="H535" s="7">
        <v>4</v>
      </c>
      <c r="I535" s="7">
        <v>1</v>
      </c>
      <c r="J535" s="7" t="s">
        <v>431</v>
      </c>
      <c r="M535" s="7" t="s">
        <v>47</v>
      </c>
      <c r="V535" s="7">
        <v>6</v>
      </c>
      <c r="W535" s="7">
        <v>22</v>
      </c>
      <c r="X535" s="7">
        <v>20</v>
      </c>
      <c r="AE535" s="7">
        <v>3200</v>
      </c>
      <c r="AF535" s="7" t="s">
        <v>252</v>
      </c>
      <c r="AG535" s="7" t="s">
        <v>361</v>
      </c>
      <c r="AH535" s="7">
        <v>11</v>
      </c>
      <c r="AI535" s="7" t="s">
        <v>255</v>
      </c>
      <c r="AJ535" s="7" t="s">
        <v>85</v>
      </c>
      <c r="AK535" s="7" t="s">
        <v>256</v>
      </c>
      <c r="AL535" s="7" t="s">
        <v>152</v>
      </c>
      <c r="AM535" s="7" t="s">
        <v>286</v>
      </c>
    </row>
    <row r="536" spans="1:40" ht="22.5" customHeight="1" x14ac:dyDescent="0.2">
      <c r="A536" s="6">
        <v>46013.493426898145</v>
      </c>
      <c r="B536" s="7" t="s">
        <v>1381</v>
      </c>
      <c r="C536" s="7">
        <v>36</v>
      </c>
      <c r="D536" s="7" t="s">
        <v>42</v>
      </c>
      <c r="E536" s="7" t="s">
        <v>43</v>
      </c>
      <c r="F536" s="7" t="s">
        <v>74</v>
      </c>
      <c r="G536" s="7" t="s">
        <v>45</v>
      </c>
      <c r="H536" s="7">
        <v>4</v>
      </c>
      <c r="I536" s="7">
        <v>1</v>
      </c>
      <c r="J536" s="7" t="s">
        <v>46</v>
      </c>
      <c r="K536" s="7" t="s">
        <v>47</v>
      </c>
      <c r="P536" s="7">
        <v>4</v>
      </c>
      <c r="Q536" s="7">
        <v>20</v>
      </c>
      <c r="R536" s="7">
        <v>11</v>
      </c>
      <c r="AE536" s="7">
        <v>1430</v>
      </c>
      <c r="AF536" s="7" t="s">
        <v>276</v>
      </c>
      <c r="AG536" s="7" t="s">
        <v>317</v>
      </c>
      <c r="AH536" s="7">
        <v>10</v>
      </c>
      <c r="AI536" s="7" t="s">
        <v>255</v>
      </c>
      <c r="AJ536" s="7" t="s">
        <v>85</v>
      </c>
      <c r="AK536" s="7" t="s">
        <v>335</v>
      </c>
      <c r="AL536" s="7" t="s">
        <v>257</v>
      </c>
      <c r="AM536" s="7" t="s">
        <v>368</v>
      </c>
    </row>
    <row r="537" spans="1:40" ht="22.5" customHeight="1" x14ac:dyDescent="0.2">
      <c r="A537" s="6">
        <v>46013.494637951386</v>
      </c>
      <c r="B537" s="7" t="s">
        <v>1382</v>
      </c>
      <c r="C537" s="7">
        <v>54</v>
      </c>
      <c r="D537" s="7" t="s">
        <v>73</v>
      </c>
      <c r="E537" s="7" t="s">
        <v>43</v>
      </c>
      <c r="F537" s="7" t="s">
        <v>44</v>
      </c>
      <c r="G537" s="7" t="s">
        <v>60</v>
      </c>
      <c r="H537" s="7">
        <v>6</v>
      </c>
      <c r="I537" s="7">
        <v>2</v>
      </c>
      <c r="J537" s="7" t="s">
        <v>290</v>
      </c>
      <c r="K537" s="7" t="s">
        <v>47</v>
      </c>
      <c r="N537" s="7" t="s">
        <v>291</v>
      </c>
      <c r="P537" s="7">
        <v>15</v>
      </c>
      <c r="Q537" s="7">
        <v>5</v>
      </c>
      <c r="R537" s="7">
        <v>3</v>
      </c>
      <c r="Y537" s="7">
        <v>18</v>
      </c>
      <c r="Z537" s="7">
        <v>45</v>
      </c>
      <c r="AA537" s="7">
        <v>75</v>
      </c>
      <c r="AE537" s="7">
        <v>9300</v>
      </c>
      <c r="AF537" s="7" t="s">
        <v>252</v>
      </c>
      <c r="AG537" s="7" t="s">
        <v>253</v>
      </c>
      <c r="AH537" s="7">
        <v>3</v>
      </c>
      <c r="AI537" s="7" t="s">
        <v>296</v>
      </c>
      <c r="AJ537" s="7" t="s">
        <v>85</v>
      </c>
      <c r="AK537" s="7" t="s">
        <v>335</v>
      </c>
      <c r="AL537" s="7" t="s">
        <v>257</v>
      </c>
      <c r="AM537" s="7" t="s">
        <v>278</v>
      </c>
    </row>
    <row r="538" spans="1:40" ht="22.5" customHeight="1" x14ac:dyDescent="0.2">
      <c r="A538" s="6">
        <v>46013.495655092593</v>
      </c>
      <c r="B538" s="7" t="s">
        <v>1383</v>
      </c>
      <c r="C538" s="7">
        <v>23</v>
      </c>
      <c r="D538" s="7" t="s">
        <v>42</v>
      </c>
      <c r="E538" s="7" t="s">
        <v>58</v>
      </c>
      <c r="F538" s="7" t="s">
        <v>562</v>
      </c>
      <c r="G538" s="7" t="s">
        <v>182</v>
      </c>
      <c r="H538" s="7">
        <v>6</v>
      </c>
      <c r="I538" s="7">
        <v>1</v>
      </c>
      <c r="J538" s="7" t="s">
        <v>100</v>
      </c>
      <c r="L538" s="7" t="s">
        <v>47</v>
      </c>
      <c r="S538" s="7">
        <v>1</v>
      </c>
      <c r="T538" s="7">
        <v>5</v>
      </c>
      <c r="U538" s="7">
        <v>7</v>
      </c>
      <c r="AE538" s="7">
        <v>780</v>
      </c>
      <c r="AF538" s="7" t="s">
        <v>159</v>
      </c>
      <c r="AG538" s="7" t="s">
        <v>361</v>
      </c>
      <c r="AH538" s="7">
        <v>3</v>
      </c>
      <c r="AI538" s="7" t="s">
        <v>285</v>
      </c>
      <c r="AJ538" s="7" t="s">
        <v>85</v>
      </c>
      <c r="AK538" s="7" t="s">
        <v>256</v>
      </c>
      <c r="AL538" s="7" t="s">
        <v>257</v>
      </c>
      <c r="AM538" s="7" t="s">
        <v>278</v>
      </c>
    </row>
    <row r="539" spans="1:40" ht="22.5" customHeight="1" x14ac:dyDescent="0.2">
      <c r="A539" s="6">
        <v>46013.4962605787</v>
      </c>
      <c r="B539" s="7" t="s">
        <v>1384</v>
      </c>
      <c r="C539" s="7">
        <v>44</v>
      </c>
      <c r="D539" s="7" t="s">
        <v>73</v>
      </c>
      <c r="E539" s="7" t="s">
        <v>43</v>
      </c>
      <c r="F539" s="7" t="s">
        <v>339</v>
      </c>
      <c r="G539" s="7" t="s">
        <v>89</v>
      </c>
      <c r="H539" s="7">
        <v>6</v>
      </c>
      <c r="I539" s="7">
        <v>1</v>
      </c>
      <c r="J539" s="7" t="s">
        <v>46</v>
      </c>
      <c r="K539" s="7" t="s">
        <v>47</v>
      </c>
      <c r="P539" s="7">
        <v>13</v>
      </c>
      <c r="Q539" s="7">
        <v>8</v>
      </c>
      <c r="R539" s="7">
        <v>6</v>
      </c>
      <c r="AE539" s="7">
        <v>780</v>
      </c>
      <c r="AF539" s="7" t="s">
        <v>252</v>
      </c>
      <c r="AG539" s="7" t="s">
        <v>284</v>
      </c>
      <c r="AH539" s="7">
        <v>4</v>
      </c>
      <c r="AI539" s="7" t="s">
        <v>724</v>
      </c>
      <c r="AJ539" s="7" t="s">
        <v>96</v>
      </c>
      <c r="AK539" s="7" t="s">
        <v>256</v>
      </c>
      <c r="AL539" s="7" t="s">
        <v>68</v>
      </c>
      <c r="AN539" s="7" t="s">
        <v>460</v>
      </c>
    </row>
    <row r="540" spans="1:40" ht="22.5" customHeight="1" x14ac:dyDescent="0.2">
      <c r="A540" s="6">
        <v>46013.496756747685</v>
      </c>
      <c r="B540" s="7" t="s">
        <v>1385</v>
      </c>
      <c r="C540" s="7">
        <v>39</v>
      </c>
      <c r="D540" s="7" t="s">
        <v>73</v>
      </c>
      <c r="E540" s="7" t="s">
        <v>58</v>
      </c>
      <c r="F540" s="7" t="s">
        <v>172</v>
      </c>
      <c r="G540" s="7" t="s">
        <v>45</v>
      </c>
      <c r="H540" s="7">
        <v>4</v>
      </c>
      <c r="I540" s="7">
        <v>2</v>
      </c>
      <c r="J540" s="7" t="s">
        <v>246</v>
      </c>
      <c r="K540" s="7" t="s">
        <v>47</v>
      </c>
      <c r="M540" s="7" t="s">
        <v>47</v>
      </c>
      <c r="P540" s="7">
        <v>7</v>
      </c>
      <c r="Q540" s="7">
        <v>6</v>
      </c>
      <c r="R540" s="7" t="s">
        <v>1386</v>
      </c>
      <c r="V540" s="7">
        <v>6</v>
      </c>
      <c r="W540" s="7">
        <v>21</v>
      </c>
      <c r="X540" s="7">
        <v>22</v>
      </c>
      <c r="AE540" s="7">
        <v>3600</v>
      </c>
      <c r="AF540" s="7" t="s">
        <v>252</v>
      </c>
      <c r="AG540" s="7" t="s">
        <v>361</v>
      </c>
      <c r="AH540" s="7">
        <v>10</v>
      </c>
      <c r="AI540" s="7" t="s">
        <v>559</v>
      </c>
      <c r="AJ540" s="7" t="s">
        <v>362</v>
      </c>
      <c r="AK540" s="7" t="s">
        <v>307</v>
      </c>
      <c r="AL540" s="7" t="s">
        <v>68</v>
      </c>
      <c r="AN540" s="7" t="s">
        <v>259</v>
      </c>
    </row>
    <row r="541" spans="1:40" ht="22.5" customHeight="1" x14ac:dyDescent="0.2">
      <c r="A541" s="6">
        <v>46013.497703564819</v>
      </c>
      <c r="B541" s="7" t="s">
        <v>1387</v>
      </c>
      <c r="C541" s="7">
        <v>31</v>
      </c>
      <c r="D541" s="7" t="s">
        <v>42</v>
      </c>
      <c r="E541" s="7" t="s">
        <v>58</v>
      </c>
      <c r="F541" s="7" t="s">
        <v>138</v>
      </c>
      <c r="G541" s="7" t="s">
        <v>45</v>
      </c>
      <c r="H541" s="7">
        <v>5</v>
      </c>
      <c r="I541" s="7">
        <v>1</v>
      </c>
      <c r="J541" s="7" t="s">
        <v>431</v>
      </c>
      <c r="M541" s="7" t="s">
        <v>47</v>
      </c>
      <c r="V541" s="7">
        <v>3</v>
      </c>
      <c r="W541" s="7">
        <v>26</v>
      </c>
      <c r="X541" s="7">
        <v>23</v>
      </c>
      <c r="AE541" s="7">
        <v>3600</v>
      </c>
      <c r="AF541" s="7" t="s">
        <v>276</v>
      </c>
      <c r="AG541" s="7" t="s">
        <v>284</v>
      </c>
      <c r="AH541" s="7">
        <v>12</v>
      </c>
      <c r="AI541" s="7" t="s">
        <v>255</v>
      </c>
      <c r="AJ541" s="7" t="s">
        <v>362</v>
      </c>
      <c r="AK541" s="7" t="s">
        <v>307</v>
      </c>
      <c r="AL541" s="7" t="s">
        <v>257</v>
      </c>
      <c r="AM541" s="7" t="s">
        <v>1088</v>
      </c>
    </row>
    <row r="542" spans="1:40" ht="22.5" customHeight="1" x14ac:dyDescent="0.2">
      <c r="A542" s="6">
        <v>46013.498926898144</v>
      </c>
      <c r="B542" s="7" t="s">
        <v>1388</v>
      </c>
      <c r="C542" s="7">
        <v>47</v>
      </c>
      <c r="D542" s="7" t="s">
        <v>73</v>
      </c>
      <c r="E542" s="7" t="s">
        <v>43</v>
      </c>
      <c r="F542" s="7" t="s">
        <v>44</v>
      </c>
      <c r="G542" s="7" t="s">
        <v>60</v>
      </c>
      <c r="H542" s="7">
        <v>6</v>
      </c>
      <c r="I542" s="7">
        <v>2</v>
      </c>
      <c r="J542" s="7" t="s">
        <v>290</v>
      </c>
      <c r="K542" s="7" t="s">
        <v>47</v>
      </c>
      <c r="N542" s="7" t="s">
        <v>291</v>
      </c>
      <c r="P542" s="7">
        <v>11</v>
      </c>
      <c r="Q542" s="7">
        <v>6</v>
      </c>
      <c r="R542" s="7">
        <v>5</v>
      </c>
      <c r="Y542" s="7">
        <v>13</v>
      </c>
      <c r="Z542" s="7">
        <v>13</v>
      </c>
      <c r="AA542" s="7">
        <v>60</v>
      </c>
      <c r="AE542" s="7">
        <v>7500</v>
      </c>
      <c r="AF542" s="7" t="s">
        <v>252</v>
      </c>
      <c r="AG542" s="7" t="s">
        <v>361</v>
      </c>
      <c r="AH542" s="7">
        <v>6</v>
      </c>
      <c r="AI542" s="7" t="s">
        <v>296</v>
      </c>
      <c r="AJ542" s="7" t="s">
        <v>362</v>
      </c>
      <c r="AK542" s="7" t="s">
        <v>307</v>
      </c>
      <c r="AL542" s="7" t="s">
        <v>257</v>
      </c>
      <c r="AM542" s="7" t="s">
        <v>258</v>
      </c>
    </row>
    <row r="543" spans="1:40" ht="22.5" customHeight="1" x14ac:dyDescent="0.2">
      <c r="A543" s="6">
        <v>46013.499451238429</v>
      </c>
      <c r="B543" s="7" t="s">
        <v>1389</v>
      </c>
      <c r="C543" s="7">
        <v>31</v>
      </c>
      <c r="D543" s="7" t="s">
        <v>73</v>
      </c>
      <c r="E543" s="7" t="s">
        <v>58</v>
      </c>
      <c r="F543" s="7" t="s">
        <v>74</v>
      </c>
      <c r="G543" s="7" t="s">
        <v>60</v>
      </c>
      <c r="H543" s="7">
        <v>3</v>
      </c>
      <c r="I543" s="7">
        <v>1</v>
      </c>
      <c r="J543" s="7" t="s">
        <v>1390</v>
      </c>
      <c r="O543" s="7" t="s">
        <v>353</v>
      </c>
      <c r="AB543" s="7">
        <v>95</v>
      </c>
      <c r="AC543" s="7">
        <v>28</v>
      </c>
      <c r="AD543" s="7">
        <v>2</v>
      </c>
      <c r="AE543" s="7">
        <v>1200</v>
      </c>
      <c r="AF543" s="7" t="s">
        <v>857</v>
      </c>
      <c r="AG543" s="7" t="s">
        <v>317</v>
      </c>
      <c r="AH543" s="7">
        <v>14</v>
      </c>
      <c r="AI543" s="7" t="s">
        <v>255</v>
      </c>
      <c r="AJ543" s="7" t="s">
        <v>362</v>
      </c>
      <c r="AK543" s="7" t="s">
        <v>307</v>
      </c>
      <c r="AL543" s="7" t="s">
        <v>152</v>
      </c>
      <c r="AM543" s="7" t="s">
        <v>258</v>
      </c>
    </row>
    <row r="544" spans="1:40" ht="22.5" customHeight="1" x14ac:dyDescent="0.2">
      <c r="A544" s="6">
        <v>46013.499808923611</v>
      </c>
      <c r="B544" s="7" t="s">
        <v>1391</v>
      </c>
      <c r="C544" s="7">
        <v>34</v>
      </c>
      <c r="D544" s="7" t="s">
        <v>42</v>
      </c>
      <c r="E544" s="7" t="s">
        <v>43</v>
      </c>
      <c r="F544" s="7" t="s">
        <v>144</v>
      </c>
      <c r="G544" s="7" t="s">
        <v>89</v>
      </c>
      <c r="H544" s="7">
        <v>5</v>
      </c>
      <c r="I544" s="7">
        <v>1</v>
      </c>
      <c r="J544" s="7" t="s">
        <v>100</v>
      </c>
      <c r="L544" s="7" t="s">
        <v>47</v>
      </c>
      <c r="S544" s="7">
        <v>6</v>
      </c>
      <c r="T544" s="7">
        <v>5</v>
      </c>
      <c r="U544" s="7">
        <v>4</v>
      </c>
      <c r="AE544" s="7">
        <v>430</v>
      </c>
      <c r="AF544" s="7" t="s">
        <v>252</v>
      </c>
      <c r="AG544" s="7" t="s">
        <v>361</v>
      </c>
      <c r="AH544" s="7">
        <v>3</v>
      </c>
      <c r="AI544" s="7" t="s">
        <v>306</v>
      </c>
      <c r="AJ544" s="7" t="s">
        <v>85</v>
      </c>
      <c r="AK544" s="7" t="s">
        <v>335</v>
      </c>
      <c r="AL544" s="7" t="s">
        <v>257</v>
      </c>
      <c r="AM544" s="7" t="s">
        <v>286</v>
      </c>
    </row>
    <row r="545" spans="1:40" ht="22.5" customHeight="1" x14ac:dyDescent="0.2">
      <c r="A545" s="6">
        <v>46013.500605196758</v>
      </c>
      <c r="B545" s="7" t="s">
        <v>1269</v>
      </c>
      <c r="C545" s="7">
        <v>26</v>
      </c>
      <c r="D545" s="7" t="s">
        <v>73</v>
      </c>
      <c r="E545" s="7" t="s">
        <v>58</v>
      </c>
      <c r="F545" s="7" t="s">
        <v>74</v>
      </c>
      <c r="G545" s="7" t="s">
        <v>45</v>
      </c>
      <c r="H545" s="7">
        <v>3</v>
      </c>
      <c r="I545" s="7">
        <v>1</v>
      </c>
      <c r="J545" s="7" t="s">
        <v>46</v>
      </c>
      <c r="K545" s="7" t="s">
        <v>47</v>
      </c>
      <c r="P545" s="7">
        <v>2</v>
      </c>
      <c r="Q545" s="7">
        <v>18</v>
      </c>
      <c r="R545" s="7">
        <v>10</v>
      </c>
      <c r="AE545" s="7">
        <v>1000</v>
      </c>
      <c r="AF545" s="7" t="s">
        <v>159</v>
      </c>
      <c r="AG545" s="7" t="s">
        <v>253</v>
      </c>
      <c r="AH545" s="7">
        <v>9</v>
      </c>
      <c r="AI545" s="7" t="s">
        <v>255</v>
      </c>
      <c r="AJ545" s="7" t="s">
        <v>85</v>
      </c>
      <c r="AK545" s="7" t="s">
        <v>256</v>
      </c>
      <c r="AL545" s="7" t="s">
        <v>257</v>
      </c>
      <c r="AM545" s="7" t="s">
        <v>278</v>
      </c>
    </row>
    <row r="546" spans="1:40" ht="22.5" customHeight="1" x14ac:dyDescent="0.2">
      <c r="A546" s="6">
        <v>46013.515714293986</v>
      </c>
      <c r="B546" s="7" t="s">
        <v>1392</v>
      </c>
      <c r="C546" s="7">
        <v>28</v>
      </c>
      <c r="D546" s="7" t="s">
        <v>73</v>
      </c>
      <c r="E546" s="7" t="s">
        <v>58</v>
      </c>
      <c r="F546" s="7" t="s">
        <v>172</v>
      </c>
      <c r="G546" s="7" t="s">
        <v>45</v>
      </c>
      <c r="H546" s="7">
        <v>3</v>
      </c>
      <c r="I546" s="7">
        <v>1</v>
      </c>
      <c r="J546" s="7" t="s">
        <v>1390</v>
      </c>
      <c r="O546" s="7" t="s">
        <v>353</v>
      </c>
      <c r="AB546" s="7">
        <v>90</v>
      </c>
      <c r="AC546" s="7">
        <v>26</v>
      </c>
      <c r="AD546" s="7">
        <v>2</v>
      </c>
      <c r="AE546" s="7">
        <v>1100</v>
      </c>
      <c r="AF546" s="7" t="s">
        <v>857</v>
      </c>
      <c r="AG546" s="7" t="s">
        <v>295</v>
      </c>
      <c r="AH546" s="7">
        <v>12</v>
      </c>
      <c r="AI546" s="7" t="s">
        <v>559</v>
      </c>
      <c r="AJ546" s="7" t="s">
        <v>277</v>
      </c>
      <c r="AK546" s="7" t="s">
        <v>256</v>
      </c>
      <c r="AL546" s="7" t="s">
        <v>68</v>
      </c>
      <c r="AN546" s="7" t="s">
        <v>259</v>
      </c>
    </row>
    <row r="547" spans="1:40" ht="22.5" customHeight="1" x14ac:dyDescent="0.2">
      <c r="A547" s="6">
        <v>46013.517458761577</v>
      </c>
      <c r="B547" s="7" t="s">
        <v>1393</v>
      </c>
      <c r="C547" s="7">
        <v>28</v>
      </c>
      <c r="D547" s="7" t="s">
        <v>73</v>
      </c>
      <c r="E547" s="7" t="s">
        <v>58</v>
      </c>
      <c r="F547" s="7" t="s">
        <v>172</v>
      </c>
      <c r="G547" s="7" t="s">
        <v>60</v>
      </c>
      <c r="H547" s="7">
        <v>5</v>
      </c>
      <c r="I547" s="7">
        <v>2</v>
      </c>
      <c r="J547" s="7" t="s">
        <v>246</v>
      </c>
      <c r="K547" s="7" t="s">
        <v>47</v>
      </c>
      <c r="M547" s="7" t="s">
        <v>47</v>
      </c>
      <c r="P547" s="7">
        <v>12</v>
      </c>
      <c r="Q547" s="7">
        <v>4</v>
      </c>
      <c r="R547" s="7">
        <v>3</v>
      </c>
      <c r="V547" s="7">
        <v>6</v>
      </c>
      <c r="W547" s="7">
        <v>16</v>
      </c>
      <c r="X547" s="7">
        <v>18</v>
      </c>
      <c r="AE547" s="7">
        <v>3000</v>
      </c>
      <c r="AF547" s="7" t="s">
        <v>159</v>
      </c>
      <c r="AG547" s="7" t="s">
        <v>284</v>
      </c>
      <c r="AH547" s="7">
        <v>6</v>
      </c>
      <c r="AI547" s="7" t="s">
        <v>559</v>
      </c>
      <c r="AJ547" s="7" t="s">
        <v>85</v>
      </c>
      <c r="AK547" s="7" t="s">
        <v>335</v>
      </c>
      <c r="AL547" s="7" t="s">
        <v>257</v>
      </c>
      <c r="AM547" s="7" t="s">
        <v>286</v>
      </c>
    </row>
    <row r="548" spans="1:40" ht="22.5" customHeight="1" x14ac:dyDescent="0.2">
      <c r="A548" s="6">
        <v>46013.525512002314</v>
      </c>
      <c r="B548" s="7" t="s">
        <v>1394</v>
      </c>
      <c r="C548" s="7">
        <v>23</v>
      </c>
      <c r="D548" s="7" t="s">
        <v>42</v>
      </c>
      <c r="E548" s="7" t="s">
        <v>58</v>
      </c>
      <c r="F548" s="7" t="s">
        <v>562</v>
      </c>
      <c r="G548" s="7" t="s">
        <v>182</v>
      </c>
      <c r="H548" s="7">
        <v>5</v>
      </c>
      <c r="I548" s="7">
        <v>1</v>
      </c>
      <c r="J548" s="7" t="s">
        <v>46</v>
      </c>
      <c r="K548" s="7" t="s">
        <v>47</v>
      </c>
      <c r="P548" s="7">
        <v>1</v>
      </c>
      <c r="Q548" s="7">
        <v>14</v>
      </c>
      <c r="R548" s="7">
        <v>8</v>
      </c>
      <c r="AE548" s="7">
        <v>900</v>
      </c>
      <c r="AF548" s="7" t="s">
        <v>252</v>
      </c>
      <c r="AG548" s="7" t="s">
        <v>361</v>
      </c>
      <c r="AH548" s="7">
        <v>7</v>
      </c>
      <c r="AI548" s="7" t="s">
        <v>285</v>
      </c>
      <c r="AJ548" s="7" t="s">
        <v>85</v>
      </c>
      <c r="AK548" s="7" t="s">
        <v>256</v>
      </c>
      <c r="AL548" s="7" t="s">
        <v>257</v>
      </c>
      <c r="AM548" s="7" t="s">
        <v>286</v>
      </c>
    </row>
    <row r="549" spans="1:40" ht="22.5" customHeight="1" x14ac:dyDescent="0.2">
      <c r="A549" s="6">
        <v>46013.526642523153</v>
      </c>
      <c r="B549" s="7" t="s">
        <v>1395</v>
      </c>
      <c r="C549" s="7">
        <v>41</v>
      </c>
      <c r="D549" s="7" t="s">
        <v>42</v>
      </c>
      <c r="E549" s="7" t="s">
        <v>58</v>
      </c>
      <c r="F549" s="7" t="s">
        <v>138</v>
      </c>
      <c r="G549" s="7" t="s">
        <v>60</v>
      </c>
      <c r="H549" s="7">
        <v>5</v>
      </c>
      <c r="I549" s="7">
        <v>1</v>
      </c>
      <c r="J549" s="7" t="s">
        <v>431</v>
      </c>
      <c r="M549" s="7" t="s">
        <v>291</v>
      </c>
      <c r="V549" s="7">
        <v>8</v>
      </c>
      <c r="W549" s="7">
        <v>18</v>
      </c>
      <c r="X549" s="7">
        <v>19</v>
      </c>
      <c r="AE549" s="7">
        <v>1900</v>
      </c>
      <c r="AF549" s="7" t="s">
        <v>276</v>
      </c>
      <c r="AG549" s="7" t="s">
        <v>284</v>
      </c>
      <c r="AH549" s="7">
        <v>9</v>
      </c>
      <c r="AI549" s="7" t="s">
        <v>255</v>
      </c>
      <c r="AJ549" s="7" t="s">
        <v>362</v>
      </c>
      <c r="AK549" s="7" t="s">
        <v>307</v>
      </c>
      <c r="AL549" s="7" t="s">
        <v>68</v>
      </c>
      <c r="AN549" s="7" t="s">
        <v>373</v>
      </c>
    </row>
    <row r="550" spans="1:40" ht="22.5" customHeight="1" x14ac:dyDescent="0.2">
      <c r="A550" s="6">
        <v>46013.527763414357</v>
      </c>
      <c r="B550" s="7" t="s">
        <v>1396</v>
      </c>
      <c r="C550" s="7">
        <v>26</v>
      </c>
      <c r="D550" s="7" t="s">
        <v>42</v>
      </c>
      <c r="E550" s="7" t="s">
        <v>58</v>
      </c>
      <c r="F550" s="7" t="s">
        <v>74</v>
      </c>
      <c r="G550" s="7" t="s">
        <v>45</v>
      </c>
      <c r="H550" s="7">
        <v>3</v>
      </c>
      <c r="I550" s="7">
        <v>1</v>
      </c>
      <c r="J550" s="7" t="s">
        <v>100</v>
      </c>
      <c r="L550" s="7" t="s">
        <v>47</v>
      </c>
      <c r="S550" s="7">
        <v>2</v>
      </c>
      <c r="T550" s="7">
        <v>9</v>
      </c>
      <c r="U550" s="7">
        <v>6</v>
      </c>
      <c r="AE550" s="7">
        <v>650</v>
      </c>
      <c r="AF550" s="7" t="s">
        <v>276</v>
      </c>
      <c r="AG550" s="7" t="s">
        <v>317</v>
      </c>
      <c r="AH550" s="7">
        <v>3</v>
      </c>
      <c r="AI550" s="7" t="s">
        <v>255</v>
      </c>
      <c r="AJ550" s="7" t="s">
        <v>362</v>
      </c>
      <c r="AK550" s="7" t="s">
        <v>307</v>
      </c>
      <c r="AL550" s="7" t="s">
        <v>257</v>
      </c>
      <c r="AM550" s="7" t="s">
        <v>258</v>
      </c>
    </row>
    <row r="551" spans="1:40" ht="22.5" customHeight="1" x14ac:dyDescent="0.2">
      <c r="A551" s="6">
        <v>46013.529662152781</v>
      </c>
      <c r="B551" s="7" t="s">
        <v>1397</v>
      </c>
      <c r="C551" s="7">
        <v>52</v>
      </c>
      <c r="D551" s="7" t="s">
        <v>73</v>
      </c>
      <c r="E551" s="7" t="s">
        <v>43</v>
      </c>
      <c r="F551" s="7" t="s">
        <v>44</v>
      </c>
      <c r="G551" s="7" t="s">
        <v>45</v>
      </c>
      <c r="H551" s="7">
        <v>6</v>
      </c>
      <c r="I551" s="7">
        <v>2</v>
      </c>
      <c r="J551" s="7" t="s">
        <v>290</v>
      </c>
      <c r="K551" s="7" t="s">
        <v>47</v>
      </c>
      <c r="N551" s="7" t="s">
        <v>291</v>
      </c>
      <c r="P551" s="7">
        <v>14</v>
      </c>
      <c r="Q551" s="7">
        <v>5</v>
      </c>
      <c r="R551" s="7">
        <v>4</v>
      </c>
      <c r="Y551" s="7">
        <v>15</v>
      </c>
      <c r="Z551" s="7">
        <v>0</v>
      </c>
      <c r="AA551" s="7">
        <v>60</v>
      </c>
      <c r="AE551" s="7">
        <v>8700</v>
      </c>
      <c r="AF551" s="7" t="s">
        <v>252</v>
      </c>
      <c r="AG551" s="7" t="s">
        <v>317</v>
      </c>
      <c r="AH551" s="7">
        <v>3</v>
      </c>
      <c r="AI551" s="7" t="s">
        <v>296</v>
      </c>
      <c r="AJ551" s="7" t="s">
        <v>362</v>
      </c>
      <c r="AK551" s="7" t="s">
        <v>307</v>
      </c>
      <c r="AL551" s="7" t="s">
        <v>257</v>
      </c>
      <c r="AM551" s="7" t="s">
        <v>286</v>
      </c>
    </row>
    <row r="552" spans="1:40" ht="22.5" customHeight="1" x14ac:dyDescent="0.2">
      <c r="A552" s="6">
        <v>46013.53121050926</v>
      </c>
      <c r="B552" s="7" t="s">
        <v>1398</v>
      </c>
      <c r="C552" s="7">
        <v>34</v>
      </c>
      <c r="D552" s="7" t="s">
        <v>42</v>
      </c>
      <c r="E552" s="7" t="s">
        <v>43</v>
      </c>
      <c r="F552" s="7" t="s">
        <v>138</v>
      </c>
      <c r="G552" s="7" t="s">
        <v>60</v>
      </c>
      <c r="H552" s="7">
        <v>3</v>
      </c>
      <c r="I552" s="7">
        <v>1</v>
      </c>
      <c r="J552" s="7" t="s">
        <v>431</v>
      </c>
      <c r="M552" s="7" t="s">
        <v>47</v>
      </c>
      <c r="V552" s="7">
        <v>4</v>
      </c>
      <c r="W552" s="7">
        <v>24</v>
      </c>
      <c r="X552" s="7">
        <v>22</v>
      </c>
      <c r="AE552" s="7">
        <v>3000</v>
      </c>
      <c r="AF552" s="7" t="s">
        <v>276</v>
      </c>
      <c r="AG552" s="7" t="s">
        <v>317</v>
      </c>
      <c r="AH552" s="7">
        <v>12</v>
      </c>
      <c r="AI552" s="7" t="s">
        <v>255</v>
      </c>
      <c r="AJ552" s="7" t="s">
        <v>362</v>
      </c>
      <c r="AK552" s="7" t="s">
        <v>307</v>
      </c>
      <c r="AL552" s="7" t="s">
        <v>68</v>
      </c>
      <c r="AN552" s="7" t="s">
        <v>303</v>
      </c>
    </row>
    <row r="553" spans="1:40" ht="22.5" customHeight="1" x14ac:dyDescent="0.2">
      <c r="A553" s="6">
        <v>46013.532458807866</v>
      </c>
      <c r="B553" s="7" t="s">
        <v>1399</v>
      </c>
      <c r="C553" s="7">
        <v>38</v>
      </c>
      <c r="D553" s="7" t="s">
        <v>73</v>
      </c>
      <c r="E553" s="7" t="s">
        <v>58</v>
      </c>
      <c r="F553" s="7" t="s">
        <v>172</v>
      </c>
      <c r="G553" s="7" t="s">
        <v>60</v>
      </c>
      <c r="H553" s="7">
        <v>4</v>
      </c>
      <c r="I553" s="7">
        <v>2</v>
      </c>
      <c r="J553" s="7" t="s">
        <v>246</v>
      </c>
      <c r="K553" s="7" t="s">
        <v>47</v>
      </c>
      <c r="M553" s="7" t="s">
        <v>47</v>
      </c>
      <c r="P553" s="7">
        <v>8</v>
      </c>
      <c r="Q553" s="7">
        <v>6</v>
      </c>
      <c r="R553" s="7">
        <v>5</v>
      </c>
      <c r="V553" s="7">
        <v>6</v>
      </c>
      <c r="W553" s="7">
        <v>20</v>
      </c>
      <c r="X553" s="7">
        <v>21</v>
      </c>
      <c r="AE553" s="7">
        <v>3600</v>
      </c>
      <c r="AF553" s="7" t="s">
        <v>323</v>
      </c>
      <c r="AG553" s="7" t="s">
        <v>317</v>
      </c>
      <c r="AH553" s="7">
        <v>10</v>
      </c>
      <c r="AI553" s="7" t="s">
        <v>559</v>
      </c>
      <c r="AJ553" s="7" t="s">
        <v>362</v>
      </c>
      <c r="AK553" s="7" t="s">
        <v>307</v>
      </c>
      <c r="AL553" s="7" t="s">
        <v>257</v>
      </c>
      <c r="AM553" s="7" t="s">
        <v>278</v>
      </c>
    </row>
    <row r="554" spans="1:40" ht="22.5" customHeight="1" x14ac:dyDescent="0.2">
      <c r="A554" s="6">
        <v>46013.533482523148</v>
      </c>
      <c r="B554" s="7" t="s">
        <v>1400</v>
      </c>
      <c r="C554" s="7">
        <v>55</v>
      </c>
      <c r="D554" s="7" t="s">
        <v>42</v>
      </c>
      <c r="E554" s="7" t="s">
        <v>43</v>
      </c>
      <c r="F554" s="7" t="s">
        <v>44</v>
      </c>
      <c r="G554" s="7" t="s">
        <v>45</v>
      </c>
      <c r="H554" s="7">
        <v>5</v>
      </c>
      <c r="I554" s="7">
        <v>1</v>
      </c>
      <c r="J554" s="7" t="s">
        <v>100</v>
      </c>
      <c r="L554" s="7" t="s">
        <v>47</v>
      </c>
      <c r="S554" s="7">
        <v>7</v>
      </c>
      <c r="T554" s="7">
        <v>10</v>
      </c>
      <c r="U554" s="7">
        <v>6</v>
      </c>
      <c r="AE554" s="7">
        <v>600</v>
      </c>
      <c r="AF554" s="7" t="s">
        <v>276</v>
      </c>
      <c r="AG554" s="7" t="s">
        <v>284</v>
      </c>
      <c r="AH554" s="7">
        <v>5</v>
      </c>
      <c r="AI554" s="7" t="s">
        <v>296</v>
      </c>
      <c r="AJ554" s="7" t="s">
        <v>362</v>
      </c>
      <c r="AK554" s="7" t="s">
        <v>307</v>
      </c>
      <c r="AL554" s="7" t="s">
        <v>68</v>
      </c>
      <c r="AN554" s="7" t="s">
        <v>684</v>
      </c>
    </row>
    <row r="555" spans="1:40" ht="22.5" customHeight="1" x14ac:dyDescent="0.2">
      <c r="A555" s="6">
        <v>46013.534870613425</v>
      </c>
      <c r="B555" s="7" t="s">
        <v>1401</v>
      </c>
      <c r="C555" s="7">
        <v>28</v>
      </c>
      <c r="D555" s="7" t="s">
        <v>73</v>
      </c>
      <c r="E555" s="7" t="s">
        <v>58</v>
      </c>
      <c r="F555" s="7" t="s">
        <v>74</v>
      </c>
      <c r="G555" s="7" t="s">
        <v>45</v>
      </c>
      <c r="H555" s="7">
        <v>5</v>
      </c>
      <c r="I555" s="7">
        <v>1</v>
      </c>
      <c r="J555" s="7" t="s">
        <v>46</v>
      </c>
      <c r="K555" s="7" t="s">
        <v>47</v>
      </c>
      <c r="P555" s="7">
        <v>3</v>
      </c>
      <c r="Q555" s="7">
        <v>22</v>
      </c>
      <c r="R555" s="7">
        <v>12</v>
      </c>
      <c r="AE555" s="7">
        <v>1300</v>
      </c>
      <c r="AF555" s="7" t="s">
        <v>252</v>
      </c>
      <c r="AG555" s="7" t="s">
        <v>284</v>
      </c>
      <c r="AH555" s="7">
        <v>6</v>
      </c>
      <c r="AI555" s="7" t="s">
        <v>255</v>
      </c>
      <c r="AJ555" s="7" t="s">
        <v>362</v>
      </c>
      <c r="AK555" s="7" t="s">
        <v>307</v>
      </c>
      <c r="AL555" s="7" t="s">
        <v>257</v>
      </c>
      <c r="AM555" s="7" t="s">
        <v>286</v>
      </c>
    </row>
    <row r="556" spans="1:40" ht="22.5" customHeight="1" x14ac:dyDescent="0.2">
      <c r="A556" s="6">
        <v>46013.537025694444</v>
      </c>
      <c r="B556" s="7" t="s">
        <v>1402</v>
      </c>
      <c r="C556" s="7">
        <v>52</v>
      </c>
      <c r="D556" s="7" t="s">
        <v>73</v>
      </c>
      <c r="E556" s="7" t="s">
        <v>58</v>
      </c>
      <c r="F556" s="7" t="s">
        <v>172</v>
      </c>
      <c r="G556" s="7" t="s">
        <v>109</v>
      </c>
      <c r="H556" s="7">
        <v>5</v>
      </c>
      <c r="I556" s="7">
        <v>2</v>
      </c>
      <c r="J556" s="7" t="s">
        <v>352</v>
      </c>
      <c r="M556" s="7" t="s">
        <v>47</v>
      </c>
      <c r="O556" s="7" t="s">
        <v>353</v>
      </c>
      <c r="V556" s="7">
        <v>8</v>
      </c>
      <c r="W556" s="7">
        <v>20</v>
      </c>
      <c r="X556" s="7">
        <v>19</v>
      </c>
      <c r="AB556" s="7">
        <v>110</v>
      </c>
      <c r="AC556" s="7">
        <v>22</v>
      </c>
      <c r="AD556" s="7">
        <v>1</v>
      </c>
      <c r="AE556" s="7">
        <v>3000</v>
      </c>
      <c r="AF556" s="7" t="s">
        <v>159</v>
      </c>
      <c r="AG556" s="7" t="s">
        <v>284</v>
      </c>
      <c r="AH556" s="7">
        <v>10</v>
      </c>
      <c r="AI556" s="7" t="s">
        <v>559</v>
      </c>
      <c r="AJ556" s="7" t="s">
        <v>362</v>
      </c>
      <c r="AK556" s="7" t="s">
        <v>307</v>
      </c>
      <c r="AL556" s="7" t="s">
        <v>257</v>
      </c>
      <c r="AM556" s="7" t="s">
        <v>258</v>
      </c>
    </row>
    <row r="557" spans="1:40" ht="22.5" customHeight="1" x14ac:dyDescent="0.2">
      <c r="A557" s="6">
        <v>46013.537950266204</v>
      </c>
      <c r="B557" s="7" t="s">
        <v>1403</v>
      </c>
      <c r="C557" s="7">
        <v>21</v>
      </c>
      <c r="D557" s="7" t="s">
        <v>73</v>
      </c>
      <c r="E557" s="7" t="s">
        <v>58</v>
      </c>
      <c r="F557" s="7" t="s">
        <v>562</v>
      </c>
      <c r="G557" s="7" t="s">
        <v>182</v>
      </c>
      <c r="H557" s="7">
        <v>5</v>
      </c>
      <c r="I557" s="7">
        <v>1</v>
      </c>
      <c r="J557" s="7" t="s">
        <v>46</v>
      </c>
      <c r="K557" s="7" t="s">
        <v>47</v>
      </c>
      <c r="P557" s="7">
        <v>6</v>
      </c>
      <c r="Q557" s="7">
        <v>16</v>
      </c>
      <c r="R557" s="7">
        <v>9</v>
      </c>
      <c r="AE557" s="7">
        <v>980</v>
      </c>
      <c r="AF557" s="7" t="s">
        <v>252</v>
      </c>
      <c r="AG557" s="7" t="s">
        <v>253</v>
      </c>
      <c r="AH557" s="7">
        <v>6</v>
      </c>
      <c r="AI557" s="7" t="s">
        <v>285</v>
      </c>
      <c r="AJ557" s="7" t="s">
        <v>96</v>
      </c>
      <c r="AK557" s="7" t="s">
        <v>256</v>
      </c>
      <c r="AL557" s="7" t="s">
        <v>257</v>
      </c>
      <c r="AM557" s="7" t="s">
        <v>363</v>
      </c>
    </row>
    <row r="558" spans="1:40" ht="22.5" customHeight="1" x14ac:dyDescent="0.2">
      <c r="A558" s="6">
        <v>46013.539266458334</v>
      </c>
      <c r="B558" s="7" t="s">
        <v>1404</v>
      </c>
      <c r="C558" s="7">
        <v>38</v>
      </c>
      <c r="D558" s="7" t="s">
        <v>73</v>
      </c>
      <c r="E558" s="7" t="s">
        <v>58</v>
      </c>
      <c r="F558" s="7" t="s">
        <v>339</v>
      </c>
      <c r="G558" s="7" t="s">
        <v>45</v>
      </c>
      <c r="H558" s="7">
        <v>6</v>
      </c>
      <c r="I558" s="7">
        <v>1</v>
      </c>
      <c r="J558" s="7" t="s">
        <v>46</v>
      </c>
      <c r="K558" s="7" t="s">
        <v>47</v>
      </c>
      <c r="P558" s="7">
        <v>12</v>
      </c>
      <c r="Q558" s="7">
        <v>9</v>
      </c>
      <c r="R558" s="7">
        <v>7</v>
      </c>
      <c r="AE558" s="7">
        <v>910</v>
      </c>
      <c r="AF558" s="7" t="s">
        <v>360</v>
      </c>
      <c r="AG558" s="7" t="s">
        <v>317</v>
      </c>
      <c r="AH558" s="7">
        <v>4</v>
      </c>
      <c r="AI558" s="7" t="s">
        <v>724</v>
      </c>
      <c r="AJ558" s="7" t="s">
        <v>85</v>
      </c>
      <c r="AK558" s="7" t="s">
        <v>256</v>
      </c>
      <c r="AL558" s="7" t="s">
        <v>68</v>
      </c>
      <c r="AN558" s="7" t="s">
        <v>684</v>
      </c>
    </row>
    <row r="559" spans="1:40" ht="22.5" customHeight="1" x14ac:dyDescent="0.2">
      <c r="A559" s="6">
        <v>46013.540356967591</v>
      </c>
      <c r="B559" s="7" t="s">
        <v>1405</v>
      </c>
      <c r="C559" s="7">
        <v>47</v>
      </c>
      <c r="D559" s="7" t="s">
        <v>42</v>
      </c>
      <c r="E559" s="7" t="s">
        <v>43</v>
      </c>
      <c r="F559" s="7" t="s">
        <v>138</v>
      </c>
      <c r="G559" s="7" t="s">
        <v>60</v>
      </c>
      <c r="H559" s="7">
        <v>4</v>
      </c>
      <c r="I559" s="7">
        <v>1</v>
      </c>
      <c r="J559" s="7" t="s">
        <v>431</v>
      </c>
      <c r="M559" s="7" t="s">
        <v>47</v>
      </c>
      <c r="V559" s="7">
        <v>6</v>
      </c>
      <c r="W559" s="7">
        <v>24</v>
      </c>
      <c r="X559" s="7">
        <v>21</v>
      </c>
      <c r="AE559" s="7">
        <v>2300</v>
      </c>
      <c r="AF559" s="7" t="s">
        <v>276</v>
      </c>
      <c r="AG559" s="7" t="s">
        <v>295</v>
      </c>
      <c r="AH559" s="7">
        <v>12</v>
      </c>
      <c r="AI559" s="7" t="s">
        <v>255</v>
      </c>
      <c r="AJ559" s="7" t="s">
        <v>85</v>
      </c>
      <c r="AK559" s="7" t="s">
        <v>256</v>
      </c>
      <c r="AL559" s="7" t="s">
        <v>257</v>
      </c>
      <c r="AM559" s="7" t="s">
        <v>278</v>
      </c>
    </row>
    <row r="560" spans="1:40" ht="22.5" customHeight="1" x14ac:dyDescent="0.2">
      <c r="A560" s="6">
        <v>46013.541192476856</v>
      </c>
      <c r="B560" s="7" t="s">
        <v>1406</v>
      </c>
      <c r="C560" s="7">
        <v>27</v>
      </c>
      <c r="D560" s="7" t="s">
        <v>73</v>
      </c>
      <c r="E560" s="7" t="s">
        <v>58</v>
      </c>
      <c r="F560" s="7" t="s">
        <v>74</v>
      </c>
      <c r="G560" s="7" t="s">
        <v>45</v>
      </c>
      <c r="H560" s="7">
        <v>4</v>
      </c>
      <c r="I560" s="7">
        <v>1</v>
      </c>
      <c r="J560" s="7" t="s">
        <v>46</v>
      </c>
      <c r="K560" s="7" t="s">
        <v>47</v>
      </c>
      <c r="P560" s="7">
        <v>3</v>
      </c>
      <c r="Q560" s="7">
        <v>21</v>
      </c>
      <c r="R560" s="7">
        <v>22</v>
      </c>
      <c r="AE560" s="7">
        <v>2300</v>
      </c>
      <c r="AF560" s="7" t="s">
        <v>323</v>
      </c>
      <c r="AG560" s="7" t="s">
        <v>284</v>
      </c>
      <c r="AH560" s="7">
        <v>12</v>
      </c>
      <c r="AI560" s="7" t="s">
        <v>255</v>
      </c>
      <c r="AJ560" s="7" t="s">
        <v>85</v>
      </c>
      <c r="AK560" s="7" t="s">
        <v>256</v>
      </c>
      <c r="AL560" s="7" t="s">
        <v>257</v>
      </c>
      <c r="AM560" s="7" t="s">
        <v>286</v>
      </c>
    </row>
    <row r="561" spans="1:40" ht="22.5" customHeight="1" x14ac:dyDescent="0.2">
      <c r="A561" s="6">
        <v>46013.54218074074</v>
      </c>
      <c r="B561" s="7" t="s">
        <v>1407</v>
      </c>
      <c r="C561" s="7">
        <v>36</v>
      </c>
      <c r="D561" s="7" t="s">
        <v>42</v>
      </c>
      <c r="E561" s="7" t="s">
        <v>43</v>
      </c>
      <c r="F561" s="7" t="s">
        <v>144</v>
      </c>
      <c r="G561" s="7" t="s">
        <v>89</v>
      </c>
      <c r="H561" s="7">
        <v>4</v>
      </c>
      <c r="I561" s="7">
        <v>1</v>
      </c>
      <c r="J561" s="7" t="s">
        <v>100</v>
      </c>
      <c r="L561" s="7" t="s">
        <v>47</v>
      </c>
      <c r="S561" s="7">
        <v>4</v>
      </c>
      <c r="T561" s="7">
        <v>5</v>
      </c>
      <c r="U561" s="7">
        <v>6</v>
      </c>
      <c r="AE561" s="7">
        <v>630</v>
      </c>
      <c r="AF561" s="7" t="s">
        <v>252</v>
      </c>
      <c r="AG561" s="7" t="s">
        <v>253</v>
      </c>
      <c r="AH561" s="7">
        <v>3</v>
      </c>
      <c r="AI561" s="7" t="s">
        <v>344</v>
      </c>
      <c r="AJ561" s="7" t="s">
        <v>85</v>
      </c>
      <c r="AK561" s="7" t="s">
        <v>256</v>
      </c>
      <c r="AL561" s="7" t="s">
        <v>68</v>
      </c>
      <c r="AN561" s="7" t="s">
        <v>684</v>
      </c>
    </row>
    <row r="562" spans="1:40" ht="22.5" customHeight="1" x14ac:dyDescent="0.2">
      <c r="A562" s="6">
        <v>46013.543850543982</v>
      </c>
      <c r="B562" s="7" t="s">
        <v>828</v>
      </c>
      <c r="C562" s="7">
        <v>29</v>
      </c>
      <c r="D562" s="7" t="s">
        <v>73</v>
      </c>
      <c r="E562" s="7" t="s">
        <v>43</v>
      </c>
      <c r="F562" s="7" t="s">
        <v>74</v>
      </c>
      <c r="G562" s="7" t="s">
        <v>45</v>
      </c>
      <c r="H562" s="7">
        <v>4</v>
      </c>
      <c r="I562" s="7">
        <v>1</v>
      </c>
      <c r="J562" s="7" t="s">
        <v>46</v>
      </c>
      <c r="K562" s="7" t="s">
        <v>47</v>
      </c>
      <c r="P562" s="7">
        <v>4</v>
      </c>
      <c r="Q562" s="7">
        <v>26</v>
      </c>
      <c r="R562" s="7">
        <v>18</v>
      </c>
      <c r="AE562" s="7">
        <v>1820</v>
      </c>
      <c r="AF562" s="7" t="s">
        <v>252</v>
      </c>
      <c r="AG562" s="7" t="s">
        <v>317</v>
      </c>
      <c r="AH562" s="7">
        <v>13</v>
      </c>
      <c r="AI562" s="7" t="s">
        <v>255</v>
      </c>
      <c r="AJ562" s="7" t="s">
        <v>85</v>
      </c>
      <c r="AK562" s="7" t="s">
        <v>256</v>
      </c>
      <c r="AL562" s="7" t="s">
        <v>257</v>
      </c>
      <c r="AM562" s="7" t="s">
        <v>278</v>
      </c>
    </row>
    <row r="563" spans="1:40" ht="22.5" customHeight="1" x14ac:dyDescent="0.2">
      <c r="A563" s="6">
        <v>46013.545267337962</v>
      </c>
      <c r="B563" s="7" t="s">
        <v>1408</v>
      </c>
      <c r="C563" s="7">
        <v>41</v>
      </c>
      <c r="D563" s="7" t="s">
        <v>73</v>
      </c>
      <c r="E563" s="7" t="s">
        <v>58</v>
      </c>
      <c r="F563" s="7" t="s">
        <v>172</v>
      </c>
      <c r="G563" s="7" t="s">
        <v>60</v>
      </c>
      <c r="H563" s="7">
        <v>5</v>
      </c>
      <c r="I563" s="7">
        <v>2</v>
      </c>
      <c r="J563" s="7" t="s">
        <v>246</v>
      </c>
      <c r="K563" s="7" t="s">
        <v>47</v>
      </c>
      <c r="M563" s="7" t="s">
        <v>47</v>
      </c>
      <c r="P563" s="7">
        <v>9</v>
      </c>
      <c r="Q563" s="7">
        <v>6</v>
      </c>
      <c r="R563" s="7">
        <v>5</v>
      </c>
      <c r="V563" s="7">
        <v>5</v>
      </c>
      <c r="W563" s="7">
        <v>22</v>
      </c>
      <c r="X563" s="7">
        <v>23</v>
      </c>
      <c r="AE563" s="7">
        <v>3900</v>
      </c>
      <c r="AF563" s="7" t="s">
        <v>159</v>
      </c>
      <c r="AG563" s="7" t="s">
        <v>361</v>
      </c>
      <c r="AH563" s="7">
        <v>10</v>
      </c>
      <c r="AI563" s="7" t="s">
        <v>559</v>
      </c>
      <c r="AJ563" s="7" t="s">
        <v>85</v>
      </c>
      <c r="AK563" s="7" t="s">
        <v>256</v>
      </c>
      <c r="AL563" s="7" t="s">
        <v>68</v>
      </c>
      <c r="AN563" s="7" t="s">
        <v>684</v>
      </c>
    </row>
    <row r="564" spans="1:40" ht="22.5" customHeight="1" x14ac:dyDescent="0.2">
      <c r="A564" s="6">
        <v>46013.5461769213</v>
      </c>
      <c r="B564" s="7" t="s">
        <v>1333</v>
      </c>
      <c r="C564" s="7">
        <v>25</v>
      </c>
      <c r="D564" s="7" t="s">
        <v>42</v>
      </c>
      <c r="E564" s="7" t="s">
        <v>43</v>
      </c>
      <c r="F564" s="7" t="s">
        <v>74</v>
      </c>
      <c r="G564" s="7" t="s">
        <v>45</v>
      </c>
      <c r="H564" s="7">
        <v>5</v>
      </c>
      <c r="I564" s="7">
        <v>1</v>
      </c>
      <c r="J564" s="7" t="s">
        <v>100</v>
      </c>
      <c r="L564" s="7" t="s">
        <v>47</v>
      </c>
      <c r="S564" s="7">
        <v>3</v>
      </c>
      <c r="T564" s="7">
        <v>11</v>
      </c>
      <c r="U564" s="7">
        <v>7</v>
      </c>
      <c r="AE564" s="7">
        <v>780</v>
      </c>
      <c r="AF564" s="7" t="s">
        <v>159</v>
      </c>
      <c r="AG564" s="7" t="s">
        <v>317</v>
      </c>
      <c r="AH564" s="7">
        <v>6</v>
      </c>
      <c r="AI564" s="7" t="s">
        <v>255</v>
      </c>
      <c r="AJ564" s="7" t="s">
        <v>85</v>
      </c>
      <c r="AK564" s="7" t="s">
        <v>335</v>
      </c>
      <c r="AL564" s="7" t="s">
        <v>257</v>
      </c>
      <c r="AM564" s="7" t="s">
        <v>278</v>
      </c>
    </row>
    <row r="565" spans="1:40" ht="22.5" customHeight="1" x14ac:dyDescent="0.2">
      <c r="A565" s="6">
        <v>46013.547469004625</v>
      </c>
      <c r="B565" s="7" t="s">
        <v>1409</v>
      </c>
      <c r="C565" s="7">
        <v>34</v>
      </c>
      <c r="D565" s="7" t="s">
        <v>73</v>
      </c>
      <c r="E565" s="7" t="s">
        <v>58</v>
      </c>
      <c r="F565" s="7" t="s">
        <v>44</v>
      </c>
      <c r="G565" s="7" t="s">
        <v>45</v>
      </c>
      <c r="H565" s="7">
        <v>5</v>
      </c>
      <c r="I565" s="7">
        <v>2</v>
      </c>
      <c r="J565" s="7" t="s">
        <v>246</v>
      </c>
      <c r="K565" s="7" t="s">
        <v>47</v>
      </c>
      <c r="M565" s="7" t="s">
        <v>47</v>
      </c>
      <c r="P565" s="7">
        <v>6</v>
      </c>
      <c r="Q565" s="7">
        <v>8</v>
      </c>
      <c r="R565" s="7">
        <v>6</v>
      </c>
      <c r="V565" s="7">
        <v>7</v>
      </c>
      <c r="W565" s="7">
        <v>18</v>
      </c>
      <c r="X565" s="7">
        <v>20</v>
      </c>
      <c r="AE565" s="7">
        <v>3200</v>
      </c>
      <c r="AF565" s="7" t="s">
        <v>323</v>
      </c>
      <c r="AG565" s="7" t="s">
        <v>284</v>
      </c>
      <c r="AH565" s="7">
        <v>6</v>
      </c>
      <c r="AI565" s="7" t="s">
        <v>296</v>
      </c>
      <c r="AJ565" s="7" t="s">
        <v>362</v>
      </c>
      <c r="AK565" s="7" t="s">
        <v>307</v>
      </c>
      <c r="AL565" s="7" t="s">
        <v>68</v>
      </c>
      <c r="AN565" s="7" t="s">
        <v>684</v>
      </c>
    </row>
    <row r="566" spans="1:40" ht="22.5" customHeight="1" x14ac:dyDescent="0.2">
      <c r="A566" s="6">
        <v>46013.86373326389</v>
      </c>
      <c r="B566" s="7" t="s">
        <v>1410</v>
      </c>
      <c r="C566" s="7">
        <v>37</v>
      </c>
      <c r="D566" s="7" t="s">
        <v>73</v>
      </c>
      <c r="E566" s="7" t="s">
        <v>43</v>
      </c>
      <c r="F566" s="7" t="s">
        <v>44</v>
      </c>
      <c r="G566" s="7" t="s">
        <v>45</v>
      </c>
      <c r="H566" s="7">
        <v>5</v>
      </c>
      <c r="I566" s="7">
        <v>2</v>
      </c>
      <c r="J566" s="7" t="s">
        <v>290</v>
      </c>
      <c r="K566" s="7" t="s">
        <v>47</v>
      </c>
      <c r="N566" s="7" t="s">
        <v>291</v>
      </c>
      <c r="P566" s="7">
        <v>7</v>
      </c>
      <c r="Q566" s="7">
        <v>6</v>
      </c>
      <c r="R566" s="7">
        <v>5</v>
      </c>
      <c r="Y566" s="7">
        <v>10</v>
      </c>
      <c r="Z566" s="7">
        <v>0</v>
      </c>
      <c r="AA566" s="7">
        <v>55</v>
      </c>
      <c r="AE566" s="7">
        <v>6700</v>
      </c>
      <c r="AF566" s="7" t="s">
        <v>252</v>
      </c>
      <c r="AG566" s="7" t="s">
        <v>284</v>
      </c>
      <c r="AH566" s="7">
        <v>3</v>
      </c>
      <c r="AI566" s="7" t="s">
        <v>296</v>
      </c>
      <c r="AJ566" s="7" t="s">
        <v>362</v>
      </c>
      <c r="AK566" s="7" t="s">
        <v>307</v>
      </c>
      <c r="AL566" s="7" t="s">
        <v>68</v>
      </c>
      <c r="AN566" s="7" t="s">
        <v>336</v>
      </c>
    </row>
    <row r="567" spans="1:40" ht="22.5" customHeight="1" x14ac:dyDescent="0.2">
      <c r="A567" s="6">
        <v>46013.86525732639</v>
      </c>
      <c r="B567" s="7" t="s">
        <v>1411</v>
      </c>
      <c r="C567" s="7">
        <v>24</v>
      </c>
      <c r="D567" s="7" t="s">
        <v>42</v>
      </c>
      <c r="E567" s="7" t="s">
        <v>58</v>
      </c>
      <c r="F567" s="7" t="s">
        <v>562</v>
      </c>
      <c r="G567" s="7" t="s">
        <v>182</v>
      </c>
      <c r="H567" s="7">
        <v>4</v>
      </c>
      <c r="I567" s="7">
        <v>1</v>
      </c>
      <c r="J567" s="7" t="s">
        <v>100</v>
      </c>
      <c r="L567" s="7" t="s">
        <v>47</v>
      </c>
      <c r="S567" s="7">
        <v>2</v>
      </c>
      <c r="T567" s="7">
        <v>10</v>
      </c>
      <c r="U567" s="7">
        <v>6</v>
      </c>
      <c r="AE567" s="7">
        <v>780</v>
      </c>
      <c r="AF567" s="7" t="s">
        <v>360</v>
      </c>
      <c r="AG567" s="7" t="s">
        <v>295</v>
      </c>
      <c r="AH567" s="7">
        <v>5</v>
      </c>
      <c r="AI567" s="7" t="s">
        <v>285</v>
      </c>
      <c r="AJ567" s="7" t="s">
        <v>96</v>
      </c>
      <c r="AK567" s="7" t="s">
        <v>256</v>
      </c>
      <c r="AL567" s="7" t="s">
        <v>257</v>
      </c>
      <c r="AM567" s="7" t="s">
        <v>1088</v>
      </c>
    </row>
    <row r="568" spans="1:40" ht="22.5" customHeight="1" x14ac:dyDescent="0.2">
      <c r="A568" s="6">
        <v>46013.866608391203</v>
      </c>
      <c r="B568" s="7" t="s">
        <v>1412</v>
      </c>
      <c r="C568" s="7">
        <v>49</v>
      </c>
      <c r="D568" s="7" t="s">
        <v>73</v>
      </c>
      <c r="E568" s="7" t="s">
        <v>58</v>
      </c>
      <c r="F568" s="7" t="s">
        <v>172</v>
      </c>
      <c r="G568" s="7" t="s">
        <v>155</v>
      </c>
      <c r="H568" s="7">
        <v>4</v>
      </c>
      <c r="I568" s="7">
        <v>2</v>
      </c>
      <c r="J568" s="7" t="s">
        <v>246</v>
      </c>
      <c r="K568" s="7" t="s">
        <v>47</v>
      </c>
      <c r="M568" s="7" t="s">
        <v>47</v>
      </c>
      <c r="P568" s="7">
        <v>5</v>
      </c>
      <c r="Q568" s="7">
        <v>4</v>
      </c>
      <c r="V568" s="7">
        <v>4</v>
      </c>
      <c r="W568" s="7">
        <v>20</v>
      </c>
      <c r="X568" s="7">
        <v>21</v>
      </c>
      <c r="AE568" s="7">
        <v>3900</v>
      </c>
      <c r="AF568" s="7" t="s">
        <v>276</v>
      </c>
      <c r="AG568" s="7" t="s">
        <v>253</v>
      </c>
      <c r="AH568" s="7">
        <v>10</v>
      </c>
      <c r="AI568" s="7" t="s">
        <v>559</v>
      </c>
      <c r="AJ568" s="7" t="s">
        <v>362</v>
      </c>
      <c r="AK568" s="7" t="s">
        <v>307</v>
      </c>
      <c r="AL568" s="7" t="s">
        <v>152</v>
      </c>
      <c r="AM568" s="7" t="s">
        <v>278</v>
      </c>
    </row>
    <row r="569" spans="1:40" ht="22.5" customHeight="1" x14ac:dyDescent="0.2">
      <c r="A569" s="6">
        <v>46013.867778773143</v>
      </c>
      <c r="B569" s="7" t="s">
        <v>1413</v>
      </c>
      <c r="C569" s="7">
        <v>35</v>
      </c>
      <c r="D569" s="7" t="s">
        <v>42</v>
      </c>
      <c r="E569" s="7" t="s">
        <v>58</v>
      </c>
      <c r="F569" s="7" t="s">
        <v>138</v>
      </c>
      <c r="G569" s="7" t="s">
        <v>109</v>
      </c>
      <c r="H569" s="7">
        <v>3</v>
      </c>
      <c r="I569" s="7">
        <v>1</v>
      </c>
      <c r="J569" s="7" t="s">
        <v>431</v>
      </c>
      <c r="M569" s="7" t="s">
        <v>47</v>
      </c>
      <c r="V569" s="7">
        <v>5</v>
      </c>
      <c r="W569" s="7">
        <v>25</v>
      </c>
      <c r="X569" s="7">
        <v>22</v>
      </c>
      <c r="AE569" s="7">
        <v>3520</v>
      </c>
      <c r="AF569" s="7" t="s">
        <v>159</v>
      </c>
      <c r="AG569" s="7" t="s">
        <v>253</v>
      </c>
      <c r="AH569" s="7">
        <v>12</v>
      </c>
      <c r="AI569" s="7" t="s">
        <v>255</v>
      </c>
      <c r="AJ569" s="7" t="s">
        <v>85</v>
      </c>
      <c r="AK569" s="7" t="s">
        <v>256</v>
      </c>
      <c r="AL569" s="7" t="s">
        <v>152</v>
      </c>
      <c r="AM569" s="7" t="s">
        <v>286</v>
      </c>
    </row>
    <row r="570" spans="1:40" ht="22.5" customHeight="1" x14ac:dyDescent="0.2">
      <c r="A570" s="6">
        <v>46013.86901519676</v>
      </c>
      <c r="B570" s="7" t="s">
        <v>1414</v>
      </c>
      <c r="C570" s="7">
        <v>28</v>
      </c>
      <c r="D570" s="7" t="s">
        <v>73</v>
      </c>
      <c r="E570" s="7" t="s">
        <v>43</v>
      </c>
      <c r="F570" s="7" t="s">
        <v>339</v>
      </c>
      <c r="G570" s="7" t="s">
        <v>89</v>
      </c>
      <c r="H570" s="7">
        <v>6</v>
      </c>
      <c r="I570" s="7">
        <v>1</v>
      </c>
      <c r="J570" s="7" t="s">
        <v>46</v>
      </c>
      <c r="K570" s="7" t="s">
        <v>47</v>
      </c>
      <c r="P570" s="7">
        <v>9</v>
      </c>
      <c r="Q570" s="7">
        <v>12</v>
      </c>
      <c r="R570" s="7">
        <v>8</v>
      </c>
      <c r="AE570" s="7">
        <v>1049</v>
      </c>
      <c r="AF570" s="7" t="s">
        <v>252</v>
      </c>
      <c r="AG570" s="7" t="s">
        <v>317</v>
      </c>
      <c r="AH570" s="7">
        <v>6</v>
      </c>
      <c r="AI570" s="7" t="s">
        <v>724</v>
      </c>
      <c r="AJ570" s="7" t="s">
        <v>85</v>
      </c>
      <c r="AK570" s="7" t="s">
        <v>256</v>
      </c>
      <c r="AL570" s="7" t="s">
        <v>152</v>
      </c>
      <c r="AM570" s="7" t="s">
        <v>1415</v>
      </c>
    </row>
    <row r="571" spans="1:40" ht="22.5" customHeight="1" x14ac:dyDescent="0.2">
      <c r="A571" s="6">
        <v>46013.870200833335</v>
      </c>
      <c r="B571" s="7" t="s">
        <v>1416</v>
      </c>
      <c r="C571" s="7">
        <v>46</v>
      </c>
      <c r="D571" s="7" t="s">
        <v>42</v>
      </c>
      <c r="E571" s="7" t="s">
        <v>58</v>
      </c>
      <c r="F571" s="7" t="s">
        <v>144</v>
      </c>
      <c r="G571" s="7" t="s">
        <v>89</v>
      </c>
      <c r="H571" s="7">
        <v>4</v>
      </c>
      <c r="I571" s="7">
        <v>1</v>
      </c>
      <c r="J571" s="7" t="s">
        <v>100</v>
      </c>
      <c r="L571" s="7" t="s">
        <v>47</v>
      </c>
      <c r="S571" s="7">
        <v>7</v>
      </c>
      <c r="T571" s="7">
        <v>6</v>
      </c>
      <c r="U571" s="7">
        <v>5</v>
      </c>
      <c r="AE571" s="7">
        <v>530</v>
      </c>
      <c r="AF571" s="7" t="s">
        <v>857</v>
      </c>
      <c r="AG571" s="7" t="s">
        <v>295</v>
      </c>
      <c r="AH571" s="7">
        <v>3</v>
      </c>
      <c r="AI571" s="7" t="s">
        <v>344</v>
      </c>
      <c r="AJ571" s="7" t="s">
        <v>277</v>
      </c>
      <c r="AK571" s="7" t="s">
        <v>335</v>
      </c>
      <c r="AL571" s="7" t="s">
        <v>68</v>
      </c>
      <c r="AN571" s="7" t="s">
        <v>460</v>
      </c>
    </row>
    <row r="572" spans="1:40" ht="22.5" customHeight="1" x14ac:dyDescent="0.2">
      <c r="A572" s="6">
        <v>46013.871457233792</v>
      </c>
      <c r="B572" s="7" t="s">
        <v>1417</v>
      </c>
      <c r="C572" s="7">
        <v>35</v>
      </c>
      <c r="D572" s="7" t="s">
        <v>73</v>
      </c>
      <c r="E572" s="7" t="s">
        <v>58</v>
      </c>
      <c r="F572" s="7" t="s">
        <v>74</v>
      </c>
      <c r="G572" s="7" t="s">
        <v>109</v>
      </c>
      <c r="H572" s="7">
        <v>3</v>
      </c>
      <c r="I572" s="7">
        <v>1</v>
      </c>
      <c r="J572" s="7" t="s">
        <v>431</v>
      </c>
      <c r="M572" s="7" t="s">
        <v>47</v>
      </c>
      <c r="V572" s="7">
        <v>3</v>
      </c>
      <c r="W572" s="7">
        <v>33</v>
      </c>
      <c r="X572" s="7">
        <v>29</v>
      </c>
      <c r="AE572" s="7">
        <v>4890</v>
      </c>
      <c r="AF572" s="7" t="s">
        <v>276</v>
      </c>
      <c r="AG572" s="7" t="s">
        <v>317</v>
      </c>
      <c r="AH572" s="7">
        <v>15</v>
      </c>
      <c r="AI572" s="7" t="s">
        <v>255</v>
      </c>
      <c r="AJ572" s="7" t="s">
        <v>362</v>
      </c>
      <c r="AK572" s="7" t="s">
        <v>307</v>
      </c>
      <c r="AL572" s="7" t="s">
        <v>152</v>
      </c>
      <c r="AM572" s="7" t="s">
        <v>1342</v>
      </c>
    </row>
    <row r="573" spans="1:40" ht="22.5" customHeight="1" x14ac:dyDescent="0.2">
      <c r="A573" s="6">
        <v>46013.872718460647</v>
      </c>
      <c r="B573" s="7" t="s">
        <v>1418</v>
      </c>
      <c r="C573" s="7">
        <v>25</v>
      </c>
      <c r="D573" s="7" t="s">
        <v>42</v>
      </c>
      <c r="E573" s="7" t="s">
        <v>43</v>
      </c>
      <c r="F573" s="7" t="s">
        <v>74</v>
      </c>
      <c r="G573" s="7" t="s">
        <v>60</v>
      </c>
      <c r="H573" s="7">
        <v>3</v>
      </c>
      <c r="I573" s="7">
        <v>1</v>
      </c>
      <c r="J573" s="7" t="s">
        <v>46</v>
      </c>
      <c r="K573" s="7" t="s">
        <v>47</v>
      </c>
      <c r="P573" s="7">
        <v>5</v>
      </c>
      <c r="Q573" s="7">
        <v>15</v>
      </c>
      <c r="R573" s="7">
        <v>10</v>
      </c>
      <c r="AE573" s="7">
        <v>1180</v>
      </c>
      <c r="AF573" s="7" t="s">
        <v>857</v>
      </c>
      <c r="AG573" s="7" t="s">
        <v>1419</v>
      </c>
      <c r="AH573" s="7">
        <v>7</v>
      </c>
      <c r="AI573" s="7" t="s">
        <v>255</v>
      </c>
      <c r="AJ573" s="7" t="s">
        <v>85</v>
      </c>
      <c r="AK573" s="7" t="s">
        <v>256</v>
      </c>
      <c r="AL573" s="7" t="s">
        <v>257</v>
      </c>
      <c r="AM573" s="7" t="s">
        <v>1038</v>
      </c>
    </row>
    <row r="574" spans="1:40" ht="22.5" customHeight="1" x14ac:dyDescent="0.2">
      <c r="A574" s="6">
        <v>46013.874743715278</v>
      </c>
      <c r="B574" s="7" t="s">
        <v>1420</v>
      </c>
      <c r="C574" s="7">
        <v>57</v>
      </c>
      <c r="D574" s="7" t="s">
        <v>73</v>
      </c>
      <c r="E574" s="7" t="s">
        <v>58</v>
      </c>
      <c r="F574" s="7" t="s">
        <v>74</v>
      </c>
      <c r="G574" s="7" t="s">
        <v>60</v>
      </c>
      <c r="H574" s="7">
        <v>5</v>
      </c>
      <c r="I574" s="7">
        <v>2</v>
      </c>
      <c r="J574" s="7" t="s">
        <v>290</v>
      </c>
      <c r="K574" s="7" t="s">
        <v>47</v>
      </c>
      <c r="P574" s="7">
        <v>6</v>
      </c>
      <c r="Q574" s="7">
        <v>5</v>
      </c>
      <c r="R574" s="7">
        <v>4</v>
      </c>
      <c r="Y574" s="7">
        <v>16</v>
      </c>
      <c r="Z574" s="7">
        <v>0</v>
      </c>
      <c r="AA574" s="7">
        <v>65</v>
      </c>
      <c r="AE574" s="7">
        <v>8100</v>
      </c>
      <c r="AF574" s="7" t="s">
        <v>252</v>
      </c>
      <c r="AG574" s="7" t="s">
        <v>1026</v>
      </c>
      <c r="AH574" s="7">
        <v>2</v>
      </c>
      <c r="AI574" s="7" t="s">
        <v>296</v>
      </c>
      <c r="AJ574" s="7" t="s">
        <v>362</v>
      </c>
      <c r="AK574" s="7" t="s">
        <v>307</v>
      </c>
      <c r="AL574" s="7" t="s">
        <v>68</v>
      </c>
      <c r="AN574" s="7" t="s">
        <v>1254</v>
      </c>
    </row>
    <row r="575" spans="1:40" ht="22.5" customHeight="1" x14ac:dyDescent="0.2">
      <c r="A575" s="6">
        <v>46013.876257650467</v>
      </c>
      <c r="B575" s="7" t="s">
        <v>1421</v>
      </c>
      <c r="C575" s="7">
        <v>30</v>
      </c>
      <c r="D575" s="7" t="s">
        <v>73</v>
      </c>
      <c r="E575" s="7" t="s">
        <v>58</v>
      </c>
      <c r="F575" s="7" t="s">
        <v>172</v>
      </c>
      <c r="G575" s="7" t="s">
        <v>155</v>
      </c>
      <c r="H575" s="7">
        <v>5</v>
      </c>
      <c r="I575" s="7">
        <v>2</v>
      </c>
      <c r="J575" s="7" t="s">
        <v>352</v>
      </c>
      <c r="M575" s="7" t="s">
        <v>47</v>
      </c>
      <c r="O575" s="7" t="s">
        <v>353</v>
      </c>
      <c r="V575" s="7">
        <v>2</v>
      </c>
      <c r="W575" s="7">
        <v>22</v>
      </c>
      <c r="X575" s="7">
        <v>18</v>
      </c>
      <c r="AB575" s="7">
        <v>105</v>
      </c>
      <c r="AC575" s="7">
        <v>25</v>
      </c>
      <c r="AD575" s="7">
        <v>1</v>
      </c>
      <c r="AE575" s="7">
        <v>2600</v>
      </c>
      <c r="AF575" s="7" t="s">
        <v>276</v>
      </c>
      <c r="AG575" s="7" t="s">
        <v>253</v>
      </c>
      <c r="AH575" s="7">
        <v>11</v>
      </c>
      <c r="AI575" s="7" t="s">
        <v>559</v>
      </c>
      <c r="AJ575" s="7" t="s">
        <v>362</v>
      </c>
      <c r="AK575" s="7" t="s">
        <v>307</v>
      </c>
      <c r="AL575" s="7" t="s">
        <v>152</v>
      </c>
      <c r="AM575" s="7" t="s">
        <v>258</v>
      </c>
    </row>
    <row r="576" spans="1:40" ht="22.5" customHeight="1" x14ac:dyDescent="0.2">
      <c r="A576" s="6">
        <v>46014.44194203704</v>
      </c>
      <c r="B576" s="7" t="s">
        <v>1422</v>
      </c>
      <c r="C576" s="7">
        <v>18</v>
      </c>
      <c r="D576" s="7" t="s">
        <v>42</v>
      </c>
      <c r="E576" s="7" t="s">
        <v>43</v>
      </c>
      <c r="F576" s="7" t="s">
        <v>339</v>
      </c>
      <c r="G576" s="7" t="s">
        <v>182</v>
      </c>
      <c r="H576" s="7">
        <v>4</v>
      </c>
      <c r="I576" s="7">
        <v>3</v>
      </c>
      <c r="J576" s="7" t="s">
        <v>100</v>
      </c>
      <c r="L576" s="7" t="s">
        <v>47</v>
      </c>
      <c r="S576" s="7">
        <v>2</v>
      </c>
      <c r="T576" s="7">
        <v>2</v>
      </c>
      <c r="U576" s="7">
        <v>6</v>
      </c>
      <c r="AE576" s="7">
        <v>3000</v>
      </c>
      <c r="AF576" s="7" t="s">
        <v>252</v>
      </c>
      <c r="AG576" s="7" t="s">
        <v>253</v>
      </c>
      <c r="AH576" s="7">
        <v>2</v>
      </c>
      <c r="AI576" s="7" t="s">
        <v>344</v>
      </c>
      <c r="AJ576" s="7" t="s">
        <v>54</v>
      </c>
      <c r="AK576" s="7" t="s">
        <v>256</v>
      </c>
      <c r="AL576" s="7" t="s">
        <v>68</v>
      </c>
      <c r="AN576" s="7" t="s">
        <v>684</v>
      </c>
    </row>
    <row r="577" spans="1:41" ht="22.5" customHeight="1" x14ac:dyDescent="0.2">
      <c r="A577" s="6">
        <v>46014.446456597223</v>
      </c>
      <c r="B577" s="7" t="s">
        <v>1423</v>
      </c>
      <c r="C577" s="7">
        <v>21</v>
      </c>
      <c r="D577" s="7" t="s">
        <v>42</v>
      </c>
      <c r="E577" s="7" t="s">
        <v>43</v>
      </c>
      <c r="F577" s="7" t="s">
        <v>562</v>
      </c>
      <c r="H577" s="7">
        <v>6</v>
      </c>
      <c r="I577" s="7">
        <v>2</v>
      </c>
      <c r="J577" s="7" t="s">
        <v>100</v>
      </c>
      <c r="L577" s="7" t="s">
        <v>47</v>
      </c>
      <c r="S577" s="7">
        <v>8</v>
      </c>
      <c r="T577" s="7">
        <v>25</v>
      </c>
      <c r="U577" s="7">
        <v>30</v>
      </c>
      <c r="AG577" s="7" t="s">
        <v>284</v>
      </c>
      <c r="AH577" s="7">
        <v>5</v>
      </c>
      <c r="AI577" s="7" t="s">
        <v>285</v>
      </c>
      <c r="AJ577" s="7" t="s">
        <v>85</v>
      </c>
      <c r="AK577" s="7" t="s">
        <v>1424</v>
      </c>
      <c r="AN577" s="7" t="s">
        <v>259</v>
      </c>
    </row>
    <row r="578" spans="1:41" ht="22.5" customHeight="1" x14ac:dyDescent="0.2">
      <c r="A578" s="6">
        <v>46014.447052094911</v>
      </c>
      <c r="B578" s="7" t="s">
        <v>1425</v>
      </c>
      <c r="C578" s="7">
        <v>21</v>
      </c>
      <c r="D578" s="7" t="s">
        <v>42</v>
      </c>
      <c r="E578" s="7" t="s">
        <v>43</v>
      </c>
      <c r="F578" s="7" t="s">
        <v>562</v>
      </c>
      <c r="G578" s="7" t="s">
        <v>182</v>
      </c>
      <c r="H578" s="7">
        <v>5</v>
      </c>
      <c r="I578" s="7">
        <v>1</v>
      </c>
      <c r="J578" s="7" t="s">
        <v>46</v>
      </c>
      <c r="K578" s="7" t="s">
        <v>47</v>
      </c>
      <c r="P578" s="7">
        <v>7</v>
      </c>
      <c r="Q578" s="7" t="s">
        <v>1426</v>
      </c>
      <c r="R578" s="7" t="s">
        <v>1427</v>
      </c>
      <c r="AI578" s="7" t="s">
        <v>296</v>
      </c>
      <c r="AJ578" s="7" t="s">
        <v>85</v>
      </c>
      <c r="AK578" s="7" t="s">
        <v>256</v>
      </c>
      <c r="AL578" s="7" t="s">
        <v>152</v>
      </c>
      <c r="AM578" s="7" t="s">
        <v>286</v>
      </c>
      <c r="AO578" s="7" t="s">
        <v>1428</v>
      </c>
    </row>
    <row r="579" spans="1:41" ht="22.5" customHeight="1" x14ac:dyDescent="0.2">
      <c r="A579" s="6">
        <v>46014.447240717593</v>
      </c>
      <c r="B579" s="7" t="s">
        <v>1429</v>
      </c>
      <c r="C579" s="7">
        <v>19</v>
      </c>
      <c r="D579" s="7" t="s">
        <v>42</v>
      </c>
      <c r="E579" s="7" t="s">
        <v>43</v>
      </c>
      <c r="F579" s="7" t="s">
        <v>562</v>
      </c>
      <c r="G579" s="7" t="s">
        <v>182</v>
      </c>
      <c r="H579" s="7">
        <v>6</v>
      </c>
      <c r="I579" s="7">
        <v>1</v>
      </c>
      <c r="J579" s="7" t="s">
        <v>46</v>
      </c>
      <c r="K579" s="7" t="s">
        <v>47</v>
      </c>
      <c r="P579" s="7" t="s">
        <v>1430</v>
      </c>
      <c r="Q579" s="7" t="s">
        <v>1431</v>
      </c>
      <c r="R579" s="7" t="s">
        <v>1432</v>
      </c>
      <c r="AF579" s="7" t="s">
        <v>252</v>
      </c>
      <c r="AG579" s="7" t="s">
        <v>253</v>
      </c>
      <c r="AH579" s="7" t="s">
        <v>1433</v>
      </c>
      <c r="AI579" s="7" t="s">
        <v>255</v>
      </c>
      <c r="AJ579" s="7" t="s">
        <v>362</v>
      </c>
      <c r="AK579" s="7" t="s">
        <v>256</v>
      </c>
    </row>
    <row r="580" spans="1:41" ht="22.5" customHeight="1" x14ac:dyDescent="0.2">
      <c r="A580" s="6">
        <v>46014.447683645834</v>
      </c>
      <c r="B580" s="7" t="s">
        <v>1434</v>
      </c>
      <c r="C580" s="7">
        <v>19</v>
      </c>
      <c r="D580" s="7" t="s">
        <v>42</v>
      </c>
      <c r="E580" s="7" t="s">
        <v>43</v>
      </c>
      <c r="F580" s="7" t="s">
        <v>562</v>
      </c>
      <c r="G580" s="7" t="s">
        <v>182</v>
      </c>
      <c r="H580" s="7">
        <v>6</v>
      </c>
      <c r="I580" s="7">
        <v>1</v>
      </c>
      <c r="J580" s="7" t="s">
        <v>46</v>
      </c>
      <c r="K580" s="7" t="s">
        <v>47</v>
      </c>
      <c r="P580" s="7">
        <v>5</v>
      </c>
      <c r="Q580" s="7">
        <v>27000</v>
      </c>
      <c r="R580" s="7" t="s">
        <v>1435</v>
      </c>
      <c r="AI580" s="7" t="s">
        <v>296</v>
      </c>
      <c r="AJ580" s="7" t="s">
        <v>85</v>
      </c>
      <c r="AK580" s="7" t="s">
        <v>256</v>
      </c>
      <c r="AL580" s="7" t="s">
        <v>152</v>
      </c>
      <c r="AM580" s="7" t="s">
        <v>286</v>
      </c>
      <c r="AO580" s="7" t="s">
        <v>1436</v>
      </c>
    </row>
    <row r="581" spans="1:41" ht="22.5" customHeight="1" x14ac:dyDescent="0.2">
      <c r="A581" s="6">
        <v>46014.447731527776</v>
      </c>
      <c r="B581" s="7" t="s">
        <v>1437</v>
      </c>
      <c r="C581" s="7">
        <v>21</v>
      </c>
      <c r="D581" s="7" t="s">
        <v>42</v>
      </c>
      <c r="E581" s="7" t="s">
        <v>43</v>
      </c>
      <c r="F581" s="7" t="s">
        <v>562</v>
      </c>
      <c r="H581" s="7">
        <v>6</v>
      </c>
      <c r="I581" s="7">
        <v>2</v>
      </c>
      <c r="J581" s="7" t="s">
        <v>100</v>
      </c>
      <c r="L581" s="7" t="s">
        <v>47</v>
      </c>
      <c r="P581" s="7">
        <v>3</v>
      </c>
      <c r="Q581" s="7" t="s">
        <v>420</v>
      </c>
      <c r="S581" s="7">
        <v>1</v>
      </c>
      <c r="T581" s="7">
        <v>6</v>
      </c>
      <c r="U581" s="7">
        <v>7</v>
      </c>
      <c r="AF581" s="7" t="s">
        <v>252</v>
      </c>
      <c r="AG581" s="7" t="s">
        <v>253</v>
      </c>
      <c r="AH581" s="7">
        <v>6</v>
      </c>
      <c r="AI581" s="7" t="s">
        <v>285</v>
      </c>
      <c r="AJ581" s="7" t="s">
        <v>54</v>
      </c>
      <c r="AK581" s="7" t="s">
        <v>256</v>
      </c>
      <c r="AL581" s="7" t="s">
        <v>152</v>
      </c>
      <c r="AM581" s="7" t="s">
        <v>363</v>
      </c>
    </row>
    <row r="582" spans="1:41" ht="22.5" customHeight="1" x14ac:dyDescent="0.2">
      <c r="A582" s="6">
        <v>46014.453126817127</v>
      </c>
      <c r="B582" s="7" t="s">
        <v>1438</v>
      </c>
      <c r="C582" s="7">
        <v>18</v>
      </c>
      <c r="D582" s="7" t="s">
        <v>42</v>
      </c>
      <c r="E582" s="7" t="s">
        <v>43</v>
      </c>
      <c r="F582" s="7" t="s">
        <v>562</v>
      </c>
      <c r="G582" s="7" t="s">
        <v>182</v>
      </c>
      <c r="H582" s="7">
        <v>4</v>
      </c>
      <c r="I582" s="7">
        <v>1</v>
      </c>
      <c r="J582" s="7" t="s">
        <v>100</v>
      </c>
      <c r="L582" s="7" t="s">
        <v>47</v>
      </c>
      <c r="S582" s="7">
        <v>1</v>
      </c>
      <c r="T582" s="7">
        <v>5</v>
      </c>
      <c r="U582" s="7">
        <v>30</v>
      </c>
      <c r="AE582" s="7">
        <v>3000</v>
      </c>
      <c r="AF582" s="7" t="s">
        <v>252</v>
      </c>
      <c r="AG582" s="7" t="s">
        <v>253</v>
      </c>
      <c r="AH582" s="7" t="s">
        <v>367</v>
      </c>
      <c r="AI582" s="7" t="s">
        <v>285</v>
      </c>
      <c r="AJ582" s="7" t="s">
        <v>362</v>
      </c>
      <c r="AK582" s="7" t="s">
        <v>307</v>
      </c>
      <c r="AL582" s="7" t="s">
        <v>68</v>
      </c>
      <c r="AN582" s="7" t="s">
        <v>998</v>
      </c>
    </row>
    <row r="583" spans="1:41" ht="22.5" customHeight="1" x14ac:dyDescent="0.2">
      <c r="A583" s="6">
        <v>46014.460955821763</v>
      </c>
      <c r="B583" s="7" t="s">
        <v>1439</v>
      </c>
      <c r="C583" s="7">
        <v>18</v>
      </c>
      <c r="D583" s="7" t="s">
        <v>42</v>
      </c>
      <c r="E583" s="7" t="s">
        <v>58</v>
      </c>
      <c r="F583" s="7" t="s">
        <v>562</v>
      </c>
      <c r="G583" s="7" t="s">
        <v>182</v>
      </c>
      <c r="H583" s="7">
        <v>6</v>
      </c>
      <c r="I583" s="7">
        <v>1</v>
      </c>
      <c r="J583" s="7" t="s">
        <v>100</v>
      </c>
      <c r="L583" s="7" t="s">
        <v>47</v>
      </c>
      <c r="S583" s="7">
        <v>4</v>
      </c>
      <c r="T583" s="7">
        <v>5</v>
      </c>
      <c r="U583" s="7">
        <v>25</v>
      </c>
      <c r="AF583" s="7" t="s">
        <v>252</v>
      </c>
      <c r="AG583" s="7" t="s">
        <v>253</v>
      </c>
      <c r="AH583" s="7">
        <v>5</v>
      </c>
      <c r="AI583" s="7" t="s">
        <v>285</v>
      </c>
      <c r="AJ583" s="7" t="s">
        <v>362</v>
      </c>
      <c r="AK583" s="7" t="s">
        <v>307</v>
      </c>
      <c r="AL583" s="7" t="s">
        <v>68</v>
      </c>
      <c r="AN583" s="7" t="s">
        <v>998</v>
      </c>
    </row>
    <row r="584" spans="1:41" ht="22.5" customHeight="1" x14ac:dyDescent="0.2">
      <c r="A584" s="6">
        <v>46014.46202417824</v>
      </c>
      <c r="B584" s="7" t="s">
        <v>1440</v>
      </c>
      <c r="C584" s="7">
        <v>21</v>
      </c>
      <c r="D584" s="7" t="s">
        <v>73</v>
      </c>
      <c r="E584" s="7" t="s">
        <v>43</v>
      </c>
      <c r="F584" s="7" t="s">
        <v>562</v>
      </c>
      <c r="G584" s="7" t="s">
        <v>182</v>
      </c>
      <c r="H584" s="7">
        <v>3</v>
      </c>
      <c r="I584" s="7">
        <v>1</v>
      </c>
      <c r="J584" s="7" t="s">
        <v>46</v>
      </c>
      <c r="K584" s="7" t="s">
        <v>47</v>
      </c>
      <c r="P584" s="7">
        <v>4</v>
      </c>
      <c r="Q584" s="7">
        <v>12</v>
      </c>
      <c r="R584" s="7">
        <v>35</v>
      </c>
      <c r="AF584" s="7" t="s">
        <v>252</v>
      </c>
      <c r="AG584" s="7" t="s">
        <v>253</v>
      </c>
      <c r="AH584" s="7">
        <v>12</v>
      </c>
      <c r="AI584" s="7" t="s">
        <v>285</v>
      </c>
      <c r="AJ584" s="7" t="s">
        <v>96</v>
      </c>
      <c r="AK584" s="7" t="s">
        <v>256</v>
      </c>
      <c r="AL584" s="7" t="s">
        <v>68</v>
      </c>
      <c r="AN584" s="7" t="s">
        <v>638</v>
      </c>
    </row>
    <row r="585" spans="1:41" ht="22.5" customHeight="1" x14ac:dyDescent="0.2">
      <c r="A585" s="6">
        <v>46014.463377604166</v>
      </c>
      <c r="B585" s="7" t="s">
        <v>1441</v>
      </c>
      <c r="C585" s="7">
        <v>22</v>
      </c>
      <c r="D585" s="7" t="s">
        <v>73</v>
      </c>
      <c r="E585" s="7" t="s">
        <v>43</v>
      </c>
      <c r="F585" s="7" t="s">
        <v>562</v>
      </c>
      <c r="G585" s="7" t="s">
        <v>182</v>
      </c>
      <c r="H585" s="7">
        <v>3</v>
      </c>
      <c r="I585" s="7">
        <v>1</v>
      </c>
      <c r="J585" s="7" t="s">
        <v>46</v>
      </c>
      <c r="K585" s="7" t="s">
        <v>47</v>
      </c>
      <c r="P585" s="7">
        <v>7</v>
      </c>
      <c r="Q585" s="7">
        <v>6</v>
      </c>
      <c r="R585" s="7">
        <v>22</v>
      </c>
      <c r="AF585" s="7" t="s">
        <v>252</v>
      </c>
      <c r="AG585" s="7" t="s">
        <v>253</v>
      </c>
      <c r="AH585" s="7">
        <v>6</v>
      </c>
      <c r="AI585" s="7" t="s">
        <v>285</v>
      </c>
      <c r="AJ585" s="7" t="s">
        <v>277</v>
      </c>
      <c r="AK585" s="7" t="s">
        <v>256</v>
      </c>
      <c r="AL585" s="7" t="s">
        <v>152</v>
      </c>
      <c r="AM585" s="7" t="s">
        <v>286</v>
      </c>
    </row>
    <row r="586" spans="1:41" ht="22.5" customHeight="1" x14ac:dyDescent="0.2">
      <c r="A586" s="6">
        <v>46014.590774837961</v>
      </c>
      <c r="B586" s="7" t="s">
        <v>1442</v>
      </c>
      <c r="C586" s="7">
        <v>30</v>
      </c>
      <c r="D586" s="7" t="s">
        <v>73</v>
      </c>
      <c r="E586" s="7" t="s">
        <v>58</v>
      </c>
      <c r="F586" s="7" t="s">
        <v>172</v>
      </c>
      <c r="G586" s="7" t="s">
        <v>45</v>
      </c>
      <c r="H586" s="7">
        <v>5</v>
      </c>
      <c r="I586" s="7">
        <v>2</v>
      </c>
      <c r="J586" s="7" t="s">
        <v>352</v>
      </c>
      <c r="M586" s="7" t="s">
        <v>47</v>
      </c>
      <c r="O586" s="7" t="s">
        <v>353</v>
      </c>
      <c r="V586" s="7">
        <v>2</v>
      </c>
      <c r="W586" s="7">
        <v>22</v>
      </c>
      <c r="X586" s="7">
        <v>18</v>
      </c>
      <c r="AB586" s="7">
        <v>105</v>
      </c>
      <c r="AC586" s="7">
        <v>25</v>
      </c>
      <c r="AD586" s="7">
        <v>1</v>
      </c>
      <c r="AE586" s="7">
        <v>2600</v>
      </c>
      <c r="AF586" s="7" t="s">
        <v>276</v>
      </c>
      <c r="AG586" s="7" t="s">
        <v>317</v>
      </c>
      <c r="AH586" s="7">
        <v>11</v>
      </c>
      <c r="AI586" s="7" t="s">
        <v>559</v>
      </c>
      <c r="AJ586" s="7" t="s">
        <v>362</v>
      </c>
      <c r="AK586" s="7" t="s">
        <v>307</v>
      </c>
      <c r="AL586" s="7" t="s">
        <v>68</v>
      </c>
      <c r="AN586" s="7" t="s">
        <v>259</v>
      </c>
    </row>
    <row r="587" spans="1:41" ht="22.5" customHeight="1" x14ac:dyDescent="0.2">
      <c r="A587" s="6">
        <v>46014.592063495365</v>
      </c>
      <c r="B587" s="7" t="s">
        <v>1443</v>
      </c>
      <c r="C587" s="7">
        <v>56</v>
      </c>
      <c r="D587" s="7" t="s">
        <v>73</v>
      </c>
      <c r="E587" s="7" t="s">
        <v>43</v>
      </c>
      <c r="F587" s="7" t="s">
        <v>44</v>
      </c>
      <c r="G587" s="7" t="s">
        <v>45</v>
      </c>
      <c r="H587" s="7">
        <v>6</v>
      </c>
      <c r="I587" s="7">
        <v>2</v>
      </c>
      <c r="J587" s="7" t="s">
        <v>290</v>
      </c>
      <c r="K587" s="7" t="s">
        <v>47</v>
      </c>
      <c r="N587" s="7" t="s">
        <v>291</v>
      </c>
      <c r="P587" s="7">
        <v>15</v>
      </c>
      <c r="Q587" s="7">
        <v>5</v>
      </c>
      <c r="R587" s="7">
        <v>4</v>
      </c>
      <c r="Y587" s="7">
        <v>16</v>
      </c>
      <c r="Z587" s="7">
        <v>0</v>
      </c>
      <c r="AA587" s="7">
        <v>65</v>
      </c>
      <c r="AE587" s="7">
        <v>8100</v>
      </c>
      <c r="AF587" s="7" t="s">
        <v>252</v>
      </c>
      <c r="AG587" s="7" t="s">
        <v>317</v>
      </c>
      <c r="AH587" s="7">
        <v>2</v>
      </c>
      <c r="AI587" s="7" t="s">
        <v>296</v>
      </c>
      <c r="AJ587" s="7" t="s">
        <v>362</v>
      </c>
      <c r="AK587" s="7" t="s">
        <v>307</v>
      </c>
      <c r="AL587" s="7" t="s">
        <v>257</v>
      </c>
      <c r="AM587" s="7" t="s">
        <v>286</v>
      </c>
    </row>
    <row r="588" spans="1:41" ht="22.5" customHeight="1" x14ac:dyDescent="0.2">
      <c r="A588" s="6">
        <v>46014.595464907412</v>
      </c>
      <c r="B588" s="7" t="s">
        <v>1444</v>
      </c>
      <c r="C588" s="7">
        <v>36</v>
      </c>
      <c r="D588" s="7" t="s">
        <v>42</v>
      </c>
      <c r="E588" s="7" t="s">
        <v>43</v>
      </c>
      <c r="F588" s="7" t="s">
        <v>74</v>
      </c>
      <c r="G588" s="7" t="s">
        <v>45</v>
      </c>
      <c r="H588" s="7">
        <v>4</v>
      </c>
      <c r="I588" s="7">
        <v>1</v>
      </c>
      <c r="J588" s="7" t="s">
        <v>46</v>
      </c>
      <c r="K588" s="7" t="s">
        <v>47</v>
      </c>
      <c r="P588" s="7">
        <v>4</v>
      </c>
      <c r="Q588" s="7">
        <v>15</v>
      </c>
      <c r="R588" s="7">
        <v>9</v>
      </c>
      <c r="AE588" s="7">
        <v>1170</v>
      </c>
      <c r="AF588" s="7" t="s">
        <v>159</v>
      </c>
      <c r="AG588" s="7" t="s">
        <v>317</v>
      </c>
      <c r="AH588" s="7">
        <v>7</v>
      </c>
      <c r="AI588" s="7" t="s">
        <v>255</v>
      </c>
      <c r="AJ588" s="7" t="s">
        <v>362</v>
      </c>
      <c r="AK588" s="7" t="s">
        <v>307</v>
      </c>
      <c r="AL588" s="7" t="s">
        <v>257</v>
      </c>
      <c r="AM588" s="7" t="s">
        <v>401</v>
      </c>
    </row>
    <row r="589" spans="1:41" ht="22.5" customHeight="1" x14ac:dyDescent="0.2">
      <c r="A589" s="6">
        <v>46014.597663217588</v>
      </c>
      <c r="B589" s="7" t="s">
        <v>1417</v>
      </c>
      <c r="C589" s="7">
        <v>34</v>
      </c>
      <c r="D589" s="7" t="s">
        <v>73</v>
      </c>
      <c r="E589" s="7" t="s">
        <v>43</v>
      </c>
      <c r="F589" s="7" t="s">
        <v>74</v>
      </c>
      <c r="G589" s="7" t="s">
        <v>45</v>
      </c>
      <c r="H589" s="7">
        <v>4</v>
      </c>
      <c r="I589" s="7">
        <v>1</v>
      </c>
      <c r="J589" s="7" t="s">
        <v>431</v>
      </c>
      <c r="M589" s="7" t="s">
        <v>47</v>
      </c>
      <c r="V589" s="7">
        <v>3</v>
      </c>
      <c r="W589" s="7">
        <v>32</v>
      </c>
      <c r="X589" s="7">
        <v>28</v>
      </c>
      <c r="AE589" s="7">
        <v>4480</v>
      </c>
      <c r="AF589" s="7" t="s">
        <v>252</v>
      </c>
      <c r="AG589" s="7" t="s">
        <v>284</v>
      </c>
      <c r="AH589" s="7">
        <v>16</v>
      </c>
      <c r="AI589" s="7" t="s">
        <v>255</v>
      </c>
      <c r="AJ589" s="7" t="s">
        <v>85</v>
      </c>
      <c r="AK589" s="7" t="s">
        <v>256</v>
      </c>
      <c r="AL589" s="7" t="s">
        <v>257</v>
      </c>
      <c r="AM589" s="7" t="s">
        <v>368</v>
      </c>
    </row>
    <row r="590" spans="1:41" ht="22.5" customHeight="1" x14ac:dyDescent="0.2">
      <c r="A590" s="6">
        <v>46014.860271527781</v>
      </c>
      <c r="B590" s="7" t="s">
        <v>1445</v>
      </c>
      <c r="C590" s="7">
        <v>41</v>
      </c>
      <c r="D590" s="7" t="s">
        <v>73</v>
      </c>
      <c r="E590" s="7" t="s">
        <v>58</v>
      </c>
      <c r="F590" s="7" t="s">
        <v>172</v>
      </c>
      <c r="G590" s="7" t="s">
        <v>60</v>
      </c>
      <c r="H590" s="7">
        <v>4</v>
      </c>
      <c r="I590" s="7">
        <v>2</v>
      </c>
      <c r="J590" s="7" t="s">
        <v>246</v>
      </c>
      <c r="K590" s="7" t="s">
        <v>47</v>
      </c>
      <c r="M590" s="7" t="s">
        <v>47</v>
      </c>
      <c r="P590" s="7">
        <v>6</v>
      </c>
      <c r="Q590" s="7">
        <v>10</v>
      </c>
      <c r="R590" s="7">
        <v>6</v>
      </c>
      <c r="V590" s="7">
        <v>5</v>
      </c>
      <c r="W590" s="7">
        <v>20</v>
      </c>
      <c r="X590" s="7">
        <v>21</v>
      </c>
      <c r="AE590" s="7">
        <v>3510</v>
      </c>
      <c r="AF590" s="7" t="s">
        <v>252</v>
      </c>
      <c r="AG590" s="7" t="s">
        <v>317</v>
      </c>
      <c r="AH590" s="7">
        <v>10</v>
      </c>
      <c r="AI590" s="7" t="s">
        <v>559</v>
      </c>
      <c r="AJ590" s="7" t="s">
        <v>362</v>
      </c>
      <c r="AK590" s="7" t="s">
        <v>307</v>
      </c>
      <c r="AL590" s="7" t="s">
        <v>68</v>
      </c>
      <c r="AN590" s="7" t="s">
        <v>684</v>
      </c>
    </row>
    <row r="591" spans="1:41" ht="22.5" customHeight="1" x14ac:dyDescent="0.2">
      <c r="A591" s="6">
        <v>46014.861641666663</v>
      </c>
      <c r="B591" s="7" t="s">
        <v>1446</v>
      </c>
      <c r="C591" s="7">
        <v>31</v>
      </c>
      <c r="D591" s="7" t="s">
        <v>42</v>
      </c>
      <c r="E591" s="7" t="s">
        <v>58</v>
      </c>
      <c r="F591" s="7" t="s">
        <v>144</v>
      </c>
      <c r="G591" s="7" t="s">
        <v>89</v>
      </c>
      <c r="H591" s="7">
        <v>5</v>
      </c>
      <c r="I591" s="7">
        <v>1</v>
      </c>
      <c r="J591" s="7" t="s">
        <v>100</v>
      </c>
      <c r="L591" s="7" t="s">
        <v>47</v>
      </c>
      <c r="S591" s="7">
        <v>6</v>
      </c>
      <c r="T591" s="7">
        <v>4</v>
      </c>
      <c r="U591" s="7">
        <v>6</v>
      </c>
      <c r="AE591" s="7">
        <v>520</v>
      </c>
      <c r="AF591" s="7" t="s">
        <v>276</v>
      </c>
      <c r="AG591" s="7" t="s">
        <v>317</v>
      </c>
      <c r="AH591" s="7">
        <v>2</v>
      </c>
      <c r="AI591" s="7" t="s">
        <v>306</v>
      </c>
      <c r="AJ591" s="7" t="s">
        <v>85</v>
      </c>
      <c r="AK591" s="7" t="s">
        <v>335</v>
      </c>
      <c r="AL591" s="7" t="s">
        <v>257</v>
      </c>
      <c r="AM591" s="7" t="s">
        <v>1447</v>
      </c>
    </row>
    <row r="592" spans="1:41" ht="22.5" customHeight="1" x14ac:dyDescent="0.2">
      <c r="A592" s="6">
        <v>46014.863308321757</v>
      </c>
      <c r="B592" s="7" t="s">
        <v>1448</v>
      </c>
      <c r="C592" s="7">
        <v>46</v>
      </c>
      <c r="D592" s="7" t="s">
        <v>73</v>
      </c>
      <c r="E592" s="7" t="s">
        <v>43</v>
      </c>
      <c r="F592" s="7" t="s">
        <v>44</v>
      </c>
      <c r="G592" s="7" t="s">
        <v>60</v>
      </c>
      <c r="H592" s="7">
        <v>5</v>
      </c>
      <c r="I592" s="7">
        <v>2</v>
      </c>
      <c r="J592" s="7" t="s">
        <v>290</v>
      </c>
      <c r="K592" s="7" t="s">
        <v>47</v>
      </c>
      <c r="N592" s="7" t="s">
        <v>291</v>
      </c>
      <c r="P592" s="7">
        <v>13</v>
      </c>
      <c r="Q592" s="7">
        <v>5</v>
      </c>
      <c r="R592" s="7">
        <v>4</v>
      </c>
      <c r="Y592" s="7">
        <v>11</v>
      </c>
      <c r="Z592" s="7">
        <v>0</v>
      </c>
      <c r="AA592" s="7">
        <v>85</v>
      </c>
      <c r="AE592" s="7">
        <v>7200</v>
      </c>
      <c r="AF592" s="7" t="s">
        <v>252</v>
      </c>
      <c r="AG592" s="7" t="s">
        <v>361</v>
      </c>
      <c r="AH592" s="7">
        <v>7</v>
      </c>
      <c r="AI592" s="7" t="s">
        <v>296</v>
      </c>
      <c r="AJ592" s="7" t="s">
        <v>85</v>
      </c>
      <c r="AK592" s="7" t="s">
        <v>256</v>
      </c>
      <c r="AL592" s="7" t="s">
        <v>257</v>
      </c>
      <c r="AM592" s="7" t="s">
        <v>286</v>
      </c>
    </row>
    <row r="593" spans="1:41" ht="22.5" customHeight="1" x14ac:dyDescent="0.2">
      <c r="A593" s="6">
        <v>46015.496364733801</v>
      </c>
      <c r="B593" s="7" t="s">
        <v>1449</v>
      </c>
      <c r="C593" s="7">
        <v>32</v>
      </c>
      <c r="D593" s="7" t="s">
        <v>73</v>
      </c>
      <c r="E593" s="7" t="s">
        <v>58</v>
      </c>
      <c r="F593" s="7" t="s">
        <v>74</v>
      </c>
      <c r="G593" s="7" t="s">
        <v>45</v>
      </c>
      <c r="H593" s="7">
        <v>3</v>
      </c>
      <c r="I593" s="7">
        <v>1</v>
      </c>
      <c r="J593" s="7" t="s">
        <v>46</v>
      </c>
      <c r="K593" s="7" t="s">
        <v>47</v>
      </c>
      <c r="P593" s="7" t="s">
        <v>149</v>
      </c>
      <c r="Q593" s="7" t="s">
        <v>412</v>
      </c>
      <c r="R593" s="7" t="s">
        <v>237</v>
      </c>
      <c r="AE593" s="7" t="s">
        <v>1450</v>
      </c>
      <c r="AF593" s="7" t="s">
        <v>252</v>
      </c>
      <c r="AG593" s="7" t="s">
        <v>361</v>
      </c>
      <c r="AH593" s="7" t="s">
        <v>646</v>
      </c>
      <c r="AI593" s="7" t="s">
        <v>255</v>
      </c>
      <c r="AJ593" s="7" t="s">
        <v>85</v>
      </c>
      <c r="AK593" s="7" t="s">
        <v>256</v>
      </c>
      <c r="AL593" s="7" t="s">
        <v>257</v>
      </c>
      <c r="AM593" s="7" t="s">
        <v>278</v>
      </c>
      <c r="AO593" s="7" t="s">
        <v>1451</v>
      </c>
    </row>
    <row r="594" spans="1:41" ht="22.5" customHeight="1" x14ac:dyDescent="0.2">
      <c r="A594" s="6">
        <v>46015.498316481477</v>
      </c>
      <c r="B594" s="7" t="s">
        <v>1452</v>
      </c>
      <c r="C594" s="7">
        <v>41</v>
      </c>
      <c r="D594" s="7" t="s">
        <v>42</v>
      </c>
      <c r="E594" s="7" t="s">
        <v>43</v>
      </c>
      <c r="F594" s="7" t="s">
        <v>144</v>
      </c>
      <c r="G594" s="7" t="s">
        <v>89</v>
      </c>
      <c r="H594" s="7">
        <v>5</v>
      </c>
      <c r="I594" s="7">
        <v>1</v>
      </c>
      <c r="J594" s="7" t="s">
        <v>100</v>
      </c>
      <c r="L594" s="7" t="s">
        <v>47</v>
      </c>
      <c r="S594" s="7" t="s">
        <v>240</v>
      </c>
      <c r="T594" s="7" t="s">
        <v>533</v>
      </c>
      <c r="U594" s="7" t="s">
        <v>553</v>
      </c>
      <c r="AE594" s="7" t="s">
        <v>1453</v>
      </c>
      <c r="AF594" s="7" t="s">
        <v>159</v>
      </c>
      <c r="AG594" s="7" t="s">
        <v>284</v>
      </c>
      <c r="AH594" s="7" t="s">
        <v>119</v>
      </c>
      <c r="AI594" s="7" t="s">
        <v>344</v>
      </c>
      <c r="AJ594" s="7" t="s">
        <v>277</v>
      </c>
      <c r="AK594" s="7" t="s">
        <v>335</v>
      </c>
      <c r="AL594" s="7" t="s">
        <v>257</v>
      </c>
      <c r="AM594" s="7" t="s">
        <v>368</v>
      </c>
      <c r="AO594" s="7" t="s">
        <v>1454</v>
      </c>
    </row>
    <row r="595" spans="1:41" ht="22.5" customHeight="1" x14ac:dyDescent="0.2">
      <c r="A595" s="6">
        <v>46017.363597673611</v>
      </c>
      <c r="B595" s="7" t="s">
        <v>1455</v>
      </c>
      <c r="C595" s="7">
        <v>39</v>
      </c>
      <c r="D595" s="7" t="s">
        <v>73</v>
      </c>
      <c r="E595" s="7" t="s">
        <v>58</v>
      </c>
      <c r="F595" s="7" t="s">
        <v>74</v>
      </c>
      <c r="G595" s="7" t="s">
        <v>45</v>
      </c>
      <c r="H595" s="7">
        <v>5</v>
      </c>
      <c r="I595" s="7">
        <v>1</v>
      </c>
      <c r="J595" s="7" t="s">
        <v>46</v>
      </c>
      <c r="K595" s="7" t="s">
        <v>47</v>
      </c>
      <c r="P595" s="7">
        <v>5</v>
      </c>
      <c r="Q595" s="7">
        <v>20</v>
      </c>
      <c r="R595" s="7">
        <v>11</v>
      </c>
      <c r="AE595" s="7">
        <v>1180</v>
      </c>
      <c r="AF595" s="7" t="s">
        <v>323</v>
      </c>
      <c r="AG595" s="7" t="s">
        <v>295</v>
      </c>
      <c r="AH595" s="7">
        <v>10</v>
      </c>
      <c r="AI595" s="7" t="s">
        <v>255</v>
      </c>
      <c r="AJ595" s="7" t="s">
        <v>362</v>
      </c>
      <c r="AK595" s="7" t="s">
        <v>307</v>
      </c>
      <c r="AL595" s="7" t="s">
        <v>257</v>
      </c>
      <c r="AM595" s="7" t="s">
        <v>278</v>
      </c>
    </row>
    <row r="596" spans="1:41" ht="22.5" customHeight="1" x14ac:dyDescent="0.2">
      <c r="A596" s="6">
        <v>46017.364703703701</v>
      </c>
      <c r="B596" s="7" t="s">
        <v>1456</v>
      </c>
      <c r="C596" s="7">
        <v>57</v>
      </c>
      <c r="D596" s="7" t="s">
        <v>73</v>
      </c>
      <c r="E596" s="7" t="s">
        <v>43</v>
      </c>
      <c r="F596" s="7" t="s">
        <v>339</v>
      </c>
      <c r="G596" s="7" t="s">
        <v>45</v>
      </c>
      <c r="H596" s="7">
        <v>5</v>
      </c>
      <c r="I596" s="7">
        <v>2</v>
      </c>
      <c r="J596" s="7" t="s">
        <v>290</v>
      </c>
      <c r="K596" s="7" t="s">
        <v>47</v>
      </c>
      <c r="N596" s="7" t="s">
        <v>291</v>
      </c>
      <c r="P596" s="7">
        <v>11</v>
      </c>
      <c r="Q596" s="7">
        <v>6</v>
      </c>
      <c r="R596" s="7">
        <v>4</v>
      </c>
      <c r="Y596" s="7">
        <v>9</v>
      </c>
      <c r="Z596" s="7">
        <v>0</v>
      </c>
      <c r="AA596" s="7">
        <v>52</v>
      </c>
      <c r="AE596" s="7">
        <v>6600</v>
      </c>
      <c r="AF596" s="7" t="s">
        <v>159</v>
      </c>
      <c r="AG596" s="7" t="s">
        <v>284</v>
      </c>
      <c r="AH596" s="7">
        <v>3</v>
      </c>
      <c r="AI596" s="7" t="s">
        <v>296</v>
      </c>
      <c r="AJ596" s="7" t="s">
        <v>362</v>
      </c>
      <c r="AK596" s="7" t="s">
        <v>307</v>
      </c>
      <c r="AL596" s="7" t="s">
        <v>257</v>
      </c>
      <c r="AM596" s="7" t="s">
        <v>258</v>
      </c>
    </row>
    <row r="597" spans="1:41" ht="22.5" customHeight="1" x14ac:dyDescent="0.2">
      <c r="A597" s="6">
        <v>46017.367391250002</v>
      </c>
      <c r="B597" s="7" t="s">
        <v>1187</v>
      </c>
      <c r="C597" s="7">
        <v>45</v>
      </c>
      <c r="D597" s="7" t="s">
        <v>42</v>
      </c>
      <c r="E597" s="7" t="s">
        <v>43</v>
      </c>
      <c r="F597" s="7" t="s">
        <v>74</v>
      </c>
      <c r="G597" s="7" t="s">
        <v>45</v>
      </c>
      <c r="H597" s="7">
        <v>5</v>
      </c>
      <c r="I597" s="7">
        <v>1</v>
      </c>
      <c r="J597" s="7" t="s">
        <v>100</v>
      </c>
      <c r="L597" s="7" t="s">
        <v>47</v>
      </c>
      <c r="S597" s="7">
        <v>2</v>
      </c>
      <c r="T597" s="7">
        <v>9</v>
      </c>
      <c r="U597" s="7">
        <v>6</v>
      </c>
      <c r="AE597" s="7">
        <v>680</v>
      </c>
      <c r="AF597" s="7" t="s">
        <v>276</v>
      </c>
      <c r="AG597" s="7" t="s">
        <v>361</v>
      </c>
      <c r="AH597" s="7">
        <v>3</v>
      </c>
      <c r="AI597" s="7" t="s">
        <v>255</v>
      </c>
      <c r="AJ597" s="7" t="s">
        <v>85</v>
      </c>
      <c r="AK597" s="7" t="s">
        <v>256</v>
      </c>
      <c r="AL597" s="7" t="s">
        <v>257</v>
      </c>
      <c r="AM597" s="7" t="s">
        <v>368</v>
      </c>
    </row>
    <row r="598" spans="1:41" ht="22.5" customHeight="1" x14ac:dyDescent="0.2">
      <c r="A598" s="6">
        <v>46017.368429351853</v>
      </c>
      <c r="B598" s="7" t="s">
        <v>1457</v>
      </c>
      <c r="C598" s="7">
        <v>52</v>
      </c>
      <c r="D598" s="7" t="s">
        <v>42</v>
      </c>
      <c r="E598" s="7" t="s">
        <v>58</v>
      </c>
      <c r="F598" s="7" t="s">
        <v>138</v>
      </c>
      <c r="G598" s="7" t="s">
        <v>60</v>
      </c>
      <c r="H598" s="7">
        <v>5</v>
      </c>
      <c r="I598" s="7">
        <v>1</v>
      </c>
      <c r="J598" s="7" t="s">
        <v>431</v>
      </c>
      <c r="M598" s="7" t="s">
        <v>47</v>
      </c>
      <c r="V598" s="7">
        <v>8</v>
      </c>
      <c r="W598" s="7">
        <v>18</v>
      </c>
      <c r="X598" s="7">
        <v>19</v>
      </c>
      <c r="AE598" s="7">
        <v>2000</v>
      </c>
      <c r="AF598" s="7" t="s">
        <v>252</v>
      </c>
      <c r="AG598" s="7" t="s">
        <v>317</v>
      </c>
      <c r="AH598" s="7">
        <v>9</v>
      </c>
      <c r="AI598" s="7" t="s">
        <v>255</v>
      </c>
      <c r="AJ598" s="7" t="s">
        <v>362</v>
      </c>
      <c r="AK598" s="7" t="s">
        <v>307</v>
      </c>
      <c r="AL598" s="7" t="s">
        <v>257</v>
      </c>
      <c r="AM598" s="7" t="s">
        <v>258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D568"/>
  <sheetViews>
    <sheetView topLeftCell="W1" zoomScale="96" zoomScaleNormal="96" workbookViewId="0">
      <selection activeCell="AE4" sqref="AE4"/>
    </sheetView>
  </sheetViews>
  <sheetFormatPr defaultColWidth="12.5703125" defaultRowHeight="12.75" x14ac:dyDescent="0.2"/>
  <cols>
    <col min="1" max="1" width="13.28515625" style="13" customWidth="1"/>
    <col min="2" max="2" width="12.42578125" style="16" customWidth="1"/>
    <col min="3" max="3" width="18.42578125" style="13" customWidth="1"/>
    <col min="4" max="4" width="9" style="13" customWidth="1"/>
    <col min="5" max="5" width="9.5703125" style="13" customWidth="1"/>
    <col min="6" max="6" width="16.5703125" style="16" customWidth="1"/>
    <col min="7" max="7" width="11.28515625" style="16" customWidth="1"/>
    <col min="8" max="8" width="12" style="16" customWidth="1"/>
    <col min="9" max="9" width="10.7109375" style="16" customWidth="1"/>
    <col min="10" max="10" width="10" style="16" customWidth="1"/>
    <col min="11" max="11" width="12.7109375" style="13" customWidth="1"/>
    <col min="12" max="12" width="16" style="13" customWidth="1"/>
    <col min="13" max="13" width="13.42578125" style="13" customWidth="1"/>
    <col min="14" max="14" width="13.5703125" style="13" customWidth="1"/>
    <col min="15" max="15" width="11.5703125" style="13" customWidth="1"/>
    <col min="16" max="16" width="11.7109375" style="13" customWidth="1"/>
    <col min="17" max="17" width="12.42578125" style="13" customWidth="1"/>
    <col min="18" max="18" width="13.140625" style="13" customWidth="1"/>
    <col min="19" max="19" width="13.7109375" style="13" customWidth="1"/>
    <col min="20" max="20" width="10.85546875" style="13" customWidth="1"/>
    <col min="21" max="21" width="15" style="13" customWidth="1"/>
    <col min="22" max="22" width="12.85546875" style="13" customWidth="1"/>
    <col min="23" max="23" width="14" style="13" customWidth="1"/>
    <col min="24" max="24" width="15.85546875" style="16" customWidth="1"/>
    <col min="25" max="25" width="15.42578125" style="13" customWidth="1"/>
    <col min="26" max="26" width="16.42578125" style="16" customWidth="1"/>
    <col min="27" max="27" width="14" style="16" customWidth="1"/>
    <col min="28" max="28" width="21.140625" style="16" customWidth="1"/>
    <col min="29" max="29" width="18.140625" style="13" customWidth="1"/>
    <col min="30" max="33" width="18.85546875" style="9" customWidth="1"/>
    <col min="34" max="16384" width="12.5703125" style="9"/>
  </cols>
  <sheetData>
    <row r="1" spans="1:30" s="10" customFormat="1" ht="51.75" thickBot="1" x14ac:dyDescent="0.25">
      <c r="A1" s="11" t="s">
        <v>1458</v>
      </c>
      <c r="B1" s="14" t="s">
        <v>1459</v>
      </c>
      <c r="C1" s="11" t="s">
        <v>1461</v>
      </c>
      <c r="D1" s="17" t="s">
        <v>1462</v>
      </c>
      <c r="E1" s="17" t="s">
        <v>1666</v>
      </c>
      <c r="F1" s="14" t="s">
        <v>1464</v>
      </c>
      <c r="G1" s="18" t="s">
        <v>1465</v>
      </c>
      <c r="H1" s="18" t="s">
        <v>1466</v>
      </c>
      <c r="I1" s="18" t="s">
        <v>1467</v>
      </c>
      <c r="J1" s="18" t="s">
        <v>1468</v>
      </c>
      <c r="K1" s="17" t="s">
        <v>1469</v>
      </c>
      <c r="L1" s="17" t="s">
        <v>1470</v>
      </c>
      <c r="M1" s="17" t="s">
        <v>1494</v>
      </c>
      <c r="N1" s="17" t="s">
        <v>1471</v>
      </c>
      <c r="O1" s="17" t="s">
        <v>1472</v>
      </c>
      <c r="P1" s="17" t="s">
        <v>1495</v>
      </c>
      <c r="Q1" s="17" t="s">
        <v>1473</v>
      </c>
      <c r="R1" s="17" t="s">
        <v>1474</v>
      </c>
      <c r="S1" s="17" t="s">
        <v>1496</v>
      </c>
      <c r="T1" s="17" t="s">
        <v>1475</v>
      </c>
      <c r="U1" s="17" t="s">
        <v>1476</v>
      </c>
      <c r="V1" s="17" t="s">
        <v>1497</v>
      </c>
      <c r="W1" s="17" t="s">
        <v>1477</v>
      </c>
      <c r="X1" s="18" t="s">
        <v>1478</v>
      </c>
      <c r="Y1" s="17" t="s">
        <v>1665</v>
      </c>
      <c r="Z1" s="18" t="s">
        <v>1480</v>
      </c>
      <c r="AA1" s="18" t="s">
        <v>1481</v>
      </c>
      <c r="AB1" s="18" t="s">
        <v>1482</v>
      </c>
      <c r="AC1" s="17" t="s">
        <v>1460</v>
      </c>
      <c r="AD1" s="140" t="s">
        <v>1653</v>
      </c>
    </row>
    <row r="2" spans="1:30" ht="13.5" thickTop="1" x14ac:dyDescent="0.2">
      <c r="A2" s="20">
        <v>21</v>
      </c>
      <c r="B2" s="15" t="s">
        <v>42</v>
      </c>
      <c r="C2" s="12" t="s">
        <v>182</v>
      </c>
      <c r="D2" s="20">
        <v>4</v>
      </c>
      <c r="E2" s="20">
        <v>1</v>
      </c>
      <c r="F2" s="15" t="s">
        <v>46</v>
      </c>
      <c r="G2" s="15" t="s">
        <v>47</v>
      </c>
      <c r="H2" s="15"/>
      <c r="I2" s="15"/>
      <c r="J2" s="15"/>
      <c r="K2" s="20">
        <v>10</v>
      </c>
      <c r="L2" s="20">
        <v>11</v>
      </c>
      <c r="M2" s="20">
        <v>30</v>
      </c>
      <c r="N2" s="20"/>
      <c r="O2" s="20"/>
      <c r="P2" s="20"/>
      <c r="Q2" s="20"/>
      <c r="R2" s="20"/>
      <c r="S2" s="20"/>
      <c r="T2" s="20"/>
      <c r="U2" s="20"/>
      <c r="V2" s="20"/>
      <c r="W2" s="20">
        <v>3000</v>
      </c>
      <c r="X2" s="15" t="s">
        <v>252</v>
      </c>
      <c r="Y2" s="20">
        <v>11</v>
      </c>
      <c r="Z2" s="15" t="s">
        <v>285</v>
      </c>
      <c r="AA2" s="15" t="s">
        <v>54</v>
      </c>
      <c r="AB2" s="15" t="s">
        <v>256</v>
      </c>
      <c r="AC2" s="20" t="s">
        <v>152</v>
      </c>
      <c r="AD2" s="9" t="str">
        <f>IF(OR(Form_Responses34[[#This Row],[Total_monthly_fuel_expense 
]]&gt;10040,Form_Responses34[[#This Row],[Total_monthly_fuel_expense 
]]&lt;-4760),"Outlier","Normal")</f>
        <v>Normal</v>
      </c>
    </row>
    <row r="3" spans="1:30" x14ac:dyDescent="0.2">
      <c r="A3" s="20">
        <v>29</v>
      </c>
      <c r="B3" s="15" t="s">
        <v>73</v>
      </c>
      <c r="C3" s="12" t="s">
        <v>1888</v>
      </c>
      <c r="D3" s="20">
        <v>4</v>
      </c>
      <c r="E3" s="20">
        <v>2</v>
      </c>
      <c r="F3" s="15" t="s">
        <v>290</v>
      </c>
      <c r="G3" s="15" t="s">
        <v>47</v>
      </c>
      <c r="H3" s="15"/>
      <c r="I3" s="15"/>
      <c r="J3" s="15" t="s">
        <v>291</v>
      </c>
      <c r="K3" s="20">
        <v>7</v>
      </c>
      <c r="L3" s="20">
        <v>20</v>
      </c>
      <c r="M3" s="20">
        <v>75</v>
      </c>
      <c r="N3" s="20"/>
      <c r="O3" s="20"/>
      <c r="P3" s="20"/>
      <c r="Q3" s="20"/>
      <c r="R3" s="20"/>
      <c r="S3" s="20"/>
      <c r="T3" s="20">
        <v>7</v>
      </c>
      <c r="U3" s="20">
        <v>50</v>
      </c>
      <c r="V3" s="20">
        <v>1</v>
      </c>
      <c r="W3" s="20">
        <v>9200</v>
      </c>
      <c r="X3" s="15" t="s">
        <v>252</v>
      </c>
      <c r="Y3" s="20">
        <v>11</v>
      </c>
      <c r="Z3" s="15" t="s">
        <v>296</v>
      </c>
      <c r="AA3" s="15" t="s">
        <v>85</v>
      </c>
      <c r="AB3" s="15" t="s">
        <v>256</v>
      </c>
      <c r="AC3" s="20" t="s">
        <v>152</v>
      </c>
      <c r="AD3" s="9" t="str">
        <f>IF(OR(Form_Responses34[[#This Row],[Total_monthly_fuel_expense 
]]&gt;10040,Form_Responses34[[#This Row],[Total_monthly_fuel_expense 
]]&lt;-4760),"Outlier","Normal")</f>
        <v>Normal</v>
      </c>
    </row>
    <row r="4" spans="1:30" x14ac:dyDescent="0.2">
      <c r="A4" s="20">
        <v>20</v>
      </c>
      <c r="B4" s="15" t="s">
        <v>42</v>
      </c>
      <c r="C4" s="12" t="s">
        <v>1888</v>
      </c>
      <c r="D4" s="20">
        <v>6</v>
      </c>
      <c r="E4" s="20">
        <v>1</v>
      </c>
      <c r="F4" s="15" t="s">
        <v>100</v>
      </c>
      <c r="G4" s="15"/>
      <c r="H4" s="15" t="s">
        <v>47</v>
      </c>
      <c r="I4" s="15"/>
      <c r="J4" s="15"/>
      <c r="K4" s="20"/>
      <c r="L4" s="20"/>
      <c r="M4" s="20"/>
      <c r="N4" s="20">
        <v>1</v>
      </c>
      <c r="O4" s="20">
        <v>10</v>
      </c>
      <c r="P4" s="20">
        <v>10</v>
      </c>
      <c r="Q4" s="20"/>
      <c r="R4" s="20"/>
      <c r="S4" s="20"/>
      <c r="T4" s="20"/>
      <c r="U4" s="20"/>
      <c r="V4" s="20"/>
      <c r="W4" s="20">
        <v>1000</v>
      </c>
      <c r="X4" s="15" t="s">
        <v>252</v>
      </c>
      <c r="Y4" s="20">
        <v>14</v>
      </c>
      <c r="Z4" s="15" t="s">
        <v>285</v>
      </c>
      <c r="AA4" s="15" t="s">
        <v>54</v>
      </c>
      <c r="AB4" s="15" t="s">
        <v>256</v>
      </c>
      <c r="AC4" s="20" t="s">
        <v>68</v>
      </c>
      <c r="AD4" s="9" t="str">
        <f>IF(OR(Form_Responses34[[#This Row],[Total_monthly_fuel_expense 
]]&gt;10040,Form_Responses34[[#This Row],[Total_monthly_fuel_expense 
]]&lt;-4760),"Outlier","Normal")</f>
        <v>Normal</v>
      </c>
    </row>
    <row r="5" spans="1:30" x14ac:dyDescent="0.2">
      <c r="A5" s="20">
        <v>20</v>
      </c>
      <c r="B5" s="15" t="s">
        <v>73</v>
      </c>
      <c r="C5" s="12" t="s">
        <v>1888</v>
      </c>
      <c r="D5" s="20">
        <v>5</v>
      </c>
      <c r="E5" s="20">
        <v>1</v>
      </c>
      <c r="F5" s="15" t="s">
        <v>46</v>
      </c>
      <c r="G5" s="15" t="s">
        <v>47</v>
      </c>
      <c r="H5" s="15"/>
      <c r="I5" s="15"/>
      <c r="J5" s="15"/>
      <c r="K5" s="20">
        <v>3</v>
      </c>
      <c r="L5" s="20">
        <v>30</v>
      </c>
      <c r="M5" s="20">
        <v>20</v>
      </c>
      <c r="N5" s="20"/>
      <c r="O5" s="20"/>
      <c r="P5" s="20"/>
      <c r="Q5" s="20"/>
      <c r="R5" s="20"/>
      <c r="S5" s="20"/>
      <c r="T5" s="20"/>
      <c r="U5" s="20"/>
      <c r="V5" s="20"/>
      <c r="W5" s="20">
        <v>1000</v>
      </c>
      <c r="X5" s="15" t="s">
        <v>252</v>
      </c>
      <c r="Y5" s="20">
        <v>10</v>
      </c>
      <c r="Z5" s="15" t="s">
        <v>306</v>
      </c>
      <c r="AA5" s="15" t="s">
        <v>54</v>
      </c>
      <c r="AB5" s="15" t="s">
        <v>307</v>
      </c>
      <c r="AC5" s="20" t="s">
        <v>257</v>
      </c>
      <c r="AD5" s="9" t="str">
        <f>IF(OR(Form_Responses34[[#This Row],[Total_monthly_fuel_expense 
]]&gt;10040,Form_Responses34[[#This Row],[Total_monthly_fuel_expense 
]]&lt;-4760),"Outlier","Normal")</f>
        <v>Normal</v>
      </c>
    </row>
    <row r="6" spans="1:30" x14ac:dyDescent="0.2">
      <c r="A6" s="20">
        <v>28</v>
      </c>
      <c r="B6" s="15" t="s">
        <v>73</v>
      </c>
      <c r="C6" s="12" t="s">
        <v>1889</v>
      </c>
      <c r="D6" s="20">
        <v>5</v>
      </c>
      <c r="E6" s="20">
        <v>3</v>
      </c>
      <c r="F6" s="15" t="s">
        <v>309</v>
      </c>
      <c r="G6" s="15" t="s">
        <v>47</v>
      </c>
      <c r="H6" s="15"/>
      <c r="I6" s="15" t="s">
        <v>291</v>
      </c>
      <c r="J6" s="15" t="s">
        <v>291</v>
      </c>
      <c r="K6" s="20">
        <v>5</v>
      </c>
      <c r="L6" s="20">
        <v>10</v>
      </c>
      <c r="M6" s="20">
        <v>8</v>
      </c>
      <c r="N6" s="20"/>
      <c r="O6" s="20"/>
      <c r="P6" s="20"/>
      <c r="Q6" s="20">
        <v>6</v>
      </c>
      <c r="R6" s="20">
        <v>25</v>
      </c>
      <c r="S6" s="20">
        <v>45</v>
      </c>
      <c r="T6" s="20">
        <v>7</v>
      </c>
      <c r="U6" s="20">
        <v>20</v>
      </c>
      <c r="V6" s="20">
        <v>60</v>
      </c>
      <c r="W6" s="20">
        <v>10000</v>
      </c>
      <c r="X6" s="15" t="s">
        <v>159</v>
      </c>
      <c r="Y6" s="20">
        <v>15</v>
      </c>
      <c r="Z6" s="15" t="s">
        <v>296</v>
      </c>
      <c r="AA6" s="15" t="s">
        <v>85</v>
      </c>
      <c r="AB6" s="15" t="s">
        <v>318</v>
      </c>
      <c r="AC6" s="20" t="s">
        <v>68</v>
      </c>
      <c r="AD6" s="9" t="str">
        <f>IF(OR(Form_Responses34[[#This Row],[Total_monthly_fuel_expense 
]]&gt;10040,Form_Responses34[[#This Row],[Total_monthly_fuel_expense 
]]&lt;-4760),"Outlier","Normal")</f>
        <v>Normal</v>
      </c>
    </row>
    <row r="7" spans="1:30" x14ac:dyDescent="0.2">
      <c r="A7" s="20">
        <v>20</v>
      </c>
      <c r="B7" s="15" t="s">
        <v>42</v>
      </c>
      <c r="C7" s="12" t="s">
        <v>182</v>
      </c>
      <c r="D7" s="20">
        <v>3</v>
      </c>
      <c r="E7" s="20">
        <v>1</v>
      </c>
      <c r="F7" s="15" t="s">
        <v>100</v>
      </c>
      <c r="G7" s="15"/>
      <c r="H7" s="15" t="s">
        <v>47</v>
      </c>
      <c r="I7" s="15"/>
      <c r="J7" s="15"/>
      <c r="K7" s="20"/>
      <c r="L7" s="20"/>
      <c r="M7" s="20"/>
      <c r="N7" s="20">
        <v>2</v>
      </c>
      <c r="O7" s="20">
        <v>12</v>
      </c>
      <c r="P7" s="20">
        <v>10</v>
      </c>
      <c r="Q7" s="20"/>
      <c r="R7" s="20"/>
      <c r="S7" s="20"/>
      <c r="T7" s="20"/>
      <c r="U7" s="20"/>
      <c r="V7" s="20"/>
      <c r="W7" s="20">
        <v>1200</v>
      </c>
      <c r="X7" s="15" t="s">
        <v>323</v>
      </c>
      <c r="Y7" s="20">
        <v>6</v>
      </c>
      <c r="Z7" s="15" t="s">
        <v>285</v>
      </c>
      <c r="AA7" s="15" t="s">
        <v>96</v>
      </c>
      <c r="AB7" s="15" t="s">
        <v>325</v>
      </c>
      <c r="AC7" s="20" t="s">
        <v>152</v>
      </c>
      <c r="AD7" s="9" t="str">
        <f>IF(OR(Form_Responses34[[#This Row],[Total_monthly_fuel_expense 
]]&gt;10040,Form_Responses34[[#This Row],[Total_monthly_fuel_expense 
]]&lt;-4760),"Outlier","Normal")</f>
        <v>Normal</v>
      </c>
    </row>
    <row r="8" spans="1:30" x14ac:dyDescent="0.2">
      <c r="A8" s="20">
        <v>35</v>
      </c>
      <c r="B8" s="15" t="s">
        <v>42</v>
      </c>
      <c r="C8" s="12" t="s">
        <v>1889</v>
      </c>
      <c r="D8" s="20">
        <v>2</v>
      </c>
      <c r="E8" s="20">
        <v>2</v>
      </c>
      <c r="F8" s="15" t="s">
        <v>246</v>
      </c>
      <c r="G8" s="15" t="s">
        <v>47</v>
      </c>
      <c r="H8" s="15"/>
      <c r="I8" s="15" t="s">
        <v>291</v>
      </c>
      <c r="J8" s="15"/>
      <c r="K8" s="20">
        <v>6</v>
      </c>
      <c r="L8" s="20">
        <v>10</v>
      </c>
      <c r="M8" s="20">
        <v>20</v>
      </c>
      <c r="N8" s="20"/>
      <c r="O8" s="20"/>
      <c r="P8" s="20"/>
      <c r="Q8" s="20">
        <v>13</v>
      </c>
      <c r="R8" s="20">
        <v>45</v>
      </c>
      <c r="S8" s="20">
        <v>70</v>
      </c>
      <c r="T8" s="20"/>
      <c r="U8" s="20"/>
      <c r="V8" s="20"/>
      <c r="W8" s="20">
        <v>1000</v>
      </c>
      <c r="X8" s="15" t="s">
        <v>276</v>
      </c>
      <c r="Y8" s="20">
        <v>21</v>
      </c>
      <c r="Z8" s="15" t="s">
        <v>255</v>
      </c>
      <c r="AA8" s="15" t="s">
        <v>85</v>
      </c>
      <c r="AB8" s="15" t="s">
        <v>335</v>
      </c>
      <c r="AC8" s="20" t="s">
        <v>68</v>
      </c>
      <c r="AD8" s="9" t="str">
        <f>IF(OR(Form_Responses34[[#This Row],[Total_monthly_fuel_expense 
]]&gt;10040,Form_Responses34[[#This Row],[Total_monthly_fuel_expense 
]]&lt;-4760),"Outlier","Normal")</f>
        <v>Normal</v>
      </c>
    </row>
    <row r="9" spans="1:30" x14ac:dyDescent="0.2">
      <c r="A9" s="20">
        <v>26</v>
      </c>
      <c r="B9" s="15" t="s">
        <v>73</v>
      </c>
      <c r="C9" s="12" t="s">
        <v>1888</v>
      </c>
      <c r="D9" s="20">
        <v>6</v>
      </c>
      <c r="E9" s="20">
        <v>1</v>
      </c>
      <c r="F9" s="15" t="s">
        <v>46</v>
      </c>
      <c r="G9" s="15" t="s">
        <v>47</v>
      </c>
      <c r="H9" s="15"/>
      <c r="I9" s="15"/>
      <c r="J9" s="15"/>
      <c r="K9" s="20">
        <v>8</v>
      </c>
      <c r="L9" s="20">
        <v>40</v>
      </c>
      <c r="M9" s="20">
        <v>28</v>
      </c>
      <c r="N9" s="20"/>
      <c r="O9" s="20"/>
      <c r="P9" s="20"/>
      <c r="Q9" s="20"/>
      <c r="R9" s="20"/>
      <c r="S9" s="20"/>
      <c r="T9" s="20"/>
      <c r="U9" s="20"/>
      <c r="V9" s="20"/>
      <c r="W9" s="20">
        <v>3000</v>
      </c>
      <c r="X9" s="15" t="s">
        <v>252</v>
      </c>
      <c r="Y9" s="20">
        <v>18</v>
      </c>
      <c r="Z9" s="15" t="s">
        <v>344</v>
      </c>
      <c r="AA9" s="15" t="s">
        <v>96</v>
      </c>
      <c r="AB9" s="15" t="s">
        <v>256</v>
      </c>
      <c r="AC9" s="20" t="s">
        <v>257</v>
      </c>
      <c r="AD9" s="9" t="str">
        <f>IF(OR(Form_Responses34[[#This Row],[Total_monthly_fuel_expense 
]]&gt;10040,Form_Responses34[[#This Row],[Total_monthly_fuel_expense 
]]&lt;-4760),"Outlier","Normal")</f>
        <v>Normal</v>
      </c>
    </row>
    <row r="10" spans="1:30" x14ac:dyDescent="0.2">
      <c r="A10" s="20">
        <v>23</v>
      </c>
      <c r="B10" s="15" t="s">
        <v>42</v>
      </c>
      <c r="C10" s="12" t="s">
        <v>1889</v>
      </c>
      <c r="D10" s="20">
        <v>3</v>
      </c>
      <c r="E10" s="20">
        <v>1</v>
      </c>
      <c r="F10" s="15" t="s">
        <v>100</v>
      </c>
      <c r="G10" s="15"/>
      <c r="H10" s="15" t="s">
        <v>47</v>
      </c>
      <c r="I10" s="15"/>
      <c r="J10" s="15"/>
      <c r="K10" s="20"/>
      <c r="L10" s="20"/>
      <c r="M10" s="20"/>
      <c r="N10" s="20">
        <v>3</v>
      </c>
      <c r="O10" s="20">
        <v>18</v>
      </c>
      <c r="P10" s="20">
        <v>12</v>
      </c>
      <c r="Q10" s="20"/>
      <c r="R10" s="20"/>
      <c r="S10" s="20"/>
      <c r="T10" s="20"/>
      <c r="U10" s="20"/>
      <c r="V10" s="20"/>
      <c r="W10" s="20">
        <v>1500</v>
      </c>
      <c r="X10" s="15" t="s">
        <v>323</v>
      </c>
      <c r="Y10" s="20">
        <v>7</v>
      </c>
      <c r="Z10" s="15" t="s">
        <v>255</v>
      </c>
      <c r="AA10" s="15" t="s">
        <v>96</v>
      </c>
      <c r="AB10" s="15" t="s">
        <v>335</v>
      </c>
      <c r="AC10" s="20" t="s">
        <v>257</v>
      </c>
      <c r="AD10" s="9" t="str">
        <f>IF(OR(Form_Responses34[[#This Row],[Total_monthly_fuel_expense 
]]&gt;10040,Form_Responses34[[#This Row],[Total_monthly_fuel_expense 
]]&lt;-4760),"Outlier","Normal")</f>
        <v>Normal</v>
      </c>
    </row>
    <row r="11" spans="1:30" x14ac:dyDescent="0.2">
      <c r="A11" s="20">
        <v>32</v>
      </c>
      <c r="B11" s="15" t="s">
        <v>73</v>
      </c>
      <c r="C11" s="12" t="s">
        <v>155</v>
      </c>
      <c r="D11" s="20">
        <v>4</v>
      </c>
      <c r="E11" s="20">
        <v>2</v>
      </c>
      <c r="F11" s="15" t="s">
        <v>352</v>
      </c>
      <c r="G11" s="15"/>
      <c r="H11" s="15"/>
      <c r="I11" s="15" t="s">
        <v>47</v>
      </c>
      <c r="J11" s="15"/>
      <c r="K11" s="20"/>
      <c r="L11" s="20"/>
      <c r="M11" s="20"/>
      <c r="N11" s="20"/>
      <c r="O11" s="20"/>
      <c r="P11" s="20"/>
      <c r="Q11" s="20">
        <v>3</v>
      </c>
      <c r="R11" s="20">
        <v>40</v>
      </c>
      <c r="S11" s="20">
        <v>60</v>
      </c>
      <c r="T11" s="20"/>
      <c r="U11" s="20"/>
      <c r="V11" s="20"/>
      <c r="W11" s="20">
        <v>9500</v>
      </c>
      <c r="X11" s="15" t="s">
        <v>360</v>
      </c>
      <c r="Y11" s="20">
        <v>20</v>
      </c>
      <c r="Z11" s="15" t="s">
        <v>255</v>
      </c>
      <c r="AA11" s="15" t="s">
        <v>362</v>
      </c>
      <c r="AB11" s="15" t="s">
        <v>307</v>
      </c>
      <c r="AC11" s="20" t="s">
        <v>152</v>
      </c>
      <c r="AD11" s="9" t="str">
        <f>IF(OR(Form_Responses34[[#This Row],[Total_monthly_fuel_expense 
]]&gt;10040,Form_Responses34[[#This Row],[Total_monthly_fuel_expense 
]]&lt;-4760),"Outlier","Normal")</f>
        <v>Normal</v>
      </c>
    </row>
    <row r="12" spans="1:30" x14ac:dyDescent="0.2">
      <c r="A12" s="20">
        <v>19</v>
      </c>
      <c r="B12" s="15" t="s">
        <v>73</v>
      </c>
      <c r="C12" s="12" t="s">
        <v>182</v>
      </c>
      <c r="D12" s="20">
        <v>3</v>
      </c>
      <c r="E12" s="20">
        <v>1</v>
      </c>
      <c r="F12" s="15" t="s">
        <v>100</v>
      </c>
      <c r="G12" s="15"/>
      <c r="H12" s="15" t="s">
        <v>47</v>
      </c>
      <c r="I12" s="15"/>
      <c r="J12" s="15"/>
      <c r="K12" s="20"/>
      <c r="L12" s="20"/>
      <c r="M12" s="20"/>
      <c r="N12" s="20">
        <v>1</v>
      </c>
      <c r="O12" s="20">
        <v>10</v>
      </c>
      <c r="P12" s="20">
        <v>8</v>
      </c>
      <c r="Q12" s="20"/>
      <c r="R12" s="20"/>
      <c r="S12" s="20"/>
      <c r="T12" s="20"/>
      <c r="U12" s="20"/>
      <c r="V12" s="20"/>
      <c r="W12" s="20">
        <v>1500</v>
      </c>
      <c r="X12" s="15" t="s">
        <v>323</v>
      </c>
      <c r="Y12" s="20">
        <v>5</v>
      </c>
      <c r="Z12" s="15" t="s">
        <v>285</v>
      </c>
      <c r="AA12" s="15" t="s">
        <v>96</v>
      </c>
      <c r="AB12" s="15" t="s">
        <v>325</v>
      </c>
      <c r="AC12" s="20" t="s">
        <v>257</v>
      </c>
      <c r="AD12" s="9" t="str">
        <f>IF(OR(Form_Responses34[[#This Row],[Total_monthly_fuel_expense 
]]&gt;10040,Form_Responses34[[#This Row],[Total_monthly_fuel_expense 
]]&lt;-4760),"Outlier","Normal")</f>
        <v>Normal</v>
      </c>
    </row>
    <row r="13" spans="1:30" x14ac:dyDescent="0.2">
      <c r="A13" s="20">
        <v>27</v>
      </c>
      <c r="B13" s="15" t="s">
        <v>73</v>
      </c>
      <c r="C13" s="12" t="s">
        <v>1889</v>
      </c>
      <c r="D13" s="20">
        <v>5</v>
      </c>
      <c r="E13" s="20">
        <v>2</v>
      </c>
      <c r="F13" s="15" t="s">
        <v>290</v>
      </c>
      <c r="G13" s="15" t="s">
        <v>47</v>
      </c>
      <c r="H13" s="15"/>
      <c r="I13" s="15"/>
      <c r="J13" s="15" t="s">
        <v>291</v>
      </c>
      <c r="K13" s="20">
        <v>6</v>
      </c>
      <c r="L13" s="20">
        <v>15</v>
      </c>
      <c r="M13" s="20">
        <v>10</v>
      </c>
      <c r="N13" s="20"/>
      <c r="O13" s="20"/>
      <c r="P13" s="20"/>
      <c r="Q13" s="20"/>
      <c r="R13" s="20"/>
      <c r="S13" s="20"/>
      <c r="T13" s="20">
        <v>5</v>
      </c>
      <c r="U13" s="20">
        <v>25</v>
      </c>
      <c r="V13" s="20">
        <v>70</v>
      </c>
      <c r="W13" s="20">
        <v>8000</v>
      </c>
      <c r="X13" s="15" t="s">
        <v>159</v>
      </c>
      <c r="Y13" s="20">
        <v>14</v>
      </c>
      <c r="Z13" s="15" t="s">
        <v>296</v>
      </c>
      <c r="AA13" s="15" t="s">
        <v>85</v>
      </c>
      <c r="AB13" s="15" t="s">
        <v>256</v>
      </c>
      <c r="AC13" s="20" t="s">
        <v>68</v>
      </c>
      <c r="AD13" s="9" t="str">
        <f>IF(OR(Form_Responses34[[#This Row],[Total_monthly_fuel_expense 
]]&gt;10040,Form_Responses34[[#This Row],[Total_monthly_fuel_expense 
]]&lt;-4760),"Outlier","Normal")</f>
        <v>Normal</v>
      </c>
    </row>
    <row r="14" spans="1:30" x14ac:dyDescent="0.2">
      <c r="A14" s="20">
        <v>23</v>
      </c>
      <c r="B14" s="15" t="s">
        <v>42</v>
      </c>
      <c r="C14" s="12" t="s">
        <v>1890</v>
      </c>
      <c r="D14" s="20">
        <v>4</v>
      </c>
      <c r="E14" s="20">
        <v>2</v>
      </c>
      <c r="F14" s="15" t="s">
        <v>246</v>
      </c>
      <c r="G14" s="15" t="s">
        <v>47</v>
      </c>
      <c r="H14" s="15"/>
      <c r="I14" s="15" t="s">
        <v>47</v>
      </c>
      <c r="J14" s="15"/>
      <c r="K14" s="20">
        <v>3</v>
      </c>
      <c r="L14" s="20">
        <v>20</v>
      </c>
      <c r="M14" s="20">
        <v>12</v>
      </c>
      <c r="N14" s="20"/>
      <c r="O14" s="20"/>
      <c r="P14" s="20"/>
      <c r="Q14" s="20">
        <v>4</v>
      </c>
      <c r="R14" s="20">
        <v>30</v>
      </c>
      <c r="S14" s="20">
        <v>55</v>
      </c>
      <c r="T14" s="20"/>
      <c r="U14" s="20"/>
      <c r="V14" s="20"/>
      <c r="W14" s="20">
        <v>6800</v>
      </c>
      <c r="X14" s="15" t="s">
        <v>252</v>
      </c>
      <c r="Y14" s="20">
        <v>10</v>
      </c>
      <c r="Z14" s="44" t="s">
        <v>51</v>
      </c>
      <c r="AA14" s="15" t="s">
        <v>277</v>
      </c>
      <c r="AB14" s="15" t="s">
        <v>256</v>
      </c>
      <c r="AC14" s="20" t="s">
        <v>257</v>
      </c>
      <c r="AD14" s="9" t="str">
        <f>IF(OR(Form_Responses34[[#This Row],[Total_monthly_fuel_expense 
]]&gt;10040,Form_Responses34[[#This Row],[Total_monthly_fuel_expense 
]]&lt;-4760),"Outlier","Normal")</f>
        <v>Normal</v>
      </c>
    </row>
    <row r="15" spans="1:30" x14ac:dyDescent="0.2">
      <c r="A15" s="20">
        <v>26</v>
      </c>
      <c r="B15" s="15" t="s">
        <v>73</v>
      </c>
      <c r="C15" s="12" t="s">
        <v>1890</v>
      </c>
      <c r="D15" s="20">
        <v>4</v>
      </c>
      <c r="E15" s="20">
        <v>2</v>
      </c>
      <c r="F15" s="15" t="s">
        <v>246</v>
      </c>
      <c r="G15" s="15" t="s">
        <v>47</v>
      </c>
      <c r="H15" s="15"/>
      <c r="I15" s="15" t="s">
        <v>47</v>
      </c>
      <c r="J15" s="15"/>
      <c r="K15" s="20">
        <v>5</v>
      </c>
      <c r="L15" s="20">
        <v>10</v>
      </c>
      <c r="M15" s="20">
        <v>7</v>
      </c>
      <c r="N15" s="20"/>
      <c r="O15" s="20"/>
      <c r="P15" s="20"/>
      <c r="Q15" s="20">
        <v>2</v>
      </c>
      <c r="R15" s="20">
        <v>45</v>
      </c>
      <c r="S15" s="20">
        <v>70</v>
      </c>
      <c r="T15" s="20"/>
      <c r="U15" s="20"/>
      <c r="V15" s="20"/>
      <c r="W15" s="20">
        <v>9000</v>
      </c>
      <c r="X15" s="15" t="s">
        <v>159</v>
      </c>
      <c r="Y15" s="20">
        <v>18</v>
      </c>
      <c r="Z15" s="15" t="s">
        <v>255</v>
      </c>
      <c r="AA15" s="15" t="s">
        <v>85</v>
      </c>
      <c r="AB15" s="15" t="s">
        <v>307</v>
      </c>
      <c r="AC15" s="20" t="s">
        <v>152</v>
      </c>
      <c r="AD15" s="9" t="str">
        <f>IF(OR(Form_Responses34[[#This Row],[Total_monthly_fuel_expense 
]]&gt;10040,Form_Responses34[[#This Row],[Total_monthly_fuel_expense 
]]&lt;-4760),"Outlier","Normal")</f>
        <v>Normal</v>
      </c>
    </row>
    <row r="16" spans="1:30" x14ac:dyDescent="0.2">
      <c r="A16" s="20">
        <v>30</v>
      </c>
      <c r="B16" s="15" t="s">
        <v>73</v>
      </c>
      <c r="C16" s="12" t="s">
        <v>1889</v>
      </c>
      <c r="D16" s="20">
        <v>5</v>
      </c>
      <c r="E16" s="20">
        <v>3</v>
      </c>
      <c r="F16" s="15" t="s">
        <v>390</v>
      </c>
      <c r="G16" s="15" t="s">
        <v>47</v>
      </c>
      <c r="H16" s="15" t="s">
        <v>47</v>
      </c>
      <c r="I16" s="15" t="s">
        <v>47</v>
      </c>
      <c r="J16" s="15"/>
      <c r="K16" s="20">
        <v>4</v>
      </c>
      <c r="L16" s="20">
        <v>18</v>
      </c>
      <c r="M16" s="20">
        <v>13</v>
      </c>
      <c r="N16" s="20">
        <v>2</v>
      </c>
      <c r="O16" s="20">
        <v>12</v>
      </c>
      <c r="P16" s="20">
        <v>9</v>
      </c>
      <c r="Q16" s="20">
        <v>5</v>
      </c>
      <c r="R16" s="20">
        <v>40</v>
      </c>
      <c r="S16" s="20">
        <v>65</v>
      </c>
      <c r="T16" s="20"/>
      <c r="U16" s="20"/>
      <c r="V16" s="20"/>
      <c r="W16" s="20">
        <v>9000</v>
      </c>
      <c r="X16" s="15" t="s">
        <v>323</v>
      </c>
      <c r="Y16" s="20">
        <v>15</v>
      </c>
      <c r="Z16" s="15" t="s">
        <v>255</v>
      </c>
      <c r="AA16" s="15" t="s">
        <v>85</v>
      </c>
      <c r="AB16" s="15" t="s">
        <v>335</v>
      </c>
      <c r="AC16" s="20" t="s">
        <v>152</v>
      </c>
      <c r="AD16" s="9" t="str">
        <f>IF(OR(Form_Responses34[[#This Row],[Total_monthly_fuel_expense 
]]&gt;10040,Form_Responses34[[#This Row],[Total_monthly_fuel_expense 
]]&lt;-4760),"Outlier","Normal")</f>
        <v>Normal</v>
      </c>
    </row>
    <row r="17" spans="1:30" x14ac:dyDescent="0.2">
      <c r="A17" s="20">
        <v>21</v>
      </c>
      <c r="B17" s="15" t="s">
        <v>42</v>
      </c>
      <c r="C17" s="12" t="s">
        <v>182</v>
      </c>
      <c r="D17" s="20">
        <v>4</v>
      </c>
      <c r="E17" s="20">
        <v>1</v>
      </c>
      <c r="F17" s="15" t="s">
        <v>100</v>
      </c>
      <c r="G17" s="15"/>
      <c r="H17" s="15" t="s">
        <v>47</v>
      </c>
      <c r="I17" s="15"/>
      <c r="J17" s="15"/>
      <c r="K17" s="20"/>
      <c r="L17" s="20"/>
      <c r="M17" s="20"/>
      <c r="N17" s="20">
        <v>1</v>
      </c>
      <c r="O17" s="20">
        <v>10</v>
      </c>
      <c r="P17" s="20">
        <v>7</v>
      </c>
      <c r="Q17" s="20"/>
      <c r="R17" s="20"/>
      <c r="S17" s="20"/>
      <c r="T17" s="20"/>
      <c r="U17" s="20"/>
      <c r="V17" s="20"/>
      <c r="W17" s="20">
        <v>900</v>
      </c>
      <c r="X17" s="15" t="s">
        <v>323</v>
      </c>
      <c r="Y17" s="20">
        <v>5</v>
      </c>
      <c r="Z17" s="15" t="s">
        <v>285</v>
      </c>
      <c r="AA17" s="15" t="s">
        <v>96</v>
      </c>
      <c r="AB17" s="15" t="s">
        <v>325</v>
      </c>
      <c r="AC17" s="20" t="s">
        <v>257</v>
      </c>
      <c r="AD17" s="9" t="str">
        <f>IF(OR(Form_Responses34[[#This Row],[Total_monthly_fuel_expense 
]]&gt;10040,Form_Responses34[[#This Row],[Total_monthly_fuel_expense 
]]&lt;-4760),"Outlier","Normal")</f>
        <v>Normal</v>
      </c>
    </row>
    <row r="18" spans="1:30" x14ac:dyDescent="0.2">
      <c r="A18" s="20">
        <v>20</v>
      </c>
      <c r="B18" s="15" t="s">
        <v>73</v>
      </c>
      <c r="C18" s="12" t="s">
        <v>182</v>
      </c>
      <c r="D18" s="20">
        <v>5</v>
      </c>
      <c r="E18" s="20">
        <v>3</v>
      </c>
      <c r="F18" s="15" t="s">
        <v>246</v>
      </c>
      <c r="G18" s="15" t="s">
        <v>47</v>
      </c>
      <c r="H18" s="15"/>
      <c r="I18" s="15" t="s">
        <v>47</v>
      </c>
      <c r="J18" s="15"/>
      <c r="K18" s="20">
        <v>8</v>
      </c>
      <c r="L18" s="20">
        <v>3</v>
      </c>
      <c r="M18" s="20">
        <v>6</v>
      </c>
      <c r="N18" s="20"/>
      <c r="O18" s="20"/>
      <c r="P18" s="20"/>
      <c r="Q18" s="20">
        <v>7</v>
      </c>
      <c r="R18" s="20">
        <v>10</v>
      </c>
      <c r="S18" s="20">
        <v>25</v>
      </c>
      <c r="T18" s="20"/>
      <c r="U18" s="20"/>
      <c r="V18" s="20"/>
      <c r="W18" s="20">
        <v>2000</v>
      </c>
      <c r="X18" s="15" t="s">
        <v>159</v>
      </c>
      <c r="Y18" s="20">
        <v>9</v>
      </c>
      <c r="Z18" s="15" t="s">
        <v>255</v>
      </c>
      <c r="AA18" s="15" t="s">
        <v>54</v>
      </c>
      <c r="AB18" s="15" t="s">
        <v>410</v>
      </c>
      <c r="AC18" s="20" t="s">
        <v>152</v>
      </c>
      <c r="AD18" s="9" t="str">
        <f>IF(OR(Form_Responses34[[#This Row],[Total_monthly_fuel_expense 
]]&gt;10040,Form_Responses34[[#This Row],[Total_monthly_fuel_expense 
]]&lt;-4760),"Outlier","Normal")</f>
        <v>Normal</v>
      </c>
    </row>
    <row r="19" spans="1:30" x14ac:dyDescent="0.2">
      <c r="A19" s="20">
        <v>25</v>
      </c>
      <c r="B19" s="15" t="s">
        <v>73</v>
      </c>
      <c r="C19" s="12" t="s">
        <v>1889</v>
      </c>
      <c r="D19" s="20">
        <v>3</v>
      </c>
      <c r="E19" s="20">
        <v>1</v>
      </c>
      <c r="F19" s="15" t="s">
        <v>46</v>
      </c>
      <c r="G19" s="15" t="s">
        <v>47</v>
      </c>
      <c r="H19" s="15"/>
      <c r="I19" s="15"/>
      <c r="J19" s="15"/>
      <c r="K19" s="20">
        <v>3</v>
      </c>
      <c r="L19" s="20">
        <v>22</v>
      </c>
      <c r="M19" s="20">
        <v>18</v>
      </c>
      <c r="N19" s="20"/>
      <c r="O19" s="20"/>
      <c r="P19" s="20"/>
      <c r="Q19" s="20"/>
      <c r="R19" s="20"/>
      <c r="S19" s="20"/>
      <c r="T19" s="20"/>
      <c r="U19" s="20"/>
      <c r="V19" s="20"/>
      <c r="W19" s="20">
        <v>2300</v>
      </c>
      <c r="X19" s="15" t="s">
        <v>252</v>
      </c>
      <c r="Y19" s="20">
        <v>10</v>
      </c>
      <c r="Z19" s="15" t="s">
        <v>255</v>
      </c>
      <c r="AA19" s="15" t="s">
        <v>277</v>
      </c>
      <c r="AB19" s="15" t="s">
        <v>256</v>
      </c>
      <c r="AC19" s="20" t="s">
        <v>257</v>
      </c>
      <c r="AD19" s="9" t="str">
        <f>IF(OR(Form_Responses34[[#This Row],[Total_monthly_fuel_expense 
]]&gt;10040,Form_Responses34[[#This Row],[Total_monthly_fuel_expense 
]]&lt;-4760),"Outlier","Normal")</f>
        <v>Normal</v>
      </c>
    </row>
    <row r="20" spans="1:30" x14ac:dyDescent="0.2">
      <c r="A20" s="20">
        <v>19</v>
      </c>
      <c r="B20" s="15" t="s">
        <v>42</v>
      </c>
      <c r="C20" s="12" t="s">
        <v>182</v>
      </c>
      <c r="D20" s="20">
        <v>4</v>
      </c>
      <c r="E20" s="20">
        <v>1</v>
      </c>
      <c r="F20" s="15" t="s">
        <v>100</v>
      </c>
      <c r="G20" s="15"/>
      <c r="H20" s="15" t="s">
        <v>47</v>
      </c>
      <c r="I20" s="15"/>
      <c r="J20" s="15"/>
      <c r="K20" s="20"/>
      <c r="L20" s="20"/>
      <c r="M20" s="20"/>
      <c r="N20" s="20">
        <v>2</v>
      </c>
      <c r="O20" s="20">
        <v>15</v>
      </c>
      <c r="P20" s="20">
        <v>10</v>
      </c>
      <c r="Q20" s="20"/>
      <c r="R20" s="20"/>
      <c r="S20" s="20"/>
      <c r="T20" s="20"/>
      <c r="U20" s="20"/>
      <c r="V20" s="20"/>
      <c r="W20" s="20">
        <v>1200</v>
      </c>
      <c r="X20" s="15" t="s">
        <v>323</v>
      </c>
      <c r="Y20" s="20">
        <v>6</v>
      </c>
      <c r="Z20" s="15" t="s">
        <v>285</v>
      </c>
      <c r="AA20" s="15" t="s">
        <v>96</v>
      </c>
      <c r="AB20" s="15" t="s">
        <v>325</v>
      </c>
      <c r="AC20" s="20" t="s">
        <v>152</v>
      </c>
      <c r="AD20" s="9" t="str">
        <f>IF(OR(Form_Responses34[[#This Row],[Total_monthly_fuel_expense 
]]&gt;10040,Form_Responses34[[#This Row],[Total_monthly_fuel_expense 
]]&lt;-4760),"Outlier","Normal")</f>
        <v>Normal</v>
      </c>
    </row>
    <row r="21" spans="1:30" x14ac:dyDescent="0.2">
      <c r="A21" s="20">
        <v>35</v>
      </c>
      <c r="B21" s="15" t="s">
        <v>73</v>
      </c>
      <c r="C21" s="12" t="s">
        <v>1889</v>
      </c>
      <c r="D21" s="20">
        <v>6</v>
      </c>
      <c r="E21" s="20">
        <v>3</v>
      </c>
      <c r="F21" s="15" t="s">
        <v>423</v>
      </c>
      <c r="G21" s="15" t="s">
        <v>47</v>
      </c>
      <c r="H21" s="15"/>
      <c r="I21" s="15"/>
      <c r="J21" s="15" t="s">
        <v>291</v>
      </c>
      <c r="K21" s="20">
        <v>10</v>
      </c>
      <c r="L21" s="20">
        <v>15</v>
      </c>
      <c r="M21" s="20">
        <v>10</v>
      </c>
      <c r="N21" s="20"/>
      <c r="O21" s="20"/>
      <c r="P21" s="20"/>
      <c r="Q21" s="20"/>
      <c r="R21" s="20"/>
      <c r="S21" s="20"/>
      <c r="T21" s="20">
        <v>8</v>
      </c>
      <c r="U21" s="20">
        <v>35</v>
      </c>
      <c r="V21" s="20">
        <v>80</v>
      </c>
      <c r="W21" s="20">
        <v>11100</v>
      </c>
      <c r="X21" s="15" t="s">
        <v>252</v>
      </c>
      <c r="Y21" s="20">
        <v>12</v>
      </c>
      <c r="Z21" s="15" t="s">
        <v>296</v>
      </c>
      <c r="AA21" s="15" t="s">
        <v>85</v>
      </c>
      <c r="AB21" s="15" t="s">
        <v>256</v>
      </c>
      <c r="AC21" s="20" t="s">
        <v>68</v>
      </c>
      <c r="AD21" s="9" t="str">
        <f>IF(OR(Form_Responses34[[#This Row],[Total_monthly_fuel_expense 
]]&gt;10040,Form_Responses34[[#This Row],[Total_monthly_fuel_expense 
]]&lt;-4760),"Outlier","Normal")</f>
        <v>Outlier</v>
      </c>
    </row>
    <row r="22" spans="1:30" x14ac:dyDescent="0.2">
      <c r="A22" s="20">
        <v>24</v>
      </c>
      <c r="B22" s="15" t="s">
        <v>42</v>
      </c>
      <c r="C22" s="12" t="s">
        <v>1889</v>
      </c>
      <c r="D22" s="20">
        <v>3</v>
      </c>
      <c r="E22" s="20">
        <v>1</v>
      </c>
      <c r="F22" s="15" t="s">
        <v>431</v>
      </c>
      <c r="G22" s="15"/>
      <c r="H22" s="15"/>
      <c r="I22" s="15" t="s">
        <v>47</v>
      </c>
      <c r="J22" s="15"/>
      <c r="K22" s="20"/>
      <c r="L22" s="20"/>
      <c r="M22" s="20"/>
      <c r="N22" s="20"/>
      <c r="O22" s="20"/>
      <c r="P22" s="20"/>
      <c r="Q22" s="20">
        <v>2</v>
      </c>
      <c r="R22" s="20">
        <v>30</v>
      </c>
      <c r="S22" s="20">
        <v>50</v>
      </c>
      <c r="T22" s="20"/>
      <c r="U22" s="20"/>
      <c r="V22" s="20"/>
      <c r="W22" s="20">
        <v>6000</v>
      </c>
      <c r="X22" s="15" t="s">
        <v>276</v>
      </c>
      <c r="Y22" s="20">
        <v>10</v>
      </c>
      <c r="Z22" s="15" t="s">
        <v>255</v>
      </c>
      <c r="AA22" s="15" t="s">
        <v>277</v>
      </c>
      <c r="AB22" s="15" t="s">
        <v>256</v>
      </c>
      <c r="AC22" s="20" t="s">
        <v>152</v>
      </c>
      <c r="AD22" s="9" t="str">
        <f>IF(OR(Form_Responses34[[#This Row],[Total_monthly_fuel_expense 
]]&gt;10040,Form_Responses34[[#This Row],[Total_monthly_fuel_expense 
]]&lt;-4760),"Outlier","Normal")</f>
        <v>Normal</v>
      </c>
    </row>
    <row r="23" spans="1:30" x14ac:dyDescent="0.2">
      <c r="A23" s="20">
        <v>31</v>
      </c>
      <c r="B23" s="15" t="s">
        <v>73</v>
      </c>
      <c r="C23" s="12" t="s">
        <v>1891</v>
      </c>
      <c r="D23" s="20">
        <v>5</v>
      </c>
      <c r="E23" s="20">
        <v>3</v>
      </c>
      <c r="F23" s="15" t="s">
        <v>435</v>
      </c>
      <c r="G23" s="15" t="s">
        <v>47</v>
      </c>
      <c r="H23" s="15"/>
      <c r="I23" s="15" t="s">
        <v>47</v>
      </c>
      <c r="J23" s="15"/>
      <c r="K23" s="20">
        <v>4</v>
      </c>
      <c r="L23" s="20">
        <v>8</v>
      </c>
      <c r="M23" s="20">
        <v>6</v>
      </c>
      <c r="N23" s="20"/>
      <c r="O23" s="20"/>
      <c r="P23" s="20"/>
      <c r="Q23" s="20">
        <v>6</v>
      </c>
      <c r="R23" s="20">
        <v>35</v>
      </c>
      <c r="S23" s="20">
        <v>55</v>
      </c>
      <c r="T23" s="20"/>
      <c r="U23" s="20"/>
      <c r="V23" s="20"/>
      <c r="W23" s="20">
        <v>8800</v>
      </c>
      <c r="X23" s="15" t="s">
        <v>276</v>
      </c>
      <c r="Y23" s="20">
        <v>14</v>
      </c>
      <c r="Z23" s="15" t="s">
        <v>255</v>
      </c>
      <c r="AA23" s="15" t="s">
        <v>362</v>
      </c>
      <c r="AB23" s="15" t="s">
        <v>307</v>
      </c>
      <c r="AC23" s="20" t="s">
        <v>152</v>
      </c>
      <c r="AD23" s="9" t="str">
        <f>IF(OR(Form_Responses34[[#This Row],[Total_monthly_fuel_expense 
]]&gt;10040,Form_Responses34[[#This Row],[Total_monthly_fuel_expense 
]]&lt;-4760),"Outlier","Normal")</f>
        <v>Normal</v>
      </c>
    </row>
    <row r="24" spans="1:30" x14ac:dyDescent="0.2">
      <c r="A24" s="20">
        <v>27</v>
      </c>
      <c r="B24" s="15" t="s">
        <v>73</v>
      </c>
      <c r="C24" s="12" t="s">
        <v>182</v>
      </c>
      <c r="D24" s="20">
        <v>4</v>
      </c>
      <c r="E24" s="20">
        <v>1</v>
      </c>
      <c r="F24" s="15" t="s">
        <v>46</v>
      </c>
      <c r="G24" s="15" t="s">
        <v>47</v>
      </c>
      <c r="H24" s="15"/>
      <c r="I24" s="15"/>
      <c r="J24" s="15"/>
      <c r="K24" s="20">
        <v>6</v>
      </c>
      <c r="L24" s="20">
        <v>35</v>
      </c>
      <c r="M24" s="20">
        <v>24</v>
      </c>
      <c r="N24" s="20"/>
      <c r="O24" s="20"/>
      <c r="P24" s="20"/>
      <c r="Q24" s="20"/>
      <c r="R24" s="20"/>
      <c r="S24" s="20"/>
      <c r="T24" s="20"/>
      <c r="U24" s="20"/>
      <c r="V24" s="20"/>
      <c r="W24" s="20">
        <v>2700</v>
      </c>
      <c r="X24" s="15" t="s">
        <v>323</v>
      </c>
      <c r="Y24" s="20">
        <v>14</v>
      </c>
      <c r="Z24" s="15" t="s">
        <v>449</v>
      </c>
      <c r="AA24" s="15" t="s">
        <v>96</v>
      </c>
      <c r="AB24" s="15" t="s">
        <v>256</v>
      </c>
      <c r="AC24" s="20" t="s">
        <v>257</v>
      </c>
      <c r="AD24" s="9" t="str">
        <f>IF(OR(Form_Responses34[[#This Row],[Total_monthly_fuel_expense 
]]&gt;10040,Form_Responses34[[#This Row],[Total_monthly_fuel_expense 
]]&lt;-4760),"Outlier","Normal")</f>
        <v>Normal</v>
      </c>
    </row>
    <row r="25" spans="1:30" x14ac:dyDescent="0.2">
      <c r="A25" s="20">
        <v>27</v>
      </c>
      <c r="B25" s="15" t="s">
        <v>42</v>
      </c>
      <c r="C25" s="12" t="s">
        <v>1888</v>
      </c>
      <c r="D25" s="20">
        <v>6</v>
      </c>
      <c r="E25" s="20">
        <v>2</v>
      </c>
      <c r="F25" s="15" t="s">
        <v>61</v>
      </c>
      <c r="G25" s="15" t="s">
        <v>47</v>
      </c>
      <c r="H25" s="15" t="s">
        <v>47</v>
      </c>
      <c r="I25" s="15"/>
      <c r="J25" s="15"/>
      <c r="K25" s="20">
        <v>5</v>
      </c>
      <c r="L25" s="20">
        <v>12</v>
      </c>
      <c r="M25" s="20">
        <v>9</v>
      </c>
      <c r="N25" s="20">
        <v>3</v>
      </c>
      <c r="O25" s="20">
        <v>10</v>
      </c>
      <c r="P25" s="20">
        <v>8</v>
      </c>
      <c r="Q25" s="20"/>
      <c r="R25" s="20"/>
      <c r="S25" s="20"/>
      <c r="T25" s="20"/>
      <c r="U25" s="20"/>
      <c r="V25" s="20"/>
      <c r="W25" s="20">
        <v>3000</v>
      </c>
      <c r="X25" s="15" t="s">
        <v>252</v>
      </c>
      <c r="Y25" s="20">
        <v>4</v>
      </c>
      <c r="Z25" s="15" t="s">
        <v>344</v>
      </c>
      <c r="AA25" s="15" t="s">
        <v>96</v>
      </c>
      <c r="AB25" s="15" t="s">
        <v>335</v>
      </c>
      <c r="AC25" s="20" t="s">
        <v>257</v>
      </c>
      <c r="AD25" s="9" t="str">
        <f>IF(OR(Form_Responses34[[#This Row],[Total_monthly_fuel_expense 
]]&gt;10040,Form_Responses34[[#This Row],[Total_monthly_fuel_expense 
]]&lt;-4760),"Outlier","Normal")</f>
        <v>Normal</v>
      </c>
    </row>
    <row r="26" spans="1:30" x14ac:dyDescent="0.2">
      <c r="A26" s="20">
        <v>28</v>
      </c>
      <c r="B26" s="15" t="s">
        <v>42</v>
      </c>
      <c r="C26" s="12" t="s">
        <v>1888</v>
      </c>
      <c r="D26" s="20">
        <v>5</v>
      </c>
      <c r="E26" s="20">
        <v>2</v>
      </c>
      <c r="F26" s="15" t="s">
        <v>269</v>
      </c>
      <c r="G26" s="15"/>
      <c r="H26" s="15" t="s">
        <v>47</v>
      </c>
      <c r="I26" s="15" t="s">
        <v>47</v>
      </c>
      <c r="J26" s="15"/>
      <c r="K26" s="20"/>
      <c r="L26" s="20"/>
      <c r="M26" s="20"/>
      <c r="N26" s="20">
        <v>5</v>
      </c>
      <c r="O26" s="20">
        <v>12</v>
      </c>
      <c r="P26" s="20">
        <v>9</v>
      </c>
      <c r="Q26" s="20">
        <v>8</v>
      </c>
      <c r="R26" s="20">
        <v>20</v>
      </c>
      <c r="S26" s="20">
        <v>40</v>
      </c>
      <c r="T26" s="20"/>
      <c r="U26" s="20"/>
      <c r="V26" s="20"/>
      <c r="W26" s="20">
        <v>5200</v>
      </c>
      <c r="X26" s="15" t="s">
        <v>252</v>
      </c>
      <c r="Y26" s="20">
        <v>8</v>
      </c>
      <c r="Z26" s="15" t="s">
        <v>306</v>
      </c>
      <c r="AA26" s="15" t="s">
        <v>85</v>
      </c>
      <c r="AB26" s="15" t="s">
        <v>335</v>
      </c>
      <c r="AC26" s="20" t="s">
        <v>68</v>
      </c>
      <c r="AD26" s="9" t="str">
        <f>IF(OR(Form_Responses34[[#This Row],[Total_monthly_fuel_expense 
]]&gt;10040,Form_Responses34[[#This Row],[Total_monthly_fuel_expense 
]]&lt;-4760),"Outlier","Normal")</f>
        <v>Normal</v>
      </c>
    </row>
    <row r="27" spans="1:30" x14ac:dyDescent="0.2">
      <c r="A27" s="20">
        <v>34</v>
      </c>
      <c r="B27" s="15" t="s">
        <v>73</v>
      </c>
      <c r="C27" s="12" t="s">
        <v>1890</v>
      </c>
      <c r="D27" s="20">
        <v>4</v>
      </c>
      <c r="E27" s="20">
        <v>2</v>
      </c>
      <c r="F27" s="15" t="s">
        <v>246</v>
      </c>
      <c r="G27" s="15" t="s">
        <v>47</v>
      </c>
      <c r="H27" s="15"/>
      <c r="I27" s="15" t="s">
        <v>291</v>
      </c>
      <c r="J27" s="15"/>
      <c r="K27" s="20">
        <v>7</v>
      </c>
      <c r="L27" s="20">
        <v>10</v>
      </c>
      <c r="M27" s="20">
        <v>7</v>
      </c>
      <c r="N27" s="20"/>
      <c r="O27" s="20"/>
      <c r="P27" s="20"/>
      <c r="Q27" s="20">
        <v>4</v>
      </c>
      <c r="R27" s="20">
        <v>50</v>
      </c>
      <c r="S27" s="20">
        <v>70</v>
      </c>
      <c r="T27" s="20"/>
      <c r="U27" s="20"/>
      <c r="V27" s="20"/>
      <c r="W27" s="20">
        <v>9700</v>
      </c>
      <c r="X27" s="15" t="s">
        <v>323</v>
      </c>
      <c r="Y27" s="20">
        <v>15</v>
      </c>
      <c r="Z27" s="15" t="s">
        <v>255</v>
      </c>
      <c r="AA27" s="15" t="s">
        <v>85</v>
      </c>
      <c r="AB27" s="15" t="s">
        <v>467</v>
      </c>
      <c r="AC27" s="20" t="s">
        <v>257</v>
      </c>
      <c r="AD27" s="9" t="str">
        <f>IF(OR(Form_Responses34[[#This Row],[Total_monthly_fuel_expense 
]]&gt;10040,Form_Responses34[[#This Row],[Total_monthly_fuel_expense 
]]&lt;-4760),"Outlier","Normal")</f>
        <v>Normal</v>
      </c>
    </row>
    <row r="28" spans="1:30" x14ac:dyDescent="0.2">
      <c r="A28" s="20">
        <v>30</v>
      </c>
      <c r="B28" s="15" t="s">
        <v>42</v>
      </c>
      <c r="C28" s="12" t="s">
        <v>1889</v>
      </c>
      <c r="D28" s="20">
        <v>5</v>
      </c>
      <c r="E28" s="20">
        <v>2</v>
      </c>
      <c r="F28" s="15" t="s">
        <v>290</v>
      </c>
      <c r="G28" s="15" t="s">
        <v>47</v>
      </c>
      <c r="H28" s="15"/>
      <c r="I28" s="15"/>
      <c r="J28" s="15" t="s">
        <v>291</v>
      </c>
      <c r="K28" s="20">
        <v>6</v>
      </c>
      <c r="L28" s="20">
        <v>18</v>
      </c>
      <c r="M28" s="20">
        <v>12</v>
      </c>
      <c r="N28" s="20"/>
      <c r="O28" s="20"/>
      <c r="P28" s="20"/>
      <c r="Q28" s="20"/>
      <c r="R28" s="20"/>
      <c r="S28" s="20"/>
      <c r="T28" s="20">
        <v>10</v>
      </c>
      <c r="U28" s="20">
        <v>25</v>
      </c>
      <c r="V28" s="20">
        <v>65</v>
      </c>
      <c r="W28" s="20">
        <v>8200</v>
      </c>
      <c r="X28" s="15" t="s">
        <v>252</v>
      </c>
      <c r="Y28" s="20">
        <v>8</v>
      </c>
      <c r="Z28" s="15" t="s">
        <v>296</v>
      </c>
      <c r="AA28" s="15" t="s">
        <v>277</v>
      </c>
      <c r="AB28" s="15" t="s">
        <v>256</v>
      </c>
      <c r="AC28" s="20" t="s">
        <v>68</v>
      </c>
      <c r="AD28" s="9" t="str">
        <f>IF(OR(Form_Responses34[[#This Row],[Total_monthly_fuel_expense 
]]&gt;10040,Form_Responses34[[#This Row],[Total_monthly_fuel_expense 
]]&lt;-4760),"Outlier","Normal")</f>
        <v>Normal</v>
      </c>
    </row>
    <row r="29" spans="1:30" x14ac:dyDescent="0.2">
      <c r="A29" s="20">
        <v>22</v>
      </c>
      <c r="B29" s="15" t="s">
        <v>73</v>
      </c>
      <c r="C29" s="12" t="s">
        <v>1888</v>
      </c>
      <c r="D29" s="20">
        <v>3</v>
      </c>
      <c r="E29" s="20">
        <v>1</v>
      </c>
      <c r="F29" s="15" t="s">
        <v>46</v>
      </c>
      <c r="G29" s="15" t="s">
        <v>47</v>
      </c>
      <c r="H29" s="15"/>
      <c r="I29" s="15"/>
      <c r="J29" s="15"/>
      <c r="K29" s="20">
        <v>2</v>
      </c>
      <c r="L29" s="20">
        <v>30</v>
      </c>
      <c r="M29" s="20">
        <v>20</v>
      </c>
      <c r="N29" s="20"/>
      <c r="O29" s="20"/>
      <c r="P29" s="20"/>
      <c r="Q29" s="20"/>
      <c r="R29" s="20"/>
      <c r="S29" s="20"/>
      <c r="T29" s="20"/>
      <c r="U29" s="20"/>
      <c r="V29" s="20"/>
      <c r="W29" s="20">
        <v>2400</v>
      </c>
      <c r="X29" s="15" t="s">
        <v>159</v>
      </c>
      <c r="Y29" s="20">
        <v>7</v>
      </c>
      <c r="Z29" s="15" t="s">
        <v>285</v>
      </c>
      <c r="AA29" s="15" t="s">
        <v>96</v>
      </c>
      <c r="AB29" s="15" t="s">
        <v>256</v>
      </c>
      <c r="AC29" s="20" t="s">
        <v>152</v>
      </c>
      <c r="AD29" s="9" t="str">
        <f>IF(OR(Form_Responses34[[#This Row],[Total_monthly_fuel_expense 
]]&gt;10040,Form_Responses34[[#This Row],[Total_monthly_fuel_expense 
]]&lt;-4760),"Outlier","Normal")</f>
        <v>Normal</v>
      </c>
    </row>
    <row r="30" spans="1:30" x14ac:dyDescent="0.2">
      <c r="A30" s="20">
        <v>28</v>
      </c>
      <c r="B30" s="15" t="s">
        <v>73</v>
      </c>
      <c r="C30" s="12" t="s">
        <v>182</v>
      </c>
      <c r="D30" s="20">
        <v>4</v>
      </c>
      <c r="E30" s="20">
        <v>1</v>
      </c>
      <c r="F30" s="15" t="s">
        <v>46</v>
      </c>
      <c r="G30" s="15" t="s">
        <v>47</v>
      </c>
      <c r="H30" s="15"/>
      <c r="I30" s="15"/>
      <c r="J30" s="15"/>
      <c r="K30" s="20">
        <v>8</v>
      </c>
      <c r="L30" s="20">
        <v>40</v>
      </c>
      <c r="M30" s="20">
        <v>26</v>
      </c>
      <c r="N30" s="20"/>
      <c r="O30" s="20"/>
      <c r="P30" s="20"/>
      <c r="Q30" s="20"/>
      <c r="R30" s="20"/>
      <c r="S30" s="20"/>
      <c r="T30" s="20"/>
      <c r="U30" s="20"/>
      <c r="V30" s="20"/>
      <c r="W30" s="20">
        <v>2900</v>
      </c>
      <c r="X30" s="15" t="s">
        <v>323</v>
      </c>
      <c r="Y30" s="20">
        <v>12</v>
      </c>
      <c r="Z30" s="15" t="s">
        <v>449</v>
      </c>
      <c r="AA30" s="15" t="s">
        <v>277</v>
      </c>
      <c r="AB30" s="15" t="s">
        <v>256</v>
      </c>
      <c r="AC30" s="20" t="s">
        <v>257</v>
      </c>
      <c r="AD30" s="9" t="str">
        <f>IF(OR(Form_Responses34[[#This Row],[Total_monthly_fuel_expense 
]]&gt;10040,Form_Responses34[[#This Row],[Total_monthly_fuel_expense 
]]&lt;-4760),"Outlier","Normal")</f>
        <v>Normal</v>
      </c>
    </row>
    <row r="31" spans="1:30" x14ac:dyDescent="0.2">
      <c r="A31" s="20">
        <v>33</v>
      </c>
      <c r="B31" s="15" t="s">
        <v>73</v>
      </c>
      <c r="C31" s="12" t="s">
        <v>1890</v>
      </c>
      <c r="D31" s="20">
        <v>6</v>
      </c>
      <c r="E31" s="20">
        <v>3</v>
      </c>
      <c r="F31" s="15" t="s">
        <v>390</v>
      </c>
      <c r="G31" s="15" t="s">
        <v>47</v>
      </c>
      <c r="H31" s="15" t="s">
        <v>47</v>
      </c>
      <c r="I31" s="15" t="s">
        <v>47</v>
      </c>
      <c r="J31" s="15"/>
      <c r="K31" s="20">
        <v>4</v>
      </c>
      <c r="L31" s="20">
        <v>25</v>
      </c>
      <c r="M31" s="20">
        <v>16</v>
      </c>
      <c r="N31" s="20">
        <v>3</v>
      </c>
      <c r="O31" s="20">
        <v>8</v>
      </c>
      <c r="P31" s="20">
        <v>6</v>
      </c>
      <c r="Q31" s="20">
        <v>5</v>
      </c>
      <c r="R31" s="20">
        <v>40</v>
      </c>
      <c r="S31" s="20">
        <v>60</v>
      </c>
      <c r="T31" s="20"/>
      <c r="U31" s="20"/>
      <c r="V31" s="20"/>
      <c r="W31" s="20">
        <v>9500</v>
      </c>
      <c r="X31" s="15" t="s">
        <v>159</v>
      </c>
      <c r="Y31" s="20">
        <v>20</v>
      </c>
      <c r="Z31" s="15" t="s">
        <v>255</v>
      </c>
      <c r="AA31" s="15" t="s">
        <v>85</v>
      </c>
      <c r="AB31" s="15" t="s">
        <v>256</v>
      </c>
      <c r="AC31" s="20" t="s">
        <v>152</v>
      </c>
      <c r="AD31" s="9" t="str">
        <f>IF(OR(Form_Responses34[[#This Row],[Total_monthly_fuel_expense 
]]&gt;10040,Form_Responses34[[#This Row],[Total_monthly_fuel_expense 
]]&lt;-4760),"Outlier","Normal")</f>
        <v>Normal</v>
      </c>
    </row>
    <row r="32" spans="1:30" x14ac:dyDescent="0.2">
      <c r="A32" s="20">
        <v>26</v>
      </c>
      <c r="B32" s="15" t="s">
        <v>42</v>
      </c>
      <c r="C32" s="12" t="s">
        <v>1889</v>
      </c>
      <c r="D32" s="20">
        <v>3</v>
      </c>
      <c r="E32" s="20">
        <v>1</v>
      </c>
      <c r="F32" s="15" t="s">
        <v>431</v>
      </c>
      <c r="G32" s="15"/>
      <c r="H32" s="15"/>
      <c r="I32" s="15" t="s">
        <v>47</v>
      </c>
      <c r="J32" s="15"/>
      <c r="K32" s="20"/>
      <c r="L32" s="20"/>
      <c r="M32" s="20"/>
      <c r="N32" s="20"/>
      <c r="O32" s="20"/>
      <c r="P32" s="20"/>
      <c r="Q32" s="20">
        <v>3</v>
      </c>
      <c r="R32" s="20">
        <v>25</v>
      </c>
      <c r="S32" s="20">
        <v>45</v>
      </c>
      <c r="T32" s="20"/>
      <c r="U32" s="20"/>
      <c r="V32" s="20"/>
      <c r="W32" s="20">
        <v>5200</v>
      </c>
      <c r="X32" s="15" t="s">
        <v>252</v>
      </c>
      <c r="Y32" s="20">
        <v>9</v>
      </c>
      <c r="Z32" s="15" t="s">
        <v>255</v>
      </c>
      <c r="AA32" s="15" t="s">
        <v>277</v>
      </c>
      <c r="AB32" s="15" t="s">
        <v>335</v>
      </c>
      <c r="AC32" s="20" t="s">
        <v>152</v>
      </c>
      <c r="AD32" s="9" t="str">
        <f>IF(OR(Form_Responses34[[#This Row],[Total_monthly_fuel_expense 
]]&gt;10040,Form_Responses34[[#This Row],[Total_monthly_fuel_expense 
]]&lt;-4760),"Outlier","Normal")</f>
        <v>Normal</v>
      </c>
    </row>
    <row r="33" spans="1:30" x14ac:dyDescent="0.2">
      <c r="A33" s="20">
        <v>30</v>
      </c>
      <c r="B33" s="15" t="s">
        <v>73</v>
      </c>
      <c r="C33" s="12" t="s">
        <v>1891</v>
      </c>
      <c r="D33" s="20">
        <v>4</v>
      </c>
      <c r="E33" s="20">
        <v>2</v>
      </c>
      <c r="F33" s="15" t="s">
        <v>246</v>
      </c>
      <c r="G33" s="15" t="s">
        <v>47</v>
      </c>
      <c r="H33" s="15"/>
      <c r="I33" s="15" t="s">
        <v>291</v>
      </c>
      <c r="J33" s="15"/>
      <c r="K33" s="20">
        <v>2</v>
      </c>
      <c r="L33" s="20">
        <v>10</v>
      </c>
      <c r="M33" s="20">
        <v>7</v>
      </c>
      <c r="N33" s="20"/>
      <c r="O33" s="20"/>
      <c r="P33" s="20"/>
      <c r="Q33" s="20">
        <v>3</v>
      </c>
      <c r="R33" s="20">
        <v>50</v>
      </c>
      <c r="S33" s="20">
        <v>65</v>
      </c>
      <c r="T33" s="20"/>
      <c r="U33" s="20"/>
      <c r="V33" s="20"/>
      <c r="W33" s="20">
        <v>8500</v>
      </c>
      <c r="X33" s="15" t="s">
        <v>323</v>
      </c>
      <c r="Y33" s="20">
        <v>18</v>
      </c>
      <c r="Z33" s="15" t="s">
        <v>255</v>
      </c>
      <c r="AA33" s="15" t="s">
        <v>85</v>
      </c>
      <c r="AB33" s="15" t="s">
        <v>307</v>
      </c>
      <c r="AC33" s="20" t="s">
        <v>257</v>
      </c>
      <c r="AD33" s="9" t="str">
        <f>IF(OR(Form_Responses34[[#This Row],[Total_monthly_fuel_expense 
]]&gt;10040,Form_Responses34[[#This Row],[Total_monthly_fuel_expense 
]]&lt;-4760),"Outlier","Normal")</f>
        <v>Normal</v>
      </c>
    </row>
    <row r="34" spans="1:30" x14ac:dyDescent="0.2">
      <c r="A34" s="20">
        <v>33</v>
      </c>
      <c r="B34" s="15" t="s">
        <v>73</v>
      </c>
      <c r="C34" s="12" t="s">
        <v>1888</v>
      </c>
      <c r="D34" s="20">
        <v>5</v>
      </c>
      <c r="E34" s="20">
        <v>2</v>
      </c>
      <c r="F34" s="15" t="s">
        <v>290</v>
      </c>
      <c r="G34" s="15" t="s">
        <v>47</v>
      </c>
      <c r="H34" s="15"/>
      <c r="I34" s="15"/>
      <c r="J34" s="15" t="s">
        <v>291</v>
      </c>
      <c r="K34" s="20">
        <v>9</v>
      </c>
      <c r="L34" s="20">
        <v>20</v>
      </c>
      <c r="M34" s="20">
        <v>14</v>
      </c>
      <c r="N34" s="20"/>
      <c r="O34" s="20"/>
      <c r="P34" s="20"/>
      <c r="Q34" s="20"/>
      <c r="R34" s="20"/>
      <c r="S34" s="20"/>
      <c r="T34" s="20">
        <v>12</v>
      </c>
      <c r="U34" s="20">
        <v>18</v>
      </c>
      <c r="V34" s="20">
        <v>55</v>
      </c>
      <c r="W34" s="20">
        <v>7000</v>
      </c>
      <c r="X34" s="15" t="s">
        <v>159</v>
      </c>
      <c r="Y34" s="20">
        <v>10</v>
      </c>
      <c r="Z34" s="15" t="s">
        <v>296</v>
      </c>
      <c r="AA34" s="15" t="s">
        <v>85</v>
      </c>
      <c r="AB34" s="15" t="s">
        <v>318</v>
      </c>
      <c r="AC34" s="20" t="s">
        <v>68</v>
      </c>
      <c r="AD34" s="9" t="str">
        <f>IF(OR(Form_Responses34[[#This Row],[Total_monthly_fuel_expense 
]]&gt;10040,Form_Responses34[[#This Row],[Total_monthly_fuel_expense 
]]&lt;-4760),"Outlier","Normal")</f>
        <v>Normal</v>
      </c>
    </row>
    <row r="35" spans="1:30" x14ac:dyDescent="0.2">
      <c r="A35" s="20">
        <v>38</v>
      </c>
      <c r="B35" s="15" t="s">
        <v>73</v>
      </c>
      <c r="C35" s="12" t="s">
        <v>1890</v>
      </c>
      <c r="D35" s="20">
        <v>5</v>
      </c>
      <c r="E35" s="20">
        <v>2</v>
      </c>
      <c r="F35" s="15" t="s">
        <v>246</v>
      </c>
      <c r="G35" s="15" t="s">
        <v>47</v>
      </c>
      <c r="H35" s="15"/>
      <c r="I35" s="15" t="s">
        <v>47</v>
      </c>
      <c r="J35" s="15"/>
      <c r="K35" s="20">
        <v>9</v>
      </c>
      <c r="L35" s="20">
        <v>15</v>
      </c>
      <c r="M35" s="20">
        <v>12</v>
      </c>
      <c r="N35" s="20"/>
      <c r="O35" s="20"/>
      <c r="P35" s="20"/>
      <c r="Q35" s="20">
        <v>4</v>
      </c>
      <c r="R35" s="20">
        <v>20</v>
      </c>
      <c r="S35" s="20">
        <v>24</v>
      </c>
      <c r="T35" s="20"/>
      <c r="U35" s="20"/>
      <c r="V35" s="20"/>
      <c r="W35" s="20">
        <v>5500</v>
      </c>
      <c r="X35" s="15" t="s">
        <v>360</v>
      </c>
      <c r="Y35" s="20">
        <v>12</v>
      </c>
      <c r="Z35" s="15" t="s">
        <v>449</v>
      </c>
      <c r="AA35" s="15" t="s">
        <v>362</v>
      </c>
      <c r="AB35" s="15" t="s">
        <v>307</v>
      </c>
      <c r="AC35" s="20" t="s">
        <v>68</v>
      </c>
      <c r="AD35" s="9" t="str">
        <f>IF(OR(Form_Responses34[[#This Row],[Total_monthly_fuel_expense 
]]&gt;10040,Form_Responses34[[#This Row],[Total_monthly_fuel_expense 
]]&lt;-4760),"Outlier","Normal")</f>
        <v>Normal</v>
      </c>
    </row>
    <row r="36" spans="1:30" x14ac:dyDescent="0.2">
      <c r="A36" s="20">
        <v>29</v>
      </c>
      <c r="B36" s="15" t="s">
        <v>42</v>
      </c>
      <c r="C36" s="12" t="s">
        <v>1889</v>
      </c>
      <c r="D36" s="20">
        <v>3</v>
      </c>
      <c r="E36" s="20">
        <v>1</v>
      </c>
      <c r="F36" s="15" t="s">
        <v>100</v>
      </c>
      <c r="G36" s="15"/>
      <c r="H36" s="15" t="s">
        <v>47</v>
      </c>
      <c r="I36" s="15"/>
      <c r="J36" s="15"/>
      <c r="K36" s="20"/>
      <c r="L36" s="20"/>
      <c r="M36" s="20"/>
      <c r="N36" s="20">
        <v>3</v>
      </c>
      <c r="O36" s="20">
        <v>9</v>
      </c>
      <c r="P36" s="20">
        <v>7</v>
      </c>
      <c r="Q36" s="20"/>
      <c r="R36" s="20"/>
      <c r="S36" s="20"/>
      <c r="T36" s="20"/>
      <c r="U36" s="20"/>
      <c r="V36" s="20"/>
      <c r="W36" s="20">
        <v>900</v>
      </c>
      <c r="X36" s="15" t="s">
        <v>252</v>
      </c>
      <c r="Y36" s="20">
        <v>4</v>
      </c>
      <c r="Z36" s="15" t="s">
        <v>255</v>
      </c>
      <c r="AA36" s="15" t="s">
        <v>277</v>
      </c>
      <c r="AB36" s="15" t="s">
        <v>335</v>
      </c>
      <c r="AC36" s="20" t="s">
        <v>152</v>
      </c>
      <c r="AD36" s="9" t="str">
        <f>IF(OR(Form_Responses34[[#This Row],[Total_monthly_fuel_expense 
]]&gt;10040,Form_Responses34[[#This Row],[Total_monthly_fuel_expense 
]]&lt;-4760),"Outlier","Normal")</f>
        <v>Normal</v>
      </c>
    </row>
    <row r="37" spans="1:30" x14ac:dyDescent="0.2">
      <c r="A37" s="20">
        <v>26</v>
      </c>
      <c r="B37" s="15" t="s">
        <v>73</v>
      </c>
      <c r="C37" s="12" t="s">
        <v>1888</v>
      </c>
      <c r="D37" s="20">
        <v>6</v>
      </c>
      <c r="E37" s="20">
        <v>2</v>
      </c>
      <c r="F37" s="15" t="s">
        <v>290</v>
      </c>
      <c r="G37" s="15" t="s">
        <v>47</v>
      </c>
      <c r="H37" s="15"/>
      <c r="I37" s="15"/>
      <c r="J37" s="15" t="s">
        <v>291</v>
      </c>
      <c r="K37" s="20">
        <v>4</v>
      </c>
      <c r="L37" s="20">
        <v>14</v>
      </c>
      <c r="M37" s="20">
        <v>10</v>
      </c>
      <c r="N37" s="20"/>
      <c r="O37" s="20"/>
      <c r="P37" s="20"/>
      <c r="Q37" s="20"/>
      <c r="R37" s="20"/>
      <c r="S37" s="20"/>
      <c r="T37" s="20">
        <v>7</v>
      </c>
      <c r="U37" s="20">
        <v>32</v>
      </c>
      <c r="V37" s="20">
        <v>42</v>
      </c>
      <c r="W37" s="20">
        <v>5200</v>
      </c>
      <c r="X37" s="15" t="s">
        <v>159</v>
      </c>
      <c r="Y37" s="20">
        <v>10</v>
      </c>
      <c r="Z37" s="15" t="s">
        <v>296</v>
      </c>
      <c r="AA37" s="15" t="s">
        <v>85</v>
      </c>
      <c r="AB37" s="15" t="s">
        <v>256</v>
      </c>
      <c r="AC37" s="20" t="s">
        <v>257</v>
      </c>
      <c r="AD37" s="9" t="str">
        <f>IF(OR(Form_Responses34[[#This Row],[Total_monthly_fuel_expense 
]]&gt;10040,Form_Responses34[[#This Row],[Total_monthly_fuel_expense 
]]&lt;-4760),"Outlier","Normal")</f>
        <v>Normal</v>
      </c>
    </row>
    <row r="38" spans="1:30" x14ac:dyDescent="0.2">
      <c r="A38" s="20">
        <v>20</v>
      </c>
      <c r="B38" s="15" t="s">
        <v>42</v>
      </c>
      <c r="C38" s="12" t="s">
        <v>182</v>
      </c>
      <c r="D38" s="20">
        <v>4</v>
      </c>
      <c r="E38" s="20">
        <v>1</v>
      </c>
      <c r="F38" s="15" t="s">
        <v>100</v>
      </c>
      <c r="G38" s="15"/>
      <c r="H38" s="15" t="s">
        <v>47</v>
      </c>
      <c r="I38" s="15"/>
      <c r="J38" s="15"/>
      <c r="K38" s="20"/>
      <c r="L38" s="20"/>
      <c r="M38" s="20"/>
      <c r="N38" s="20">
        <v>1</v>
      </c>
      <c r="O38" s="20">
        <v>8</v>
      </c>
      <c r="P38" s="20">
        <v>5</v>
      </c>
      <c r="Q38" s="20"/>
      <c r="R38" s="20"/>
      <c r="S38" s="20"/>
      <c r="T38" s="20"/>
      <c r="U38" s="20"/>
      <c r="V38" s="20"/>
      <c r="W38" s="20">
        <v>650</v>
      </c>
      <c r="X38" s="15" t="s">
        <v>323</v>
      </c>
      <c r="Y38" s="20">
        <v>5</v>
      </c>
      <c r="Z38" s="15" t="s">
        <v>285</v>
      </c>
      <c r="AA38" s="15" t="s">
        <v>96</v>
      </c>
      <c r="AB38" s="15" t="s">
        <v>256</v>
      </c>
      <c r="AC38" s="20" t="s">
        <v>152</v>
      </c>
      <c r="AD38" s="9" t="str">
        <f>IF(OR(Form_Responses34[[#This Row],[Total_monthly_fuel_expense 
]]&gt;10040,Form_Responses34[[#This Row],[Total_monthly_fuel_expense 
]]&lt;-4760),"Outlier","Normal")</f>
        <v>Normal</v>
      </c>
    </row>
    <row r="39" spans="1:30" x14ac:dyDescent="0.2">
      <c r="A39" s="20">
        <v>42</v>
      </c>
      <c r="B39" s="15" t="s">
        <v>73</v>
      </c>
      <c r="C39" s="12" t="s">
        <v>1891</v>
      </c>
      <c r="D39" s="20">
        <v>5</v>
      </c>
      <c r="E39" s="20">
        <v>3</v>
      </c>
      <c r="F39" s="15" t="s">
        <v>309</v>
      </c>
      <c r="G39" s="15" t="s">
        <v>47</v>
      </c>
      <c r="H39" s="15"/>
      <c r="I39" s="15" t="s">
        <v>47</v>
      </c>
      <c r="J39" s="15" t="s">
        <v>291</v>
      </c>
      <c r="K39" s="20">
        <v>8</v>
      </c>
      <c r="L39" s="20">
        <v>20</v>
      </c>
      <c r="M39" s="20">
        <v>15</v>
      </c>
      <c r="N39" s="20"/>
      <c r="O39" s="20"/>
      <c r="P39" s="20"/>
      <c r="Q39" s="20">
        <v>5</v>
      </c>
      <c r="R39" s="20">
        <v>22</v>
      </c>
      <c r="S39" s="20">
        <v>26</v>
      </c>
      <c r="T39" s="20">
        <v>6</v>
      </c>
      <c r="U39" s="20">
        <v>45</v>
      </c>
      <c r="V39" s="20">
        <v>26</v>
      </c>
      <c r="W39" s="20">
        <v>12000</v>
      </c>
      <c r="X39" s="15" t="s">
        <v>252</v>
      </c>
      <c r="Y39" s="20">
        <v>15</v>
      </c>
      <c r="Z39" s="15" t="s">
        <v>255</v>
      </c>
      <c r="AA39" s="15" t="s">
        <v>362</v>
      </c>
      <c r="AB39" s="15" t="s">
        <v>307</v>
      </c>
      <c r="AC39" s="20" t="s">
        <v>257</v>
      </c>
      <c r="AD39" s="9" t="str">
        <f>IF(OR(Form_Responses34[[#This Row],[Total_monthly_fuel_expense 
]]&gt;10040,Form_Responses34[[#This Row],[Total_monthly_fuel_expense 
]]&lt;-4760),"Outlier","Normal")</f>
        <v>Outlier</v>
      </c>
    </row>
    <row r="40" spans="1:30" x14ac:dyDescent="0.2">
      <c r="A40" s="20">
        <v>31</v>
      </c>
      <c r="B40" s="15" t="s">
        <v>42</v>
      </c>
      <c r="C40" s="12" t="s">
        <v>1890</v>
      </c>
      <c r="D40" s="20">
        <v>4</v>
      </c>
      <c r="E40" s="20">
        <v>1</v>
      </c>
      <c r="F40" s="15" t="s">
        <v>431</v>
      </c>
      <c r="G40" s="15"/>
      <c r="H40" s="15"/>
      <c r="I40" s="15" t="s">
        <v>47</v>
      </c>
      <c r="J40" s="15"/>
      <c r="K40" s="20"/>
      <c r="L40" s="20"/>
      <c r="M40" s="20"/>
      <c r="N40" s="20"/>
      <c r="O40" s="20"/>
      <c r="P40" s="20"/>
      <c r="Q40" s="20">
        <v>3</v>
      </c>
      <c r="R40" s="20">
        <v>16</v>
      </c>
      <c r="S40" s="20">
        <v>20</v>
      </c>
      <c r="T40" s="20"/>
      <c r="U40" s="20"/>
      <c r="V40" s="20"/>
      <c r="W40" s="20">
        <v>2400</v>
      </c>
      <c r="X40" s="15" t="s">
        <v>276</v>
      </c>
      <c r="Y40" s="20">
        <v>6</v>
      </c>
      <c r="Z40" s="15" t="s">
        <v>255</v>
      </c>
      <c r="AA40" s="15" t="s">
        <v>85</v>
      </c>
      <c r="AB40" s="15" t="s">
        <v>335</v>
      </c>
      <c r="AC40" s="20" t="s">
        <v>152</v>
      </c>
      <c r="AD40" s="9" t="str">
        <f>IF(OR(Form_Responses34[[#This Row],[Total_monthly_fuel_expense 
]]&gt;10040,Form_Responses34[[#This Row],[Total_monthly_fuel_expense 
]]&lt;-4760),"Outlier","Normal")</f>
        <v>Normal</v>
      </c>
    </row>
    <row r="41" spans="1:30" x14ac:dyDescent="0.2">
      <c r="A41" s="20">
        <v>24</v>
      </c>
      <c r="B41" s="15" t="s">
        <v>73</v>
      </c>
      <c r="C41" s="12" t="s">
        <v>1888</v>
      </c>
      <c r="D41" s="20">
        <v>3</v>
      </c>
      <c r="E41" s="20">
        <v>1</v>
      </c>
      <c r="F41" s="15" t="s">
        <v>46</v>
      </c>
      <c r="G41" s="15" t="s">
        <v>47</v>
      </c>
      <c r="H41" s="15"/>
      <c r="I41" s="15"/>
      <c r="J41" s="15"/>
      <c r="K41" s="20">
        <v>2</v>
      </c>
      <c r="L41" s="20">
        <v>18</v>
      </c>
      <c r="M41" s="20">
        <v>14</v>
      </c>
      <c r="N41" s="20"/>
      <c r="O41" s="20"/>
      <c r="P41" s="20"/>
      <c r="Q41" s="20"/>
      <c r="R41" s="20"/>
      <c r="S41" s="20"/>
      <c r="T41" s="20"/>
      <c r="U41" s="20"/>
      <c r="V41" s="20"/>
      <c r="W41" s="20">
        <v>1500</v>
      </c>
      <c r="X41" s="15" t="s">
        <v>323</v>
      </c>
      <c r="Y41" s="20">
        <v>9</v>
      </c>
      <c r="Z41" s="15" t="s">
        <v>255</v>
      </c>
      <c r="AA41" s="15" t="s">
        <v>277</v>
      </c>
      <c r="AB41" s="15" t="s">
        <v>256</v>
      </c>
      <c r="AC41" s="20" t="s">
        <v>152</v>
      </c>
      <c r="AD41" s="9" t="str">
        <f>IF(OR(Form_Responses34[[#This Row],[Total_monthly_fuel_expense 
]]&gt;10040,Form_Responses34[[#This Row],[Total_monthly_fuel_expense 
]]&lt;-4760),"Outlier","Normal")</f>
        <v>Normal</v>
      </c>
    </row>
    <row r="42" spans="1:30" x14ac:dyDescent="0.2">
      <c r="A42" s="20">
        <v>47</v>
      </c>
      <c r="B42" s="15" t="s">
        <v>42</v>
      </c>
      <c r="C42" s="12" t="s">
        <v>182</v>
      </c>
      <c r="D42" s="20">
        <v>4</v>
      </c>
      <c r="E42" s="20">
        <v>1</v>
      </c>
      <c r="F42" s="15" t="s">
        <v>100</v>
      </c>
      <c r="G42" s="15"/>
      <c r="H42" s="15" t="s">
        <v>47</v>
      </c>
      <c r="I42" s="15"/>
      <c r="J42" s="15"/>
      <c r="K42" s="20"/>
      <c r="L42" s="20"/>
      <c r="M42" s="20"/>
      <c r="N42" s="20">
        <v>6</v>
      </c>
      <c r="O42" s="20">
        <v>5</v>
      </c>
      <c r="P42" s="20">
        <v>4</v>
      </c>
      <c r="Q42" s="20"/>
      <c r="R42" s="20"/>
      <c r="S42" s="20"/>
      <c r="T42" s="20"/>
      <c r="U42" s="20"/>
      <c r="V42" s="20"/>
      <c r="W42" s="20">
        <v>500</v>
      </c>
      <c r="X42" s="15" t="s">
        <v>252</v>
      </c>
      <c r="Y42" s="20">
        <v>3</v>
      </c>
      <c r="Z42" s="15" t="s">
        <v>555</v>
      </c>
      <c r="AA42" s="15" t="s">
        <v>96</v>
      </c>
      <c r="AB42" s="15" t="s">
        <v>325</v>
      </c>
      <c r="AC42" s="20" t="s">
        <v>257</v>
      </c>
      <c r="AD42" s="9" t="str">
        <f>IF(OR(Form_Responses34[[#This Row],[Total_monthly_fuel_expense 
]]&gt;10040,Form_Responses34[[#This Row],[Total_monthly_fuel_expense 
]]&lt;-4760),"Outlier","Normal")</f>
        <v>Normal</v>
      </c>
    </row>
    <row r="43" spans="1:30" x14ac:dyDescent="0.2">
      <c r="A43" s="20">
        <v>34</v>
      </c>
      <c r="B43" s="15" t="s">
        <v>73</v>
      </c>
      <c r="C43" s="12" t="s">
        <v>155</v>
      </c>
      <c r="D43" s="20">
        <v>4</v>
      </c>
      <c r="E43" s="20">
        <v>2</v>
      </c>
      <c r="F43" s="15" t="s">
        <v>246</v>
      </c>
      <c r="G43" s="15" t="s">
        <v>47</v>
      </c>
      <c r="H43" s="15"/>
      <c r="I43" s="15" t="s">
        <v>47</v>
      </c>
      <c r="J43" s="15"/>
      <c r="K43" s="20">
        <v>3</v>
      </c>
      <c r="L43" s="20">
        <v>12</v>
      </c>
      <c r="M43" s="20">
        <v>9</v>
      </c>
      <c r="N43" s="20"/>
      <c r="O43" s="20"/>
      <c r="P43" s="20"/>
      <c r="Q43" s="20">
        <v>2</v>
      </c>
      <c r="R43" s="20">
        <v>25</v>
      </c>
      <c r="S43" s="20">
        <v>9</v>
      </c>
      <c r="T43" s="20"/>
      <c r="U43" s="20"/>
      <c r="V43" s="20"/>
      <c r="W43" s="20">
        <v>5800</v>
      </c>
      <c r="X43" s="15" t="s">
        <v>276</v>
      </c>
      <c r="Y43" s="20">
        <v>10</v>
      </c>
      <c r="Z43" s="15" t="s">
        <v>559</v>
      </c>
      <c r="AA43" s="15" t="s">
        <v>362</v>
      </c>
      <c r="AB43" s="15" t="s">
        <v>307</v>
      </c>
      <c r="AC43" s="20" t="s">
        <v>152</v>
      </c>
      <c r="AD43" s="9" t="str">
        <f>IF(OR(Form_Responses34[[#This Row],[Total_monthly_fuel_expense 
]]&gt;10040,Form_Responses34[[#This Row],[Total_monthly_fuel_expense 
]]&lt;-4760),"Outlier","Normal")</f>
        <v>Normal</v>
      </c>
    </row>
    <row r="44" spans="1:30" x14ac:dyDescent="0.2">
      <c r="A44" s="20">
        <v>22</v>
      </c>
      <c r="B44" s="15" t="s">
        <v>42</v>
      </c>
      <c r="C44" s="12" t="s">
        <v>182</v>
      </c>
      <c r="D44" s="20">
        <v>5</v>
      </c>
      <c r="E44" s="20">
        <v>1</v>
      </c>
      <c r="F44" s="15" t="s">
        <v>46</v>
      </c>
      <c r="G44" s="15" t="s">
        <v>47</v>
      </c>
      <c r="H44" s="15"/>
      <c r="I44" s="15"/>
      <c r="J44" s="15"/>
      <c r="K44" s="20">
        <v>2</v>
      </c>
      <c r="L44" s="20">
        <v>10</v>
      </c>
      <c r="M44" s="20">
        <v>7</v>
      </c>
      <c r="N44" s="20"/>
      <c r="O44" s="20"/>
      <c r="P44" s="20"/>
      <c r="Q44" s="20"/>
      <c r="R44" s="20"/>
      <c r="S44" s="20"/>
      <c r="T44" s="20"/>
      <c r="U44" s="20"/>
      <c r="V44" s="20"/>
      <c r="W44" s="20">
        <v>850</v>
      </c>
      <c r="X44" s="15" t="s">
        <v>159</v>
      </c>
      <c r="Y44" s="20">
        <v>6</v>
      </c>
      <c r="Z44" s="15" t="s">
        <v>285</v>
      </c>
      <c r="AA44" s="15" t="s">
        <v>96</v>
      </c>
      <c r="AB44" s="15" t="s">
        <v>256</v>
      </c>
      <c r="AC44" s="20" t="s">
        <v>257</v>
      </c>
      <c r="AD44" s="9" t="str">
        <f>IF(OR(Form_Responses34[[#This Row],[Total_monthly_fuel_expense 
]]&gt;10040,Form_Responses34[[#This Row],[Total_monthly_fuel_expense 
]]&lt;-4760),"Outlier","Normal")</f>
        <v>Normal</v>
      </c>
    </row>
    <row r="45" spans="1:30" x14ac:dyDescent="0.2">
      <c r="A45" s="20">
        <v>22</v>
      </c>
      <c r="B45" s="15" t="s">
        <v>73</v>
      </c>
      <c r="C45" s="12" t="s">
        <v>1888</v>
      </c>
      <c r="D45" s="20">
        <v>4</v>
      </c>
      <c r="E45" s="20">
        <v>1</v>
      </c>
      <c r="F45" s="15" t="s">
        <v>46</v>
      </c>
      <c r="G45" s="15" t="s">
        <v>47</v>
      </c>
      <c r="H45" s="15"/>
      <c r="I45" s="15"/>
      <c r="J45" s="15"/>
      <c r="K45" s="20">
        <v>4</v>
      </c>
      <c r="L45" s="20">
        <v>18</v>
      </c>
      <c r="M45" s="20">
        <v>14</v>
      </c>
      <c r="N45" s="20"/>
      <c r="O45" s="20"/>
      <c r="P45" s="20"/>
      <c r="Q45" s="20"/>
      <c r="R45" s="20"/>
      <c r="S45" s="20"/>
      <c r="T45" s="20"/>
      <c r="U45" s="20"/>
      <c r="V45" s="20"/>
      <c r="W45" s="20">
        <v>1400</v>
      </c>
      <c r="X45" s="15" t="s">
        <v>252</v>
      </c>
      <c r="Y45" s="20">
        <v>9</v>
      </c>
      <c r="Z45" s="15" t="s">
        <v>255</v>
      </c>
      <c r="AA45" s="15" t="s">
        <v>85</v>
      </c>
      <c r="AB45" s="15" t="s">
        <v>256</v>
      </c>
      <c r="AC45" s="20" t="s">
        <v>257</v>
      </c>
      <c r="AD45" s="9" t="str">
        <f>IF(OR(Form_Responses34[[#This Row],[Total_monthly_fuel_expense 
]]&gt;10040,Form_Responses34[[#This Row],[Total_monthly_fuel_expense 
]]&lt;-4760),"Outlier","Normal")</f>
        <v>Normal</v>
      </c>
    </row>
    <row r="46" spans="1:30" x14ac:dyDescent="0.2">
      <c r="A46" s="20">
        <v>27</v>
      </c>
      <c r="B46" s="15" t="s">
        <v>42</v>
      </c>
      <c r="C46" s="12" t="s">
        <v>1889</v>
      </c>
      <c r="D46" s="20">
        <v>3</v>
      </c>
      <c r="E46" s="20">
        <v>2</v>
      </c>
      <c r="F46" s="15" t="s">
        <v>269</v>
      </c>
      <c r="G46" s="15"/>
      <c r="H46" s="15" t="s">
        <v>47</v>
      </c>
      <c r="I46" s="15" t="s">
        <v>47</v>
      </c>
      <c r="J46" s="15"/>
      <c r="K46" s="20"/>
      <c r="L46" s="20"/>
      <c r="M46" s="20"/>
      <c r="N46" s="20">
        <v>3</v>
      </c>
      <c r="O46" s="20">
        <v>10</v>
      </c>
      <c r="P46" s="20">
        <v>7</v>
      </c>
      <c r="Q46" s="20">
        <v>6</v>
      </c>
      <c r="R46" s="20">
        <v>14</v>
      </c>
      <c r="S46" s="20">
        <v>20</v>
      </c>
      <c r="T46" s="20"/>
      <c r="U46" s="20"/>
      <c r="V46" s="20"/>
      <c r="W46" s="20">
        <v>3200</v>
      </c>
      <c r="X46" s="15" t="s">
        <v>323</v>
      </c>
      <c r="Y46" s="20">
        <v>7</v>
      </c>
      <c r="Z46" s="15" t="s">
        <v>255</v>
      </c>
      <c r="AA46" s="15" t="s">
        <v>277</v>
      </c>
      <c r="AB46" s="15" t="s">
        <v>256</v>
      </c>
      <c r="AC46" s="20" t="s">
        <v>152</v>
      </c>
      <c r="AD46" s="9" t="str">
        <f>IF(OR(Form_Responses34[[#This Row],[Total_monthly_fuel_expense 
]]&gt;10040,Form_Responses34[[#This Row],[Total_monthly_fuel_expense 
]]&lt;-4760),"Outlier","Normal")</f>
        <v>Normal</v>
      </c>
    </row>
    <row r="47" spans="1:30" x14ac:dyDescent="0.2">
      <c r="A47" s="20">
        <v>40</v>
      </c>
      <c r="B47" s="15" t="s">
        <v>73</v>
      </c>
      <c r="C47" s="12" t="s">
        <v>1889</v>
      </c>
      <c r="D47" s="20">
        <v>5</v>
      </c>
      <c r="E47" s="20">
        <v>2</v>
      </c>
      <c r="F47" s="15" t="s">
        <v>290</v>
      </c>
      <c r="G47" s="15" t="s">
        <v>47</v>
      </c>
      <c r="H47" s="15"/>
      <c r="I47" s="15"/>
      <c r="J47" s="15" t="s">
        <v>291</v>
      </c>
      <c r="K47" s="20">
        <v>7</v>
      </c>
      <c r="L47" s="20">
        <v>20</v>
      </c>
      <c r="M47" s="20">
        <v>16</v>
      </c>
      <c r="N47" s="20"/>
      <c r="O47" s="20"/>
      <c r="P47" s="20"/>
      <c r="Q47" s="20"/>
      <c r="R47" s="20"/>
      <c r="S47" s="20"/>
      <c r="T47" s="20">
        <v>5</v>
      </c>
      <c r="U47" s="20">
        <v>35</v>
      </c>
      <c r="V47" s="20">
        <v>45</v>
      </c>
      <c r="W47" s="20">
        <v>6800</v>
      </c>
      <c r="X47" s="15" t="s">
        <v>159</v>
      </c>
      <c r="Y47" s="20">
        <v>11</v>
      </c>
      <c r="Z47" s="15" t="s">
        <v>296</v>
      </c>
      <c r="AA47" s="15" t="s">
        <v>85</v>
      </c>
      <c r="AB47" s="15" t="s">
        <v>325</v>
      </c>
      <c r="AC47" s="20" t="s">
        <v>68</v>
      </c>
      <c r="AD47" s="9" t="str">
        <f>IF(OR(Form_Responses34[[#This Row],[Total_monthly_fuel_expense 
]]&gt;10040,Form_Responses34[[#This Row],[Total_monthly_fuel_expense 
]]&lt;-4760),"Outlier","Normal")</f>
        <v>Normal</v>
      </c>
    </row>
    <row r="48" spans="1:30" x14ac:dyDescent="0.2">
      <c r="A48" s="20">
        <v>32</v>
      </c>
      <c r="B48" s="15" t="s">
        <v>42</v>
      </c>
      <c r="C48" s="12" t="s">
        <v>1888</v>
      </c>
      <c r="D48" s="20">
        <v>4</v>
      </c>
      <c r="E48" s="20">
        <v>1</v>
      </c>
      <c r="F48" s="15" t="s">
        <v>100</v>
      </c>
      <c r="G48" s="15"/>
      <c r="H48" s="15" t="s">
        <v>47</v>
      </c>
      <c r="I48" s="15"/>
      <c r="J48" s="15"/>
      <c r="K48" s="20"/>
      <c r="L48" s="20"/>
      <c r="M48" s="20"/>
      <c r="N48" s="20">
        <v>4</v>
      </c>
      <c r="O48" s="20">
        <v>8</v>
      </c>
      <c r="P48" s="20">
        <v>6</v>
      </c>
      <c r="Q48" s="20"/>
      <c r="R48" s="20"/>
      <c r="S48" s="20"/>
      <c r="T48" s="20"/>
      <c r="U48" s="20"/>
      <c r="V48" s="20"/>
      <c r="W48" s="20">
        <v>700</v>
      </c>
      <c r="X48" s="15" t="s">
        <v>252</v>
      </c>
      <c r="Y48" s="20">
        <v>4</v>
      </c>
      <c r="Z48" s="15" t="s">
        <v>344</v>
      </c>
      <c r="AA48" s="15" t="s">
        <v>96</v>
      </c>
      <c r="AB48" s="15" t="s">
        <v>335</v>
      </c>
      <c r="AC48" s="20" t="s">
        <v>257</v>
      </c>
      <c r="AD48" s="9" t="str">
        <f>IF(OR(Form_Responses34[[#This Row],[Total_monthly_fuel_expense 
]]&gt;10040,Form_Responses34[[#This Row],[Total_monthly_fuel_expense 
]]&lt;-4760),"Outlier","Normal")</f>
        <v>Normal</v>
      </c>
    </row>
    <row r="49" spans="1:30" x14ac:dyDescent="0.2">
      <c r="A49" s="20">
        <v>45</v>
      </c>
      <c r="B49" s="15" t="s">
        <v>73</v>
      </c>
      <c r="C49" s="12" t="s">
        <v>1891</v>
      </c>
      <c r="D49" s="20">
        <v>5</v>
      </c>
      <c r="E49" s="20">
        <v>3</v>
      </c>
      <c r="F49" s="15" t="s">
        <v>309</v>
      </c>
      <c r="G49" s="15" t="s">
        <v>47</v>
      </c>
      <c r="H49" s="15"/>
      <c r="I49" s="15" t="s">
        <v>47</v>
      </c>
      <c r="J49" s="15" t="s">
        <v>291</v>
      </c>
      <c r="K49" s="20">
        <v>10</v>
      </c>
      <c r="L49" s="20">
        <v>15</v>
      </c>
      <c r="M49" s="20">
        <v>12</v>
      </c>
      <c r="N49" s="20"/>
      <c r="O49" s="20"/>
      <c r="P49" s="20"/>
      <c r="Q49" s="20">
        <v>8</v>
      </c>
      <c r="R49" s="20">
        <v>25</v>
      </c>
      <c r="S49" s="20">
        <v>28</v>
      </c>
      <c r="T49" s="20">
        <v>6</v>
      </c>
      <c r="U49" s="20">
        <v>40</v>
      </c>
      <c r="V49" s="20">
        <v>55</v>
      </c>
      <c r="W49" s="20">
        <v>11000</v>
      </c>
      <c r="X49" s="15" t="s">
        <v>360</v>
      </c>
      <c r="Y49" s="20">
        <v>13</v>
      </c>
      <c r="Z49" s="15" t="s">
        <v>559</v>
      </c>
      <c r="AA49" s="15" t="s">
        <v>362</v>
      </c>
      <c r="AB49" s="15" t="s">
        <v>307</v>
      </c>
      <c r="AC49" s="20" t="s">
        <v>68</v>
      </c>
      <c r="AD49" s="9" t="str">
        <f>IF(OR(Form_Responses34[[#This Row],[Total_monthly_fuel_expense 
]]&gt;10040,Form_Responses34[[#This Row],[Total_monthly_fuel_expense 
]]&lt;-4760),"Outlier","Normal")</f>
        <v>Outlier</v>
      </c>
    </row>
    <row r="50" spans="1:30" x14ac:dyDescent="0.2">
      <c r="A50" s="20">
        <v>19</v>
      </c>
      <c r="B50" s="15" t="s">
        <v>42</v>
      </c>
      <c r="C50" s="12" t="s">
        <v>182</v>
      </c>
      <c r="D50" s="20">
        <v>3</v>
      </c>
      <c r="E50" s="20">
        <v>1</v>
      </c>
      <c r="F50" s="15" t="s">
        <v>100</v>
      </c>
      <c r="G50" s="15"/>
      <c r="H50" s="15" t="s">
        <v>47</v>
      </c>
      <c r="I50" s="15"/>
      <c r="J50" s="15"/>
      <c r="K50" s="20"/>
      <c r="L50" s="20"/>
      <c r="M50" s="20"/>
      <c r="N50" s="20">
        <v>2</v>
      </c>
      <c r="O50" s="20">
        <v>12</v>
      </c>
      <c r="P50" s="20">
        <v>8</v>
      </c>
      <c r="Q50" s="20"/>
      <c r="R50" s="20"/>
      <c r="S50" s="20"/>
      <c r="T50" s="20"/>
      <c r="U50" s="20"/>
      <c r="V50" s="20"/>
      <c r="W50" s="20">
        <v>850</v>
      </c>
      <c r="X50" s="15" t="s">
        <v>323</v>
      </c>
      <c r="Y50" s="20">
        <v>6</v>
      </c>
      <c r="Z50" s="15" t="s">
        <v>285</v>
      </c>
      <c r="AA50" s="15" t="s">
        <v>96</v>
      </c>
      <c r="AB50" s="15" t="s">
        <v>256</v>
      </c>
      <c r="AC50" s="20" t="s">
        <v>152</v>
      </c>
      <c r="AD50" s="9" t="str">
        <f>IF(OR(Form_Responses34[[#This Row],[Total_monthly_fuel_expense 
]]&gt;10040,Form_Responses34[[#This Row],[Total_monthly_fuel_expense 
]]&lt;-4760),"Outlier","Normal")</f>
        <v>Normal</v>
      </c>
    </row>
    <row r="51" spans="1:30" x14ac:dyDescent="0.2">
      <c r="A51" s="20">
        <v>36</v>
      </c>
      <c r="B51" s="15" t="s">
        <v>73</v>
      </c>
      <c r="C51" s="12" t="s">
        <v>1890</v>
      </c>
      <c r="D51" s="20">
        <v>4</v>
      </c>
      <c r="E51" s="20">
        <v>2</v>
      </c>
      <c r="F51" s="15" t="s">
        <v>61</v>
      </c>
      <c r="G51" s="15" t="s">
        <v>47</v>
      </c>
      <c r="H51" s="15" t="s">
        <v>47</v>
      </c>
      <c r="I51" s="15"/>
      <c r="J51" s="15"/>
      <c r="K51" s="20">
        <v>5</v>
      </c>
      <c r="L51" s="20">
        <v>22</v>
      </c>
      <c r="M51" s="20">
        <v>18</v>
      </c>
      <c r="N51" s="20">
        <v>3</v>
      </c>
      <c r="O51" s="20">
        <v>12</v>
      </c>
      <c r="P51" s="20">
        <v>16</v>
      </c>
      <c r="Q51" s="20"/>
      <c r="R51" s="20"/>
      <c r="S51" s="20"/>
      <c r="T51" s="20"/>
      <c r="U51" s="20"/>
      <c r="V51" s="20"/>
      <c r="W51" s="20">
        <v>4500</v>
      </c>
      <c r="X51" s="15" t="s">
        <v>252</v>
      </c>
      <c r="Y51" s="20">
        <v>10</v>
      </c>
      <c r="Z51" s="15" t="s">
        <v>255</v>
      </c>
      <c r="AA51" s="15" t="s">
        <v>85</v>
      </c>
      <c r="AB51" s="15" t="s">
        <v>318</v>
      </c>
      <c r="AC51" s="20" t="s">
        <v>257</v>
      </c>
      <c r="AD51" s="9" t="str">
        <f>IF(OR(Form_Responses34[[#This Row],[Total_monthly_fuel_expense 
]]&gt;10040,Form_Responses34[[#This Row],[Total_monthly_fuel_expense 
]]&lt;-4760),"Outlier","Normal")</f>
        <v>Normal</v>
      </c>
    </row>
    <row r="52" spans="1:30" x14ac:dyDescent="0.2">
      <c r="A52" s="20">
        <v>21</v>
      </c>
      <c r="B52" s="15" t="s">
        <v>42</v>
      </c>
      <c r="C52" s="12" t="s">
        <v>182</v>
      </c>
      <c r="D52" s="20">
        <v>5</v>
      </c>
      <c r="E52" s="20">
        <v>3</v>
      </c>
      <c r="F52" s="15" t="s">
        <v>61</v>
      </c>
      <c r="G52" s="15" t="s">
        <v>47</v>
      </c>
      <c r="H52" s="15" t="s">
        <v>47</v>
      </c>
      <c r="I52" s="15"/>
      <c r="J52" s="15"/>
      <c r="K52" s="20">
        <v>4</v>
      </c>
      <c r="L52" s="20">
        <v>10</v>
      </c>
      <c r="M52" s="20">
        <v>5</v>
      </c>
      <c r="N52" s="20">
        <v>3</v>
      </c>
      <c r="O52" s="20">
        <v>10</v>
      </c>
      <c r="P52" s="20">
        <v>5</v>
      </c>
      <c r="Q52" s="20"/>
      <c r="R52" s="20"/>
      <c r="S52" s="20"/>
      <c r="T52" s="20"/>
      <c r="U52" s="20"/>
      <c r="V52" s="20"/>
      <c r="W52" s="20">
        <v>200</v>
      </c>
      <c r="X52" s="15" t="s">
        <v>159</v>
      </c>
      <c r="Y52" s="20">
        <v>10</v>
      </c>
      <c r="Z52" s="15" t="s">
        <v>285</v>
      </c>
      <c r="AA52" s="15" t="s">
        <v>54</v>
      </c>
      <c r="AB52" s="15" t="s">
        <v>256</v>
      </c>
      <c r="AC52" s="20" t="s">
        <v>68</v>
      </c>
      <c r="AD52" s="9" t="str">
        <f>IF(OR(Form_Responses34[[#This Row],[Total_monthly_fuel_expense 
]]&gt;10040,Form_Responses34[[#This Row],[Total_monthly_fuel_expense 
]]&lt;-4760),"Outlier","Normal")</f>
        <v>Normal</v>
      </c>
    </row>
    <row r="53" spans="1:30" x14ac:dyDescent="0.2">
      <c r="A53" s="20">
        <v>23</v>
      </c>
      <c r="B53" s="15" t="s">
        <v>42</v>
      </c>
      <c r="C53" s="12" t="s">
        <v>1889</v>
      </c>
      <c r="D53" s="20">
        <v>3</v>
      </c>
      <c r="E53" s="20">
        <v>1</v>
      </c>
      <c r="F53" s="15" t="s">
        <v>431</v>
      </c>
      <c r="G53" s="15"/>
      <c r="H53" s="15"/>
      <c r="I53" s="15" t="s">
        <v>47</v>
      </c>
      <c r="J53" s="15"/>
      <c r="K53" s="20"/>
      <c r="L53" s="20"/>
      <c r="M53" s="20"/>
      <c r="N53" s="20"/>
      <c r="O53" s="20"/>
      <c r="P53" s="20"/>
      <c r="Q53" s="20">
        <v>5</v>
      </c>
      <c r="R53" s="20">
        <v>24</v>
      </c>
      <c r="S53" s="20">
        <v>24</v>
      </c>
      <c r="T53" s="20"/>
      <c r="U53" s="20"/>
      <c r="V53" s="20"/>
      <c r="W53" s="20">
        <v>2700</v>
      </c>
      <c r="X53" s="15" t="s">
        <v>276</v>
      </c>
      <c r="Y53" s="20">
        <v>9</v>
      </c>
      <c r="Z53" s="15" t="s">
        <v>255</v>
      </c>
      <c r="AA53" s="15" t="s">
        <v>277</v>
      </c>
      <c r="AB53" s="15" t="s">
        <v>335</v>
      </c>
      <c r="AC53" s="20" t="s">
        <v>152</v>
      </c>
      <c r="AD53" s="9" t="str">
        <f>IF(OR(Form_Responses34[[#This Row],[Total_monthly_fuel_expense 
]]&gt;10040,Form_Responses34[[#This Row],[Total_monthly_fuel_expense 
]]&lt;-4760),"Outlier","Normal")</f>
        <v>Normal</v>
      </c>
    </row>
    <row r="54" spans="1:30" x14ac:dyDescent="0.2">
      <c r="A54" s="20">
        <v>28</v>
      </c>
      <c r="B54" s="15" t="s">
        <v>73</v>
      </c>
      <c r="C54" s="12" t="s">
        <v>1888</v>
      </c>
      <c r="D54" s="20">
        <v>6</v>
      </c>
      <c r="E54" s="20">
        <v>2</v>
      </c>
      <c r="F54" s="15" t="s">
        <v>290</v>
      </c>
      <c r="G54" s="15" t="s">
        <v>47</v>
      </c>
      <c r="H54" s="15"/>
      <c r="I54" s="15"/>
      <c r="J54" s="15" t="s">
        <v>291</v>
      </c>
      <c r="K54" s="20">
        <v>3</v>
      </c>
      <c r="L54" s="20">
        <v>14</v>
      </c>
      <c r="M54" s="20">
        <v>10</v>
      </c>
      <c r="N54" s="20"/>
      <c r="O54" s="20"/>
      <c r="P54" s="20"/>
      <c r="Q54" s="20"/>
      <c r="R54" s="20"/>
      <c r="S54" s="20"/>
      <c r="T54" s="20">
        <v>4</v>
      </c>
      <c r="U54" s="20">
        <v>28</v>
      </c>
      <c r="V54" s="20">
        <v>38</v>
      </c>
      <c r="W54" s="20">
        <v>5000</v>
      </c>
      <c r="X54" s="15" t="s">
        <v>159</v>
      </c>
      <c r="Y54" s="20">
        <v>10</v>
      </c>
      <c r="Z54" s="15" t="s">
        <v>296</v>
      </c>
      <c r="AA54" s="15" t="s">
        <v>85</v>
      </c>
      <c r="AB54" s="15" t="s">
        <v>325</v>
      </c>
      <c r="AC54" s="20" t="s">
        <v>257</v>
      </c>
      <c r="AD54" s="9" t="str">
        <f>IF(OR(Form_Responses34[[#This Row],[Total_monthly_fuel_expense 
]]&gt;10040,Form_Responses34[[#This Row],[Total_monthly_fuel_expense 
]]&lt;-4760),"Outlier","Normal")</f>
        <v>Normal</v>
      </c>
    </row>
    <row r="55" spans="1:30" x14ac:dyDescent="0.2">
      <c r="A55" s="20">
        <v>21</v>
      </c>
      <c r="B55" s="15" t="s">
        <v>42</v>
      </c>
      <c r="C55" s="12" t="s">
        <v>182</v>
      </c>
      <c r="D55" s="20">
        <v>4</v>
      </c>
      <c r="E55" s="20">
        <v>1</v>
      </c>
      <c r="F55" s="15" t="s">
        <v>100</v>
      </c>
      <c r="G55" s="15"/>
      <c r="H55" s="15" t="s">
        <v>47</v>
      </c>
      <c r="I55" s="15"/>
      <c r="J55" s="15"/>
      <c r="K55" s="20"/>
      <c r="L55" s="20"/>
      <c r="M55" s="20"/>
      <c r="N55" s="20">
        <v>1</v>
      </c>
      <c r="O55" s="20">
        <v>10</v>
      </c>
      <c r="P55" s="20">
        <v>6</v>
      </c>
      <c r="Q55" s="20"/>
      <c r="R55" s="20"/>
      <c r="S55" s="20"/>
      <c r="T55" s="20"/>
      <c r="U55" s="20"/>
      <c r="V55" s="20"/>
      <c r="W55" s="20">
        <v>750</v>
      </c>
      <c r="X55" s="15" t="s">
        <v>252</v>
      </c>
      <c r="Y55" s="20">
        <v>5</v>
      </c>
      <c r="Z55" s="15" t="s">
        <v>285</v>
      </c>
      <c r="AA55" s="15" t="s">
        <v>96</v>
      </c>
      <c r="AB55" s="15" t="s">
        <v>256</v>
      </c>
      <c r="AC55" s="20" t="s">
        <v>152</v>
      </c>
      <c r="AD55" s="9" t="str">
        <f>IF(OR(Form_Responses34[[#This Row],[Total_monthly_fuel_expense 
]]&gt;10040,Form_Responses34[[#This Row],[Total_monthly_fuel_expense 
]]&lt;-4760),"Outlier","Normal")</f>
        <v>Normal</v>
      </c>
    </row>
    <row r="56" spans="1:30" x14ac:dyDescent="0.2">
      <c r="A56" s="20">
        <v>21</v>
      </c>
      <c r="B56" s="15" t="s">
        <v>42</v>
      </c>
      <c r="C56" s="12" t="s">
        <v>182</v>
      </c>
      <c r="D56" s="20">
        <v>5</v>
      </c>
      <c r="E56" s="20">
        <v>1</v>
      </c>
      <c r="F56" s="15" t="s">
        <v>46</v>
      </c>
      <c r="G56" s="15" t="s">
        <v>47</v>
      </c>
      <c r="H56" s="15"/>
      <c r="I56" s="15"/>
      <c r="J56" s="15"/>
      <c r="K56" s="20">
        <v>3</v>
      </c>
      <c r="L56" s="20">
        <v>4</v>
      </c>
      <c r="M56" s="20">
        <v>10</v>
      </c>
      <c r="N56" s="20"/>
      <c r="O56" s="20"/>
      <c r="P56" s="20"/>
      <c r="Q56" s="20"/>
      <c r="R56" s="20"/>
      <c r="S56" s="20"/>
      <c r="T56" s="20"/>
      <c r="U56" s="20"/>
      <c r="V56" s="20"/>
      <c r="W56" s="20">
        <v>650</v>
      </c>
      <c r="X56" s="15" t="s">
        <v>252</v>
      </c>
      <c r="Y56" s="20">
        <v>4</v>
      </c>
      <c r="Z56" s="15" t="s">
        <v>255</v>
      </c>
      <c r="AA56" s="15" t="s">
        <v>54</v>
      </c>
      <c r="AB56" s="15" t="s">
        <v>256</v>
      </c>
      <c r="AC56" s="20" t="s">
        <v>152</v>
      </c>
      <c r="AD56" s="9" t="str">
        <f>IF(OR(Form_Responses34[[#This Row],[Total_monthly_fuel_expense 
]]&gt;10040,Form_Responses34[[#This Row],[Total_monthly_fuel_expense 
]]&lt;-4760),"Outlier","Normal")</f>
        <v>Normal</v>
      </c>
    </row>
    <row r="57" spans="1:30" x14ac:dyDescent="0.2">
      <c r="A57" s="20">
        <v>40</v>
      </c>
      <c r="B57" s="15" t="s">
        <v>73</v>
      </c>
      <c r="C57" s="12" t="s">
        <v>1889</v>
      </c>
      <c r="D57" s="20">
        <v>4</v>
      </c>
      <c r="E57" s="20">
        <v>2</v>
      </c>
      <c r="F57" s="15" t="s">
        <v>61</v>
      </c>
      <c r="G57" s="15" t="s">
        <v>47</v>
      </c>
      <c r="H57" s="15" t="s">
        <v>47</v>
      </c>
      <c r="I57" s="15"/>
      <c r="J57" s="15"/>
      <c r="K57" s="20">
        <v>13</v>
      </c>
      <c r="L57" s="20">
        <v>2</v>
      </c>
      <c r="M57" s="20">
        <v>12</v>
      </c>
      <c r="N57" s="20">
        <v>1</v>
      </c>
      <c r="O57" s="20">
        <v>3</v>
      </c>
      <c r="P57" s="20">
        <v>10</v>
      </c>
      <c r="Q57" s="20"/>
      <c r="R57" s="20"/>
      <c r="S57" s="20"/>
      <c r="T57" s="20"/>
      <c r="U57" s="20"/>
      <c r="V57" s="20"/>
      <c r="W57" s="20">
        <v>4000</v>
      </c>
      <c r="X57" s="15" t="s">
        <v>252</v>
      </c>
      <c r="Y57" s="20">
        <v>1</v>
      </c>
      <c r="Z57" s="15" t="s">
        <v>625</v>
      </c>
      <c r="AA57" s="15" t="s">
        <v>277</v>
      </c>
      <c r="AB57" s="15" t="s">
        <v>335</v>
      </c>
      <c r="AC57" s="20" t="s">
        <v>257</v>
      </c>
      <c r="AD57" s="9" t="str">
        <f>IF(OR(Form_Responses34[[#This Row],[Total_monthly_fuel_expense 
]]&gt;10040,Form_Responses34[[#This Row],[Total_monthly_fuel_expense 
]]&lt;-4760),"Outlier","Normal")</f>
        <v>Normal</v>
      </c>
    </row>
    <row r="58" spans="1:30" x14ac:dyDescent="0.2">
      <c r="A58" s="20">
        <v>22</v>
      </c>
      <c r="B58" s="15" t="s">
        <v>42</v>
      </c>
      <c r="C58" s="12" t="s">
        <v>182</v>
      </c>
      <c r="D58" s="20">
        <v>5</v>
      </c>
      <c r="E58" s="20">
        <v>1</v>
      </c>
      <c r="F58" s="15" t="s">
        <v>46</v>
      </c>
      <c r="G58" s="15" t="s">
        <v>47</v>
      </c>
      <c r="H58" s="15"/>
      <c r="I58" s="15"/>
      <c r="J58" s="15"/>
      <c r="K58" s="20">
        <v>2</v>
      </c>
      <c r="L58" s="20">
        <v>40</v>
      </c>
      <c r="M58" s="20">
        <v>1</v>
      </c>
      <c r="N58" s="20"/>
      <c r="O58" s="20"/>
      <c r="P58" s="20"/>
      <c r="Q58" s="20"/>
      <c r="R58" s="20"/>
      <c r="S58" s="20"/>
      <c r="T58" s="20"/>
      <c r="U58" s="20"/>
      <c r="V58" s="20"/>
      <c r="W58" s="20">
        <v>650</v>
      </c>
      <c r="X58" s="15" t="s">
        <v>252</v>
      </c>
      <c r="Y58" s="20">
        <v>6</v>
      </c>
      <c r="Z58" s="44" t="s">
        <v>51</v>
      </c>
      <c r="AA58" s="44" t="s">
        <v>362</v>
      </c>
      <c r="AB58" s="15" t="s">
        <v>307</v>
      </c>
      <c r="AC58" s="20" t="s">
        <v>152</v>
      </c>
      <c r="AD58" s="9" t="str">
        <f>IF(OR(Form_Responses34[[#This Row],[Total_monthly_fuel_expense 
]]&gt;10040,Form_Responses34[[#This Row],[Total_monthly_fuel_expense 
]]&lt;-4760),"Outlier","Normal")</f>
        <v>Normal</v>
      </c>
    </row>
    <row r="59" spans="1:30" x14ac:dyDescent="0.2">
      <c r="A59" s="20">
        <v>21</v>
      </c>
      <c r="B59" s="15" t="s">
        <v>73</v>
      </c>
      <c r="C59" s="12" t="s">
        <v>1888</v>
      </c>
      <c r="D59" s="20">
        <v>5</v>
      </c>
      <c r="E59" s="20">
        <v>1</v>
      </c>
      <c r="F59" s="15" t="s">
        <v>46</v>
      </c>
      <c r="G59" s="15" t="s">
        <v>47</v>
      </c>
      <c r="H59" s="15"/>
      <c r="I59" s="15"/>
      <c r="J59" s="15"/>
      <c r="K59" s="22">
        <v>6</v>
      </c>
      <c r="L59" s="20">
        <v>12</v>
      </c>
      <c r="M59" s="20">
        <v>8</v>
      </c>
      <c r="N59" s="20"/>
      <c r="O59" s="20"/>
      <c r="P59" s="20"/>
      <c r="Q59" s="20"/>
      <c r="R59" s="20"/>
      <c r="S59" s="20"/>
      <c r="T59" s="20"/>
      <c r="U59" s="20"/>
      <c r="V59" s="20"/>
      <c r="W59" s="20">
        <v>650</v>
      </c>
      <c r="X59" s="15" t="s">
        <v>252</v>
      </c>
      <c r="Y59" s="20">
        <v>6</v>
      </c>
      <c r="Z59" s="44" t="s">
        <v>51</v>
      </c>
      <c r="AA59" s="44" t="s">
        <v>362</v>
      </c>
      <c r="AB59" s="15" t="s">
        <v>307</v>
      </c>
      <c r="AC59" s="20" t="s">
        <v>152</v>
      </c>
      <c r="AD59" s="9" t="str">
        <f>IF(OR(Form_Responses34[[#This Row],[Total_monthly_fuel_expense 
]]&gt;10040,Form_Responses34[[#This Row],[Total_monthly_fuel_expense 
]]&lt;-4760),"Outlier","Normal")</f>
        <v>Normal</v>
      </c>
    </row>
    <row r="60" spans="1:30" x14ac:dyDescent="0.2">
      <c r="A60" s="20">
        <v>20</v>
      </c>
      <c r="B60" s="15" t="s">
        <v>42</v>
      </c>
      <c r="C60" s="12" t="s">
        <v>1888</v>
      </c>
      <c r="D60" s="20">
        <v>6</v>
      </c>
      <c r="E60" s="20">
        <v>2</v>
      </c>
      <c r="F60" s="15" t="s">
        <v>61</v>
      </c>
      <c r="G60" s="15" t="s">
        <v>291</v>
      </c>
      <c r="H60" s="15" t="s">
        <v>47</v>
      </c>
      <c r="I60" s="15"/>
      <c r="J60" s="15"/>
      <c r="K60" s="20">
        <v>6</v>
      </c>
      <c r="L60" s="20">
        <v>12</v>
      </c>
      <c r="M60" s="20">
        <v>8</v>
      </c>
      <c r="N60" s="20">
        <v>3</v>
      </c>
      <c r="O60" s="20">
        <v>8</v>
      </c>
      <c r="P60" s="20">
        <v>6</v>
      </c>
      <c r="Q60" s="20"/>
      <c r="R60" s="20"/>
      <c r="S60" s="20"/>
      <c r="T60" s="20"/>
      <c r="U60" s="20"/>
      <c r="V60" s="20"/>
      <c r="W60" s="20">
        <v>650</v>
      </c>
      <c r="X60" s="15" t="s">
        <v>159</v>
      </c>
      <c r="Y60" s="20">
        <v>10</v>
      </c>
      <c r="Z60" s="15" t="s">
        <v>344</v>
      </c>
      <c r="AA60" s="15" t="s">
        <v>85</v>
      </c>
      <c r="AB60" s="15" t="s">
        <v>265</v>
      </c>
      <c r="AC60" s="20" t="s">
        <v>152</v>
      </c>
      <c r="AD60" s="9" t="str">
        <f>IF(OR(Form_Responses34[[#This Row],[Total_monthly_fuel_expense 
]]&gt;10040,Form_Responses34[[#This Row],[Total_monthly_fuel_expense 
]]&lt;-4760),"Outlier","Normal")</f>
        <v>Normal</v>
      </c>
    </row>
    <row r="61" spans="1:30" x14ac:dyDescent="0.2">
      <c r="A61" s="20">
        <v>20</v>
      </c>
      <c r="B61" s="15" t="s">
        <v>73</v>
      </c>
      <c r="C61" s="12" t="s">
        <v>182</v>
      </c>
      <c r="D61" s="20">
        <v>5</v>
      </c>
      <c r="E61" s="20">
        <v>1</v>
      </c>
      <c r="F61" s="15" t="s">
        <v>100</v>
      </c>
      <c r="G61" s="15"/>
      <c r="H61" s="15" t="s">
        <v>47</v>
      </c>
      <c r="I61" s="15"/>
      <c r="J61" s="15"/>
      <c r="K61" s="20"/>
      <c r="L61" s="20"/>
      <c r="M61" s="20"/>
      <c r="N61" s="20">
        <v>10</v>
      </c>
      <c r="O61" s="20">
        <v>2</v>
      </c>
      <c r="P61" s="20">
        <v>10</v>
      </c>
      <c r="Q61" s="20"/>
      <c r="R61" s="20"/>
      <c r="S61" s="20"/>
      <c r="T61" s="20"/>
      <c r="U61" s="20"/>
      <c r="V61" s="20"/>
      <c r="W61" s="20">
        <v>1000</v>
      </c>
      <c r="X61" s="15" t="s">
        <v>252</v>
      </c>
      <c r="Y61" s="20">
        <v>6</v>
      </c>
      <c r="Z61" s="44" t="s">
        <v>51</v>
      </c>
      <c r="AA61" s="44" t="s">
        <v>362</v>
      </c>
      <c r="AB61" s="15" t="s">
        <v>307</v>
      </c>
      <c r="AC61" s="20" t="s">
        <v>152</v>
      </c>
      <c r="AD61" s="9" t="str">
        <f>IF(OR(Form_Responses34[[#This Row],[Total_monthly_fuel_expense 
]]&gt;10040,Form_Responses34[[#This Row],[Total_monthly_fuel_expense 
]]&lt;-4760),"Outlier","Normal")</f>
        <v>Normal</v>
      </c>
    </row>
    <row r="62" spans="1:30" x14ac:dyDescent="0.2">
      <c r="A62" s="20">
        <v>25</v>
      </c>
      <c r="B62" s="15" t="s">
        <v>73</v>
      </c>
      <c r="C62" s="12" t="s">
        <v>182</v>
      </c>
      <c r="D62" s="20">
        <v>3</v>
      </c>
      <c r="E62" s="20">
        <v>2</v>
      </c>
      <c r="F62" s="15" t="s">
        <v>46</v>
      </c>
      <c r="G62" s="15" t="s">
        <v>47</v>
      </c>
      <c r="H62" s="15"/>
      <c r="I62" s="15"/>
      <c r="J62" s="15"/>
      <c r="K62" s="20">
        <v>5</v>
      </c>
      <c r="L62" s="20">
        <v>20</v>
      </c>
      <c r="M62" s="20">
        <v>60</v>
      </c>
      <c r="N62" s="20"/>
      <c r="O62" s="20"/>
      <c r="P62" s="20"/>
      <c r="Q62" s="20"/>
      <c r="R62" s="20"/>
      <c r="S62" s="20"/>
      <c r="T62" s="20"/>
      <c r="U62" s="20"/>
      <c r="V62" s="20"/>
      <c r="W62" s="20">
        <v>1000</v>
      </c>
      <c r="X62" s="15" t="s">
        <v>159</v>
      </c>
      <c r="Y62" s="20">
        <v>15</v>
      </c>
      <c r="Z62" s="15" t="s">
        <v>296</v>
      </c>
      <c r="AA62" s="15" t="s">
        <v>85</v>
      </c>
      <c r="AB62" s="15" t="s">
        <v>256</v>
      </c>
      <c r="AC62" s="20" t="s">
        <v>68</v>
      </c>
      <c r="AD62" s="9" t="str">
        <f>IF(OR(Form_Responses34[[#This Row],[Total_monthly_fuel_expense 
]]&gt;10040,Form_Responses34[[#This Row],[Total_monthly_fuel_expense 
]]&lt;-4760),"Outlier","Normal")</f>
        <v>Normal</v>
      </c>
    </row>
    <row r="63" spans="1:30" x14ac:dyDescent="0.2">
      <c r="A63" s="20">
        <v>48</v>
      </c>
      <c r="B63" s="15" t="s">
        <v>73</v>
      </c>
      <c r="C63" s="12" t="s">
        <v>1889</v>
      </c>
      <c r="D63" s="20">
        <v>6</v>
      </c>
      <c r="E63" s="20">
        <v>2</v>
      </c>
      <c r="F63" s="15" t="s">
        <v>290</v>
      </c>
      <c r="G63" s="15" t="s">
        <v>47</v>
      </c>
      <c r="H63" s="15"/>
      <c r="I63" s="15"/>
      <c r="J63" s="15" t="s">
        <v>291</v>
      </c>
      <c r="K63" s="20">
        <v>8</v>
      </c>
      <c r="L63" s="20">
        <v>16</v>
      </c>
      <c r="M63" s="20">
        <v>55</v>
      </c>
      <c r="N63" s="20"/>
      <c r="O63" s="20"/>
      <c r="P63" s="20"/>
      <c r="Q63" s="20"/>
      <c r="R63" s="20"/>
      <c r="S63" s="20"/>
      <c r="T63" s="20">
        <v>10</v>
      </c>
      <c r="U63" s="20">
        <v>40</v>
      </c>
      <c r="V63" s="20">
        <v>55</v>
      </c>
      <c r="W63" s="20">
        <v>7500</v>
      </c>
      <c r="X63" s="15" t="s">
        <v>159</v>
      </c>
      <c r="Y63" s="20">
        <v>8</v>
      </c>
      <c r="Z63" s="15" t="s">
        <v>296</v>
      </c>
      <c r="AA63" s="15" t="s">
        <v>85</v>
      </c>
      <c r="AB63" s="15" t="s">
        <v>256</v>
      </c>
      <c r="AC63" s="20" t="s">
        <v>68</v>
      </c>
      <c r="AD63" s="9" t="str">
        <f>IF(OR(Form_Responses34[[#This Row],[Total_monthly_fuel_expense 
]]&gt;10040,Form_Responses34[[#This Row],[Total_monthly_fuel_expense 
]]&lt;-4760),"Outlier","Normal")</f>
        <v>Normal</v>
      </c>
    </row>
    <row r="64" spans="1:30" x14ac:dyDescent="0.2">
      <c r="A64" s="20">
        <v>25</v>
      </c>
      <c r="B64" s="15" t="s">
        <v>42</v>
      </c>
      <c r="C64" s="12" t="s">
        <v>1888</v>
      </c>
      <c r="D64" s="20">
        <v>3</v>
      </c>
      <c r="E64" s="20">
        <v>1</v>
      </c>
      <c r="F64" s="15" t="s">
        <v>100</v>
      </c>
      <c r="G64" s="15"/>
      <c r="H64" s="15" t="s">
        <v>47</v>
      </c>
      <c r="I64" s="15"/>
      <c r="J64" s="15"/>
      <c r="K64" s="20"/>
      <c r="L64" s="20"/>
      <c r="M64" s="20"/>
      <c r="N64" s="20">
        <v>2</v>
      </c>
      <c r="O64" s="20">
        <v>11</v>
      </c>
      <c r="P64" s="20">
        <v>7</v>
      </c>
      <c r="Q64" s="20"/>
      <c r="R64" s="20"/>
      <c r="S64" s="20"/>
      <c r="T64" s="20"/>
      <c r="U64" s="20"/>
      <c r="V64" s="20"/>
      <c r="W64" s="20">
        <v>900</v>
      </c>
      <c r="X64" s="15" t="s">
        <v>252</v>
      </c>
      <c r="Y64" s="20">
        <v>6</v>
      </c>
      <c r="Z64" s="15" t="s">
        <v>255</v>
      </c>
      <c r="AA64" s="15" t="s">
        <v>277</v>
      </c>
      <c r="AB64" s="15" t="s">
        <v>335</v>
      </c>
      <c r="AC64" s="20" t="s">
        <v>152</v>
      </c>
      <c r="AD64" s="9" t="str">
        <f>IF(OR(Form_Responses34[[#This Row],[Total_monthly_fuel_expense 
]]&gt;10040,Form_Responses34[[#This Row],[Total_monthly_fuel_expense 
]]&lt;-4760),"Outlier","Normal")</f>
        <v>Normal</v>
      </c>
    </row>
    <row r="65" spans="1:30" x14ac:dyDescent="0.2">
      <c r="A65" s="20">
        <v>33</v>
      </c>
      <c r="B65" s="15" t="s">
        <v>73</v>
      </c>
      <c r="C65" s="12" t="s">
        <v>1890</v>
      </c>
      <c r="D65" s="20">
        <v>4</v>
      </c>
      <c r="E65" s="20">
        <v>2</v>
      </c>
      <c r="F65" s="15" t="s">
        <v>246</v>
      </c>
      <c r="G65" s="15" t="s">
        <v>47</v>
      </c>
      <c r="H65" s="15"/>
      <c r="I65" s="15" t="s">
        <v>47</v>
      </c>
      <c r="J65" s="15"/>
      <c r="K65" s="20">
        <v>7</v>
      </c>
      <c r="L65" s="20">
        <v>20</v>
      </c>
      <c r="M65" s="20">
        <v>15</v>
      </c>
      <c r="N65" s="20"/>
      <c r="O65" s="20"/>
      <c r="P65" s="20"/>
      <c r="Q65" s="20">
        <v>3</v>
      </c>
      <c r="R65" s="20">
        <v>18</v>
      </c>
      <c r="S65" s="20">
        <v>22</v>
      </c>
      <c r="T65" s="20"/>
      <c r="U65" s="20"/>
      <c r="V65" s="20"/>
      <c r="W65" s="20">
        <v>5500</v>
      </c>
      <c r="X65" s="15" t="s">
        <v>323</v>
      </c>
      <c r="Y65" s="20">
        <v>12</v>
      </c>
      <c r="Z65" s="15" t="s">
        <v>559</v>
      </c>
      <c r="AA65" s="15" t="s">
        <v>85</v>
      </c>
      <c r="AB65" s="15" t="s">
        <v>256</v>
      </c>
      <c r="AC65" s="20" t="s">
        <v>257</v>
      </c>
      <c r="AD65" s="9" t="str">
        <f>IF(OR(Form_Responses34[[#This Row],[Total_monthly_fuel_expense 
]]&gt;10040,Form_Responses34[[#This Row],[Total_monthly_fuel_expense 
]]&lt;-4760),"Outlier","Normal")</f>
        <v>Normal</v>
      </c>
    </row>
    <row r="66" spans="1:30" x14ac:dyDescent="0.2">
      <c r="A66" s="20">
        <v>21</v>
      </c>
      <c r="B66" s="15" t="s">
        <v>42</v>
      </c>
      <c r="C66" s="12" t="s">
        <v>182</v>
      </c>
      <c r="D66" s="20">
        <v>5</v>
      </c>
      <c r="E66" s="20">
        <v>1</v>
      </c>
      <c r="F66" s="15" t="s">
        <v>100</v>
      </c>
      <c r="G66" s="15"/>
      <c r="H66" s="15" t="s">
        <v>47</v>
      </c>
      <c r="I66" s="15"/>
      <c r="J66" s="15"/>
      <c r="K66" s="20"/>
      <c r="L66" s="20"/>
      <c r="M66" s="20"/>
      <c r="N66" s="20">
        <v>1</v>
      </c>
      <c r="O66" s="20">
        <v>9</v>
      </c>
      <c r="P66" s="20">
        <v>6</v>
      </c>
      <c r="Q66" s="20"/>
      <c r="R66" s="20"/>
      <c r="S66" s="20"/>
      <c r="T66" s="20"/>
      <c r="U66" s="20"/>
      <c r="V66" s="20"/>
      <c r="W66" s="20">
        <v>700</v>
      </c>
      <c r="X66" s="15" t="s">
        <v>252</v>
      </c>
      <c r="Y66" s="20">
        <v>5</v>
      </c>
      <c r="Z66" s="15" t="s">
        <v>285</v>
      </c>
      <c r="AA66" s="15" t="s">
        <v>96</v>
      </c>
      <c r="AB66" s="15" t="s">
        <v>256</v>
      </c>
      <c r="AC66" s="20" t="s">
        <v>152</v>
      </c>
      <c r="AD66" s="9" t="str">
        <f>IF(OR(Form_Responses34[[#This Row],[Total_monthly_fuel_expense 
]]&gt;10040,Form_Responses34[[#This Row],[Total_monthly_fuel_expense 
]]&lt;-4760),"Outlier","Normal")</f>
        <v>Normal</v>
      </c>
    </row>
    <row r="67" spans="1:30" x14ac:dyDescent="0.2">
      <c r="A67" s="20">
        <v>50</v>
      </c>
      <c r="B67" s="15" t="s">
        <v>73</v>
      </c>
      <c r="C67" s="12" t="s">
        <v>1888</v>
      </c>
      <c r="D67" s="20">
        <v>6</v>
      </c>
      <c r="E67" s="20">
        <v>1</v>
      </c>
      <c r="F67" s="15" t="s">
        <v>46</v>
      </c>
      <c r="G67" s="15" t="s">
        <v>47</v>
      </c>
      <c r="H67" s="15"/>
      <c r="I67" s="15"/>
      <c r="J67" s="15"/>
      <c r="K67" s="20">
        <v>11</v>
      </c>
      <c r="L67" s="20">
        <v>14</v>
      </c>
      <c r="M67" s="20">
        <v>10</v>
      </c>
      <c r="N67" s="20"/>
      <c r="O67" s="20"/>
      <c r="P67" s="20"/>
      <c r="Q67" s="20"/>
      <c r="R67" s="20"/>
      <c r="S67" s="20"/>
      <c r="T67" s="20"/>
      <c r="U67" s="20"/>
      <c r="V67" s="20"/>
      <c r="W67" s="20">
        <v>1200</v>
      </c>
      <c r="X67" s="15" t="s">
        <v>159</v>
      </c>
      <c r="Y67" s="20">
        <v>7</v>
      </c>
      <c r="Z67" s="15" t="s">
        <v>296</v>
      </c>
      <c r="AA67" s="15" t="s">
        <v>85</v>
      </c>
      <c r="AB67" s="15" t="s">
        <v>325</v>
      </c>
      <c r="AC67" s="20" t="s">
        <v>68</v>
      </c>
      <c r="AD67" s="9" t="str">
        <f>IF(OR(Form_Responses34[[#This Row],[Total_monthly_fuel_expense 
]]&gt;10040,Form_Responses34[[#This Row],[Total_monthly_fuel_expense 
]]&lt;-4760),"Outlier","Normal")</f>
        <v>Normal</v>
      </c>
    </row>
    <row r="68" spans="1:30" x14ac:dyDescent="0.2">
      <c r="A68" s="20">
        <v>34</v>
      </c>
      <c r="B68" s="15" t="s">
        <v>42</v>
      </c>
      <c r="C68" s="12" t="s">
        <v>1891</v>
      </c>
      <c r="D68" s="20">
        <v>3</v>
      </c>
      <c r="E68" s="20">
        <v>1</v>
      </c>
      <c r="F68" s="15" t="s">
        <v>431</v>
      </c>
      <c r="G68" s="15"/>
      <c r="H68" s="15"/>
      <c r="I68" s="15" t="s">
        <v>47</v>
      </c>
      <c r="J68" s="15"/>
      <c r="K68" s="20"/>
      <c r="L68" s="20"/>
      <c r="M68" s="20"/>
      <c r="N68" s="20"/>
      <c r="O68" s="20"/>
      <c r="P68" s="20"/>
      <c r="Q68" s="20">
        <v>4</v>
      </c>
      <c r="R68" s="20">
        <v>20</v>
      </c>
      <c r="S68" s="20">
        <v>24</v>
      </c>
      <c r="T68" s="20"/>
      <c r="U68" s="20"/>
      <c r="V68" s="20"/>
      <c r="W68" s="20">
        <v>3200</v>
      </c>
      <c r="X68" s="15" t="s">
        <v>276</v>
      </c>
      <c r="Y68" s="20">
        <v>10</v>
      </c>
      <c r="Z68" s="15" t="s">
        <v>255</v>
      </c>
      <c r="AA68" s="15" t="s">
        <v>277</v>
      </c>
      <c r="AB68" s="15" t="s">
        <v>256</v>
      </c>
      <c r="AC68" s="20" t="s">
        <v>152</v>
      </c>
      <c r="AD68" s="9" t="str">
        <f>IF(OR(Form_Responses34[[#This Row],[Total_monthly_fuel_expense 
]]&gt;10040,Form_Responses34[[#This Row],[Total_monthly_fuel_expense 
]]&lt;-4760),"Outlier","Normal")</f>
        <v>Normal</v>
      </c>
    </row>
    <row r="69" spans="1:30" x14ac:dyDescent="0.2">
      <c r="A69" s="20">
        <v>30</v>
      </c>
      <c r="B69" s="15" t="s">
        <v>73</v>
      </c>
      <c r="C69" s="12" t="s">
        <v>1889</v>
      </c>
      <c r="D69" s="20">
        <v>4</v>
      </c>
      <c r="E69" s="20">
        <v>2</v>
      </c>
      <c r="F69" s="15" t="s">
        <v>246</v>
      </c>
      <c r="G69" s="15" t="s">
        <v>47</v>
      </c>
      <c r="H69" s="15"/>
      <c r="I69" s="15" t="s">
        <v>47</v>
      </c>
      <c r="J69" s="15"/>
      <c r="K69" s="20">
        <v>5</v>
      </c>
      <c r="L69" s="20">
        <v>18</v>
      </c>
      <c r="M69" s="20">
        <v>14</v>
      </c>
      <c r="N69" s="20"/>
      <c r="O69" s="20"/>
      <c r="P69" s="20"/>
      <c r="Q69" s="20">
        <v>3</v>
      </c>
      <c r="R69" s="20">
        <v>15</v>
      </c>
      <c r="S69" s="20">
        <v>19</v>
      </c>
      <c r="T69" s="20"/>
      <c r="U69" s="20"/>
      <c r="V69" s="20"/>
      <c r="W69" s="20">
        <v>4800</v>
      </c>
      <c r="X69" s="15" t="s">
        <v>252</v>
      </c>
      <c r="Y69" s="20">
        <v>8</v>
      </c>
      <c r="Z69" s="15" t="s">
        <v>255</v>
      </c>
      <c r="AA69" s="15" t="s">
        <v>85</v>
      </c>
      <c r="AB69" s="15" t="s">
        <v>335</v>
      </c>
      <c r="AC69" s="20" t="s">
        <v>257</v>
      </c>
      <c r="AD69" s="9" t="str">
        <f>IF(OR(Form_Responses34[[#This Row],[Total_monthly_fuel_expense 
]]&gt;10040,Form_Responses34[[#This Row],[Total_monthly_fuel_expense 
]]&lt;-4760),"Outlier","Normal")</f>
        <v>Normal</v>
      </c>
    </row>
    <row r="70" spans="1:30" x14ac:dyDescent="0.2">
      <c r="A70" s="20">
        <v>22</v>
      </c>
      <c r="B70" s="15" t="s">
        <v>42</v>
      </c>
      <c r="C70" s="12" t="s">
        <v>182</v>
      </c>
      <c r="D70" s="20">
        <v>4</v>
      </c>
      <c r="E70" s="20">
        <v>1</v>
      </c>
      <c r="F70" s="15" t="s">
        <v>100</v>
      </c>
      <c r="G70" s="15"/>
      <c r="H70" s="15" t="s">
        <v>47</v>
      </c>
      <c r="I70" s="15"/>
      <c r="J70" s="15"/>
      <c r="K70" s="20"/>
      <c r="L70" s="20"/>
      <c r="M70" s="20"/>
      <c r="N70" s="20">
        <v>2</v>
      </c>
      <c r="O70" s="20">
        <v>10</v>
      </c>
      <c r="P70" s="20">
        <v>6</v>
      </c>
      <c r="Q70" s="20"/>
      <c r="R70" s="20"/>
      <c r="S70" s="20"/>
      <c r="T70" s="20"/>
      <c r="U70" s="20"/>
      <c r="V70" s="20"/>
      <c r="W70" s="20">
        <v>750</v>
      </c>
      <c r="X70" s="15" t="s">
        <v>323</v>
      </c>
      <c r="Y70" s="20">
        <v>4</v>
      </c>
      <c r="Z70" s="15" t="s">
        <v>285</v>
      </c>
      <c r="AA70" s="15" t="s">
        <v>96</v>
      </c>
      <c r="AB70" s="15" t="s">
        <v>256</v>
      </c>
      <c r="AC70" s="20" t="s">
        <v>152</v>
      </c>
      <c r="AD70" s="9" t="str">
        <f>IF(OR(Form_Responses34[[#This Row],[Total_monthly_fuel_expense 
]]&gt;10040,Form_Responses34[[#This Row],[Total_monthly_fuel_expense 
]]&lt;-4760),"Outlier","Normal")</f>
        <v>Normal</v>
      </c>
    </row>
    <row r="71" spans="1:30" x14ac:dyDescent="0.2">
      <c r="A71" s="20">
        <v>39</v>
      </c>
      <c r="B71" s="15" t="s">
        <v>73</v>
      </c>
      <c r="C71" s="12" t="s">
        <v>1890</v>
      </c>
      <c r="D71" s="20">
        <v>5</v>
      </c>
      <c r="E71" s="20">
        <v>2</v>
      </c>
      <c r="F71" s="15" t="s">
        <v>668</v>
      </c>
      <c r="G71" s="15"/>
      <c r="H71" s="15"/>
      <c r="I71" s="15" t="s">
        <v>291</v>
      </c>
      <c r="J71" s="15" t="s">
        <v>47</v>
      </c>
      <c r="K71" s="20"/>
      <c r="L71" s="20"/>
      <c r="M71" s="20"/>
      <c r="N71" s="20"/>
      <c r="O71" s="20"/>
      <c r="P71" s="20"/>
      <c r="Q71" s="20">
        <v>6</v>
      </c>
      <c r="R71" s="20">
        <v>22</v>
      </c>
      <c r="S71" s="20">
        <v>25</v>
      </c>
      <c r="T71" s="20">
        <v>8</v>
      </c>
      <c r="U71" s="20">
        <v>45</v>
      </c>
      <c r="V71" s="20">
        <v>65</v>
      </c>
      <c r="W71" s="20">
        <v>10000</v>
      </c>
      <c r="X71" s="15" t="s">
        <v>360</v>
      </c>
      <c r="Y71" s="20">
        <v>12</v>
      </c>
      <c r="Z71" s="15" t="s">
        <v>559</v>
      </c>
      <c r="AA71" s="15" t="s">
        <v>362</v>
      </c>
      <c r="AB71" s="15" t="s">
        <v>307</v>
      </c>
      <c r="AC71" s="20" t="s">
        <v>68</v>
      </c>
      <c r="AD71" s="9" t="str">
        <f>IF(OR(Form_Responses34[[#This Row],[Total_monthly_fuel_expense 
]]&gt;10040,Form_Responses34[[#This Row],[Total_monthly_fuel_expense 
]]&lt;-4760),"Outlier","Normal")</f>
        <v>Normal</v>
      </c>
    </row>
    <row r="72" spans="1:30" x14ac:dyDescent="0.2">
      <c r="A72" s="20">
        <v>28</v>
      </c>
      <c r="B72" s="15" t="s">
        <v>42</v>
      </c>
      <c r="C72" s="12" t="s">
        <v>1889</v>
      </c>
      <c r="D72" s="20">
        <v>3</v>
      </c>
      <c r="E72" s="20">
        <v>1</v>
      </c>
      <c r="F72" s="15" t="s">
        <v>431</v>
      </c>
      <c r="G72" s="15"/>
      <c r="H72" s="15"/>
      <c r="I72" s="15" t="s">
        <v>47</v>
      </c>
      <c r="J72" s="15"/>
      <c r="K72" s="20"/>
      <c r="L72" s="20"/>
      <c r="M72" s="20"/>
      <c r="N72" s="20"/>
      <c r="O72" s="20"/>
      <c r="P72" s="20"/>
      <c r="Q72" s="20">
        <v>3</v>
      </c>
      <c r="R72" s="20">
        <v>16</v>
      </c>
      <c r="S72" s="20">
        <v>19</v>
      </c>
      <c r="T72" s="20"/>
      <c r="U72" s="20"/>
      <c r="V72" s="20"/>
      <c r="W72" s="20">
        <v>2300</v>
      </c>
      <c r="X72" s="15" t="s">
        <v>252</v>
      </c>
      <c r="Y72" s="20">
        <v>8</v>
      </c>
      <c r="Z72" s="15" t="s">
        <v>255</v>
      </c>
      <c r="AA72" s="15" t="s">
        <v>277</v>
      </c>
      <c r="AB72" s="15" t="s">
        <v>335</v>
      </c>
      <c r="AC72" s="20" t="s">
        <v>152</v>
      </c>
      <c r="AD72" s="9" t="str">
        <f>IF(OR(Form_Responses34[[#This Row],[Total_monthly_fuel_expense 
]]&gt;10040,Form_Responses34[[#This Row],[Total_monthly_fuel_expense 
]]&lt;-4760),"Outlier","Normal")</f>
        <v>Normal</v>
      </c>
    </row>
    <row r="73" spans="1:30" x14ac:dyDescent="0.2">
      <c r="A73" s="20">
        <v>45</v>
      </c>
      <c r="B73" s="15" t="s">
        <v>73</v>
      </c>
      <c r="C73" s="12" t="s">
        <v>1889</v>
      </c>
      <c r="D73" s="20">
        <v>4</v>
      </c>
      <c r="E73" s="20">
        <v>1</v>
      </c>
      <c r="F73" s="15" t="s">
        <v>46</v>
      </c>
      <c r="G73" s="15" t="s">
        <v>47</v>
      </c>
      <c r="H73" s="15"/>
      <c r="I73" s="15"/>
      <c r="J73" s="15"/>
      <c r="K73" s="20">
        <v>8</v>
      </c>
      <c r="L73" s="20">
        <v>10</v>
      </c>
      <c r="M73" s="20">
        <v>19</v>
      </c>
      <c r="N73" s="20"/>
      <c r="O73" s="20"/>
      <c r="P73" s="20"/>
      <c r="Q73" s="20"/>
      <c r="R73" s="20"/>
      <c r="S73" s="20"/>
      <c r="T73" s="20"/>
      <c r="U73" s="20"/>
      <c r="V73" s="20"/>
      <c r="W73" s="20">
        <v>2000</v>
      </c>
      <c r="X73" s="15" t="s">
        <v>252</v>
      </c>
      <c r="Y73" s="20">
        <v>2</v>
      </c>
      <c r="Z73" s="15" t="s">
        <v>683</v>
      </c>
      <c r="AA73" s="15" t="s">
        <v>277</v>
      </c>
      <c r="AB73" s="15" t="s">
        <v>256</v>
      </c>
      <c r="AC73" s="20" t="s">
        <v>68</v>
      </c>
      <c r="AD73" s="9" t="str">
        <f>IF(OR(Form_Responses34[[#This Row],[Total_monthly_fuel_expense 
]]&gt;10040,Form_Responses34[[#This Row],[Total_monthly_fuel_expense 
]]&lt;-4760),"Outlier","Normal")</f>
        <v>Normal</v>
      </c>
    </row>
    <row r="74" spans="1:30" x14ac:dyDescent="0.2">
      <c r="A74" s="20">
        <v>23</v>
      </c>
      <c r="B74" s="15" t="s">
        <v>73</v>
      </c>
      <c r="C74" s="12" t="s">
        <v>1889</v>
      </c>
      <c r="D74" s="20">
        <v>4</v>
      </c>
      <c r="E74" s="20">
        <v>2</v>
      </c>
      <c r="F74" s="15" t="s">
        <v>246</v>
      </c>
      <c r="G74" s="15" t="s">
        <v>47</v>
      </c>
      <c r="H74" s="15"/>
      <c r="I74" s="15" t="s">
        <v>47</v>
      </c>
      <c r="J74" s="15"/>
      <c r="K74" s="20">
        <v>3</v>
      </c>
      <c r="L74" s="20">
        <v>18</v>
      </c>
      <c r="M74" s="20">
        <v>10</v>
      </c>
      <c r="N74" s="20"/>
      <c r="O74" s="20"/>
      <c r="P74" s="20"/>
      <c r="Q74" s="20">
        <v>5</v>
      </c>
      <c r="R74" s="20">
        <v>25</v>
      </c>
      <c r="S74" s="20">
        <v>40</v>
      </c>
      <c r="T74" s="20"/>
      <c r="U74" s="20"/>
      <c r="V74" s="20"/>
      <c r="W74" s="20">
        <v>5000</v>
      </c>
      <c r="X74" s="15" t="s">
        <v>252</v>
      </c>
      <c r="Y74" s="20">
        <v>12</v>
      </c>
      <c r="Z74" s="15" t="s">
        <v>255</v>
      </c>
      <c r="AA74" s="15" t="s">
        <v>85</v>
      </c>
      <c r="AB74" s="15" t="s">
        <v>335</v>
      </c>
      <c r="AC74" s="20" t="s">
        <v>257</v>
      </c>
      <c r="AD74" s="9" t="str">
        <f>IF(OR(Form_Responses34[[#This Row],[Total_monthly_fuel_expense 
]]&gt;10040,Form_Responses34[[#This Row],[Total_monthly_fuel_expense 
]]&lt;-4760),"Outlier","Normal")</f>
        <v>Normal</v>
      </c>
    </row>
    <row r="75" spans="1:30" x14ac:dyDescent="0.2">
      <c r="A75" s="20">
        <v>21</v>
      </c>
      <c r="B75" s="15" t="s">
        <v>42</v>
      </c>
      <c r="C75" s="12" t="s">
        <v>182</v>
      </c>
      <c r="D75" s="20">
        <v>5</v>
      </c>
      <c r="E75" s="20">
        <v>1</v>
      </c>
      <c r="F75" s="15" t="s">
        <v>100</v>
      </c>
      <c r="G75" s="15"/>
      <c r="H75" s="15" t="s">
        <v>47</v>
      </c>
      <c r="I75" s="15"/>
      <c r="J75" s="15"/>
      <c r="K75" s="20"/>
      <c r="L75" s="20"/>
      <c r="M75" s="20"/>
      <c r="N75" s="20">
        <v>6</v>
      </c>
      <c r="O75" s="20">
        <v>10</v>
      </c>
      <c r="P75" s="20">
        <v>6</v>
      </c>
      <c r="Q75" s="20"/>
      <c r="R75" s="20"/>
      <c r="S75" s="20"/>
      <c r="T75" s="20"/>
      <c r="U75" s="20"/>
      <c r="V75" s="20"/>
      <c r="W75" s="20">
        <v>1000</v>
      </c>
      <c r="X75" s="15" t="s">
        <v>323</v>
      </c>
      <c r="Y75" s="20">
        <v>7</v>
      </c>
      <c r="Z75" s="15" t="s">
        <v>285</v>
      </c>
      <c r="AA75" s="15" t="s">
        <v>96</v>
      </c>
      <c r="AB75" s="15" t="s">
        <v>256</v>
      </c>
      <c r="AC75" s="20" t="s">
        <v>152</v>
      </c>
      <c r="AD75" s="9" t="str">
        <f>IF(OR(Form_Responses34[[#This Row],[Total_monthly_fuel_expense 
]]&gt;10040,Form_Responses34[[#This Row],[Total_monthly_fuel_expense 
]]&lt;-4760),"Outlier","Normal")</f>
        <v>Normal</v>
      </c>
    </row>
    <row r="76" spans="1:30" x14ac:dyDescent="0.2">
      <c r="A76" s="20">
        <v>34</v>
      </c>
      <c r="B76" s="15" t="s">
        <v>73</v>
      </c>
      <c r="C76" s="12" t="s">
        <v>1888</v>
      </c>
      <c r="D76" s="20">
        <v>6</v>
      </c>
      <c r="E76" s="20">
        <v>2</v>
      </c>
      <c r="F76" s="15" t="s">
        <v>290</v>
      </c>
      <c r="G76" s="15" t="s">
        <v>47</v>
      </c>
      <c r="H76" s="15"/>
      <c r="I76" s="15"/>
      <c r="J76" s="15" t="s">
        <v>291</v>
      </c>
      <c r="K76" s="20">
        <v>9</v>
      </c>
      <c r="L76" s="20">
        <v>12</v>
      </c>
      <c r="M76" s="20">
        <v>7</v>
      </c>
      <c r="N76" s="20"/>
      <c r="O76" s="20"/>
      <c r="P76" s="20"/>
      <c r="Q76" s="20"/>
      <c r="R76" s="20"/>
      <c r="S76" s="20"/>
      <c r="T76" s="20">
        <v>7</v>
      </c>
      <c r="U76" s="20">
        <v>35</v>
      </c>
      <c r="V76" s="20">
        <v>70</v>
      </c>
      <c r="W76" s="20">
        <v>9500</v>
      </c>
      <c r="X76" s="15" t="s">
        <v>159</v>
      </c>
      <c r="Y76" s="20">
        <v>8</v>
      </c>
      <c r="Z76" s="15" t="s">
        <v>296</v>
      </c>
      <c r="AA76" s="15" t="s">
        <v>85</v>
      </c>
      <c r="AB76" s="15" t="s">
        <v>335</v>
      </c>
      <c r="AC76" s="20" t="s">
        <v>68</v>
      </c>
      <c r="AD76" s="9" t="str">
        <f>IF(OR(Form_Responses34[[#This Row],[Total_monthly_fuel_expense 
]]&gt;10040,Form_Responses34[[#This Row],[Total_monthly_fuel_expense 
]]&lt;-4760),"Outlier","Normal")</f>
        <v>Normal</v>
      </c>
    </row>
    <row r="77" spans="1:30" x14ac:dyDescent="0.2">
      <c r="A77" s="20">
        <v>25</v>
      </c>
      <c r="B77" s="15" t="s">
        <v>42</v>
      </c>
      <c r="C77" s="12" t="s">
        <v>1890</v>
      </c>
      <c r="D77" s="20">
        <v>3</v>
      </c>
      <c r="E77" s="20">
        <v>2</v>
      </c>
      <c r="F77" s="15" t="s">
        <v>269</v>
      </c>
      <c r="G77" s="15"/>
      <c r="H77" s="15" t="s">
        <v>47</v>
      </c>
      <c r="I77" s="15" t="s">
        <v>47</v>
      </c>
      <c r="J77" s="15"/>
      <c r="K77" s="20"/>
      <c r="L77" s="20"/>
      <c r="M77" s="20"/>
      <c r="N77" s="20">
        <v>3</v>
      </c>
      <c r="O77" s="20">
        <v>5</v>
      </c>
      <c r="P77" s="20">
        <v>4</v>
      </c>
      <c r="Q77" s="20">
        <v>2</v>
      </c>
      <c r="R77" s="20">
        <v>20</v>
      </c>
      <c r="S77" s="20">
        <v>5</v>
      </c>
      <c r="T77" s="20"/>
      <c r="U77" s="20"/>
      <c r="V77" s="20"/>
      <c r="W77" s="20">
        <v>4800</v>
      </c>
      <c r="X77" s="15" t="s">
        <v>252</v>
      </c>
      <c r="Y77" s="20">
        <v>9</v>
      </c>
      <c r="Z77" s="15" t="s">
        <v>255</v>
      </c>
      <c r="AA77" s="15" t="s">
        <v>85</v>
      </c>
      <c r="AB77" s="15" t="s">
        <v>449</v>
      </c>
      <c r="AC77" s="20" t="s">
        <v>257</v>
      </c>
      <c r="AD77" s="9" t="str">
        <f>IF(OR(Form_Responses34[[#This Row],[Total_monthly_fuel_expense 
]]&gt;10040,Form_Responses34[[#This Row],[Total_monthly_fuel_expense 
]]&lt;-4760),"Outlier","Normal")</f>
        <v>Normal</v>
      </c>
    </row>
    <row r="78" spans="1:30" x14ac:dyDescent="0.2">
      <c r="A78" s="20">
        <v>29</v>
      </c>
      <c r="B78" s="15" t="s">
        <v>73</v>
      </c>
      <c r="C78" s="12" t="s">
        <v>155</v>
      </c>
      <c r="D78" s="20">
        <v>4</v>
      </c>
      <c r="E78" s="20">
        <v>3</v>
      </c>
      <c r="F78" s="44" t="s">
        <v>668</v>
      </c>
      <c r="G78" s="15"/>
      <c r="H78" s="15"/>
      <c r="I78" s="15" t="s">
        <v>47</v>
      </c>
      <c r="J78" s="15" t="s">
        <v>291</v>
      </c>
      <c r="K78" s="20"/>
      <c r="L78" s="20"/>
      <c r="M78" s="20"/>
      <c r="N78" s="20"/>
      <c r="O78" s="20"/>
      <c r="P78" s="20"/>
      <c r="Q78" s="20">
        <v>1</v>
      </c>
      <c r="R78" s="20">
        <v>30</v>
      </c>
      <c r="S78" s="20">
        <v>50</v>
      </c>
      <c r="T78" s="20">
        <v>3</v>
      </c>
      <c r="U78" s="20">
        <v>40</v>
      </c>
      <c r="V78" s="20">
        <v>80</v>
      </c>
      <c r="W78" s="20">
        <v>14000</v>
      </c>
      <c r="X78" s="15" t="s">
        <v>276</v>
      </c>
      <c r="Y78" s="20">
        <v>10</v>
      </c>
      <c r="Z78" s="15" t="s">
        <v>559</v>
      </c>
      <c r="AA78" s="15" t="s">
        <v>362</v>
      </c>
      <c r="AB78" s="15" t="s">
        <v>307</v>
      </c>
      <c r="AC78" s="20" t="s">
        <v>68</v>
      </c>
      <c r="AD78" s="9" t="str">
        <f>IF(OR(Form_Responses34[[#This Row],[Total_monthly_fuel_expense 
]]&gt;10040,Form_Responses34[[#This Row],[Total_monthly_fuel_expense 
]]&lt;-4760),"Outlier","Normal")</f>
        <v>Outlier</v>
      </c>
    </row>
    <row r="79" spans="1:30" x14ac:dyDescent="0.2">
      <c r="A79" s="20">
        <v>22</v>
      </c>
      <c r="B79" s="15" t="s">
        <v>42</v>
      </c>
      <c r="C79" s="12" t="s">
        <v>1888</v>
      </c>
      <c r="D79" s="20">
        <v>5</v>
      </c>
      <c r="E79" s="20">
        <v>1</v>
      </c>
      <c r="F79" s="15" t="s">
        <v>46</v>
      </c>
      <c r="G79" s="15" t="s">
        <v>47</v>
      </c>
      <c r="H79" s="15"/>
      <c r="I79" s="15"/>
      <c r="J79" s="15"/>
      <c r="K79" s="20">
        <v>10</v>
      </c>
      <c r="L79" s="20">
        <v>8</v>
      </c>
      <c r="M79" s="20">
        <v>6</v>
      </c>
      <c r="N79" s="20"/>
      <c r="O79" s="20"/>
      <c r="P79" s="20"/>
      <c r="Q79" s="20"/>
      <c r="R79" s="20"/>
      <c r="S79" s="20"/>
      <c r="T79" s="20"/>
      <c r="U79" s="20"/>
      <c r="V79" s="20"/>
      <c r="W79" s="20">
        <v>1500</v>
      </c>
      <c r="X79" s="15" t="s">
        <v>252</v>
      </c>
      <c r="Y79" s="20">
        <v>6</v>
      </c>
      <c r="Z79" s="15" t="s">
        <v>344</v>
      </c>
      <c r="AA79" s="15" t="s">
        <v>277</v>
      </c>
      <c r="AB79" s="15" t="s">
        <v>335</v>
      </c>
      <c r="AC79" s="20" t="s">
        <v>257</v>
      </c>
      <c r="AD79" s="9" t="str">
        <f>IF(OR(Form_Responses34[[#This Row],[Total_monthly_fuel_expense 
]]&gt;10040,Form_Responses34[[#This Row],[Total_monthly_fuel_expense 
]]&lt;-4760),"Outlier","Normal")</f>
        <v>Normal</v>
      </c>
    </row>
    <row r="80" spans="1:30" x14ac:dyDescent="0.2">
      <c r="A80" s="20">
        <v>20</v>
      </c>
      <c r="B80" s="15" t="s">
        <v>73</v>
      </c>
      <c r="C80" s="12" t="s">
        <v>182</v>
      </c>
      <c r="D80" s="20">
        <v>3</v>
      </c>
      <c r="E80" s="20">
        <v>1</v>
      </c>
      <c r="F80" s="15" t="s">
        <v>46</v>
      </c>
      <c r="G80" s="15" t="s">
        <v>47</v>
      </c>
      <c r="H80" s="15"/>
      <c r="I80" s="15"/>
      <c r="J80" s="15"/>
      <c r="K80" s="20">
        <v>2</v>
      </c>
      <c r="L80" s="20">
        <v>22</v>
      </c>
      <c r="M80" s="20">
        <v>12</v>
      </c>
      <c r="N80" s="20"/>
      <c r="O80" s="20"/>
      <c r="P80" s="20"/>
      <c r="Q80" s="20"/>
      <c r="R80" s="20"/>
      <c r="S80" s="20"/>
      <c r="T80" s="20"/>
      <c r="U80" s="20"/>
      <c r="V80" s="20"/>
      <c r="W80" s="20">
        <v>2000</v>
      </c>
      <c r="X80" s="15" t="s">
        <v>323</v>
      </c>
      <c r="Y80" s="20">
        <v>11</v>
      </c>
      <c r="Z80" s="15" t="s">
        <v>285</v>
      </c>
      <c r="AA80" s="15" t="s">
        <v>96</v>
      </c>
      <c r="AB80" s="15" t="s">
        <v>325</v>
      </c>
      <c r="AC80" s="20" t="s">
        <v>152</v>
      </c>
      <c r="AD80" s="9" t="str">
        <f>IF(OR(Form_Responses34[[#This Row],[Total_monthly_fuel_expense 
]]&gt;10040,Form_Responses34[[#This Row],[Total_monthly_fuel_expense 
]]&lt;-4760),"Outlier","Normal")</f>
        <v>Normal</v>
      </c>
    </row>
    <row r="81" spans="1:30" x14ac:dyDescent="0.2">
      <c r="A81" s="20">
        <v>32</v>
      </c>
      <c r="B81" s="15" t="s">
        <v>73</v>
      </c>
      <c r="C81" s="12" t="s">
        <v>182</v>
      </c>
      <c r="D81" s="20">
        <v>4</v>
      </c>
      <c r="E81" s="20">
        <v>1</v>
      </c>
      <c r="F81" s="15" t="s">
        <v>100</v>
      </c>
      <c r="G81" s="15"/>
      <c r="H81" s="15" t="s">
        <v>47</v>
      </c>
      <c r="I81" s="15"/>
      <c r="J81" s="15"/>
      <c r="K81" s="20"/>
      <c r="L81" s="20"/>
      <c r="M81" s="20"/>
      <c r="N81" s="20">
        <v>5</v>
      </c>
      <c r="O81" s="20">
        <v>12</v>
      </c>
      <c r="P81" s="20">
        <v>7</v>
      </c>
      <c r="Q81" s="20"/>
      <c r="R81" s="20"/>
      <c r="S81" s="20"/>
      <c r="T81" s="20"/>
      <c r="U81" s="20"/>
      <c r="V81" s="20"/>
      <c r="W81" s="20">
        <v>1200</v>
      </c>
      <c r="X81" s="15" t="s">
        <v>159</v>
      </c>
      <c r="Y81" s="20">
        <v>5</v>
      </c>
      <c r="Z81" s="15" t="s">
        <v>724</v>
      </c>
      <c r="AA81" s="15" t="s">
        <v>96</v>
      </c>
      <c r="AB81" s="15" t="s">
        <v>256</v>
      </c>
      <c r="AC81" s="20" t="s">
        <v>68</v>
      </c>
      <c r="AD81" s="9" t="str">
        <f>IF(OR(Form_Responses34[[#This Row],[Total_monthly_fuel_expense 
]]&gt;10040,Form_Responses34[[#This Row],[Total_monthly_fuel_expense 
]]&lt;-4760),"Outlier","Normal")</f>
        <v>Normal</v>
      </c>
    </row>
    <row r="82" spans="1:30" x14ac:dyDescent="0.2">
      <c r="A82" s="20">
        <v>37</v>
      </c>
      <c r="B82" s="15" t="s">
        <v>73</v>
      </c>
      <c r="C82" s="12" t="s">
        <v>1890</v>
      </c>
      <c r="D82" s="20">
        <v>3</v>
      </c>
      <c r="E82" s="20">
        <v>2</v>
      </c>
      <c r="F82" s="15" t="s">
        <v>352</v>
      </c>
      <c r="G82" s="15"/>
      <c r="H82" s="15"/>
      <c r="I82" s="15" t="s">
        <v>47</v>
      </c>
      <c r="J82" s="15"/>
      <c r="K82" s="20"/>
      <c r="L82" s="20"/>
      <c r="M82" s="20"/>
      <c r="N82" s="20"/>
      <c r="O82" s="20"/>
      <c r="P82" s="20"/>
      <c r="Q82" s="20">
        <v>6</v>
      </c>
      <c r="R82" s="20">
        <v>18</v>
      </c>
      <c r="S82" s="20">
        <v>30</v>
      </c>
      <c r="T82" s="20"/>
      <c r="U82" s="20"/>
      <c r="V82" s="20"/>
      <c r="W82" s="20">
        <v>3200</v>
      </c>
      <c r="X82" s="15" t="s">
        <v>252</v>
      </c>
      <c r="Y82" s="20">
        <v>10</v>
      </c>
      <c r="Z82" s="15" t="s">
        <v>255</v>
      </c>
      <c r="AA82" s="15" t="s">
        <v>85</v>
      </c>
      <c r="AB82" s="15" t="s">
        <v>307</v>
      </c>
      <c r="AC82" s="20" t="s">
        <v>152</v>
      </c>
      <c r="AD82" s="9" t="str">
        <f>IF(OR(Form_Responses34[[#This Row],[Total_monthly_fuel_expense 
]]&gt;10040,Form_Responses34[[#This Row],[Total_monthly_fuel_expense 
]]&lt;-4760),"Outlier","Normal")</f>
        <v>Normal</v>
      </c>
    </row>
    <row r="83" spans="1:30" x14ac:dyDescent="0.2">
      <c r="A83" s="20">
        <v>19</v>
      </c>
      <c r="B83" s="15" t="s">
        <v>42</v>
      </c>
      <c r="C83" s="12" t="s">
        <v>1888</v>
      </c>
      <c r="D83" s="20">
        <v>6</v>
      </c>
      <c r="E83" s="20">
        <v>1</v>
      </c>
      <c r="F83" s="15" t="s">
        <v>100</v>
      </c>
      <c r="G83" s="15"/>
      <c r="H83" s="15" t="s">
        <v>47</v>
      </c>
      <c r="I83" s="15"/>
      <c r="J83" s="15"/>
      <c r="K83" s="20"/>
      <c r="L83" s="20"/>
      <c r="M83" s="20"/>
      <c r="N83" s="20">
        <v>3</v>
      </c>
      <c r="O83" s="20">
        <v>6</v>
      </c>
      <c r="P83" s="20">
        <v>5</v>
      </c>
      <c r="Q83" s="20"/>
      <c r="R83" s="20"/>
      <c r="S83" s="20"/>
      <c r="T83" s="20"/>
      <c r="U83" s="20"/>
      <c r="V83" s="20"/>
      <c r="W83" s="20">
        <v>900</v>
      </c>
      <c r="X83" s="15" t="s">
        <v>252</v>
      </c>
      <c r="Y83" s="20">
        <v>4</v>
      </c>
      <c r="Z83" s="15" t="s">
        <v>285</v>
      </c>
      <c r="AA83" s="15" t="s">
        <v>54</v>
      </c>
      <c r="AB83" s="15" t="s">
        <v>256</v>
      </c>
      <c r="AC83" s="20" t="s">
        <v>152</v>
      </c>
      <c r="AD83" s="9" t="str">
        <f>IF(OR(Form_Responses34[[#This Row],[Total_monthly_fuel_expense 
]]&gt;10040,Form_Responses34[[#This Row],[Total_monthly_fuel_expense 
]]&lt;-4760),"Outlier","Normal")</f>
        <v>Normal</v>
      </c>
    </row>
    <row r="84" spans="1:30" x14ac:dyDescent="0.2">
      <c r="A84" s="20">
        <v>40</v>
      </c>
      <c r="B84" s="15" t="s">
        <v>73</v>
      </c>
      <c r="C84" s="12" t="s">
        <v>1889</v>
      </c>
      <c r="D84" s="20">
        <v>6</v>
      </c>
      <c r="E84" s="20">
        <v>2</v>
      </c>
      <c r="F84" s="15" t="s">
        <v>290</v>
      </c>
      <c r="G84" s="15" t="s">
        <v>47</v>
      </c>
      <c r="H84" s="15"/>
      <c r="I84" s="15"/>
      <c r="J84" s="15" t="s">
        <v>291</v>
      </c>
      <c r="K84" s="20">
        <v>6</v>
      </c>
      <c r="L84" s="20">
        <v>15</v>
      </c>
      <c r="M84" s="20">
        <v>9</v>
      </c>
      <c r="N84" s="20"/>
      <c r="O84" s="20"/>
      <c r="P84" s="20"/>
      <c r="Q84" s="20"/>
      <c r="R84" s="20"/>
      <c r="S84" s="20"/>
      <c r="T84" s="20">
        <v>10</v>
      </c>
      <c r="U84" s="20">
        <v>50</v>
      </c>
      <c r="V84" s="20">
        <v>90</v>
      </c>
      <c r="W84" s="20">
        <v>12000</v>
      </c>
      <c r="X84" s="15" t="s">
        <v>159</v>
      </c>
      <c r="Y84" s="20">
        <v>6</v>
      </c>
      <c r="Z84" s="15" t="s">
        <v>296</v>
      </c>
      <c r="AA84" s="15" t="s">
        <v>85</v>
      </c>
      <c r="AB84" s="15" t="s">
        <v>449</v>
      </c>
      <c r="AC84" s="20" t="s">
        <v>68</v>
      </c>
      <c r="AD84" s="9" t="str">
        <f>IF(OR(Form_Responses34[[#This Row],[Total_monthly_fuel_expense 
]]&gt;10040,Form_Responses34[[#This Row],[Total_monthly_fuel_expense 
]]&lt;-4760),"Outlier","Normal")</f>
        <v>Outlier</v>
      </c>
    </row>
    <row r="85" spans="1:30" x14ac:dyDescent="0.2">
      <c r="A85" s="20">
        <v>18</v>
      </c>
      <c r="B85" s="15" t="s">
        <v>42</v>
      </c>
      <c r="C85" s="12" t="s">
        <v>1890</v>
      </c>
      <c r="D85" s="20">
        <v>6</v>
      </c>
      <c r="E85" s="20">
        <v>2</v>
      </c>
      <c r="F85" s="15" t="s">
        <v>46</v>
      </c>
      <c r="G85" s="15" t="s">
        <v>47</v>
      </c>
      <c r="H85" s="15"/>
      <c r="I85" s="15"/>
      <c r="J85" s="15"/>
      <c r="K85" s="20">
        <v>6</v>
      </c>
      <c r="L85" s="20">
        <v>10</v>
      </c>
      <c r="M85" s="20">
        <v>20</v>
      </c>
      <c r="N85" s="20"/>
      <c r="O85" s="20"/>
      <c r="P85" s="20"/>
      <c r="Q85" s="20"/>
      <c r="R85" s="20"/>
      <c r="S85" s="20"/>
      <c r="T85" s="20"/>
      <c r="U85" s="20"/>
      <c r="V85" s="20"/>
      <c r="W85" s="20">
        <v>650</v>
      </c>
      <c r="X85" s="15" t="s">
        <v>252</v>
      </c>
      <c r="Y85" s="20">
        <v>10</v>
      </c>
      <c r="Z85" s="15" t="s">
        <v>255</v>
      </c>
      <c r="AA85" s="15" t="s">
        <v>96</v>
      </c>
      <c r="AB85" s="15" t="s">
        <v>256</v>
      </c>
      <c r="AC85" s="20" t="s">
        <v>152</v>
      </c>
      <c r="AD85" s="9" t="str">
        <f>IF(OR(Form_Responses34[[#This Row],[Total_monthly_fuel_expense 
]]&gt;10040,Form_Responses34[[#This Row],[Total_monthly_fuel_expense 
]]&lt;-4760),"Outlier","Normal")</f>
        <v>Normal</v>
      </c>
    </row>
    <row r="86" spans="1:30" x14ac:dyDescent="0.2">
      <c r="A86" s="20">
        <v>36</v>
      </c>
      <c r="B86" s="15" t="s">
        <v>73</v>
      </c>
      <c r="C86" s="12" t="s">
        <v>1889</v>
      </c>
      <c r="D86" s="20">
        <v>5</v>
      </c>
      <c r="E86" s="20">
        <v>2</v>
      </c>
      <c r="F86" s="15" t="s">
        <v>246</v>
      </c>
      <c r="G86" s="15" t="s">
        <v>47</v>
      </c>
      <c r="H86" s="15"/>
      <c r="I86" s="15" t="s">
        <v>47</v>
      </c>
      <c r="J86" s="15"/>
      <c r="K86" s="20">
        <v>7</v>
      </c>
      <c r="L86" s="20">
        <v>12</v>
      </c>
      <c r="M86" s="20">
        <v>9</v>
      </c>
      <c r="N86" s="20"/>
      <c r="O86" s="20"/>
      <c r="P86" s="20"/>
      <c r="Q86" s="20">
        <v>4</v>
      </c>
      <c r="R86" s="20">
        <v>16</v>
      </c>
      <c r="S86" s="20">
        <v>21</v>
      </c>
      <c r="T86" s="20"/>
      <c r="U86" s="20"/>
      <c r="V86" s="20"/>
      <c r="W86" s="20">
        <v>4200</v>
      </c>
      <c r="X86" s="15" t="s">
        <v>323</v>
      </c>
      <c r="Y86" s="20">
        <v>7</v>
      </c>
      <c r="Z86" s="15" t="s">
        <v>559</v>
      </c>
      <c r="AA86" s="15" t="s">
        <v>362</v>
      </c>
      <c r="AB86" s="15" t="s">
        <v>307</v>
      </c>
      <c r="AC86" s="20" t="s">
        <v>257</v>
      </c>
      <c r="AD86" s="9" t="str">
        <f>IF(OR(Form_Responses34[[#This Row],[Total_monthly_fuel_expense 
]]&gt;10040,Form_Responses34[[#This Row],[Total_monthly_fuel_expense 
]]&lt;-4760),"Outlier","Normal")</f>
        <v>Normal</v>
      </c>
    </row>
    <row r="87" spans="1:30" x14ac:dyDescent="0.2">
      <c r="A87" s="20">
        <v>28</v>
      </c>
      <c r="B87" s="15" t="s">
        <v>42</v>
      </c>
      <c r="C87" s="12" t="s">
        <v>1890</v>
      </c>
      <c r="D87" s="20">
        <v>3</v>
      </c>
      <c r="E87" s="20">
        <v>1</v>
      </c>
      <c r="F87" s="15" t="s">
        <v>431</v>
      </c>
      <c r="G87" s="15"/>
      <c r="H87" s="15"/>
      <c r="I87" s="15" t="s">
        <v>47</v>
      </c>
      <c r="J87" s="15"/>
      <c r="K87" s="20"/>
      <c r="L87" s="20"/>
      <c r="M87" s="20"/>
      <c r="N87" s="20"/>
      <c r="O87" s="20"/>
      <c r="P87" s="20"/>
      <c r="Q87" s="20">
        <v>3</v>
      </c>
      <c r="R87" s="20">
        <v>18</v>
      </c>
      <c r="S87" s="20">
        <v>20</v>
      </c>
      <c r="T87" s="20"/>
      <c r="U87" s="20"/>
      <c r="V87" s="20"/>
      <c r="W87" s="20">
        <v>2600</v>
      </c>
      <c r="X87" s="15" t="s">
        <v>252</v>
      </c>
      <c r="Y87" s="20">
        <v>9</v>
      </c>
      <c r="Z87" s="15" t="s">
        <v>255</v>
      </c>
      <c r="AA87" s="15" t="s">
        <v>277</v>
      </c>
      <c r="AB87" s="15" t="s">
        <v>335</v>
      </c>
      <c r="AC87" s="20" t="s">
        <v>152</v>
      </c>
      <c r="AD87" s="9" t="str">
        <f>IF(OR(Form_Responses34[[#This Row],[Total_monthly_fuel_expense 
]]&gt;10040,Form_Responses34[[#This Row],[Total_monthly_fuel_expense 
]]&lt;-4760),"Outlier","Normal")</f>
        <v>Normal</v>
      </c>
    </row>
    <row r="88" spans="1:30" x14ac:dyDescent="0.2">
      <c r="A88" s="20">
        <v>42</v>
      </c>
      <c r="B88" s="15" t="s">
        <v>73</v>
      </c>
      <c r="C88" s="12" t="s">
        <v>1888</v>
      </c>
      <c r="D88" s="20">
        <v>6</v>
      </c>
      <c r="E88" s="20">
        <v>1</v>
      </c>
      <c r="F88" s="15" t="s">
        <v>46</v>
      </c>
      <c r="G88" s="15" t="s">
        <v>47</v>
      </c>
      <c r="H88" s="15"/>
      <c r="I88" s="15"/>
      <c r="J88" s="15"/>
      <c r="K88" s="20">
        <v>11</v>
      </c>
      <c r="L88" s="20">
        <v>13</v>
      </c>
      <c r="M88" s="20">
        <v>10</v>
      </c>
      <c r="N88" s="20"/>
      <c r="O88" s="20"/>
      <c r="P88" s="20"/>
      <c r="Q88" s="20"/>
      <c r="R88" s="20"/>
      <c r="S88" s="20"/>
      <c r="T88" s="20"/>
      <c r="U88" s="20"/>
      <c r="V88" s="20"/>
      <c r="W88" s="20">
        <v>1100</v>
      </c>
      <c r="X88" s="15" t="s">
        <v>159</v>
      </c>
      <c r="Y88" s="20">
        <v>5</v>
      </c>
      <c r="Z88" s="15" t="s">
        <v>296</v>
      </c>
      <c r="AA88" s="15" t="s">
        <v>85</v>
      </c>
      <c r="AB88" s="15" t="s">
        <v>467</v>
      </c>
      <c r="AC88" s="20" t="s">
        <v>68</v>
      </c>
      <c r="AD88" s="9" t="str">
        <f>IF(OR(Form_Responses34[[#This Row],[Total_monthly_fuel_expense 
]]&gt;10040,Form_Responses34[[#This Row],[Total_monthly_fuel_expense 
]]&lt;-4760),"Outlier","Normal")</f>
        <v>Normal</v>
      </c>
    </row>
    <row r="89" spans="1:30" x14ac:dyDescent="0.2">
      <c r="A89" s="20">
        <v>24</v>
      </c>
      <c r="B89" s="15" t="s">
        <v>42</v>
      </c>
      <c r="C89" s="12" t="s">
        <v>182</v>
      </c>
      <c r="D89" s="20">
        <v>4</v>
      </c>
      <c r="E89" s="20">
        <v>1</v>
      </c>
      <c r="F89" s="15" t="s">
        <v>100</v>
      </c>
      <c r="G89" s="15"/>
      <c r="H89" s="15" t="s">
        <v>47</v>
      </c>
      <c r="I89" s="15"/>
      <c r="J89" s="15"/>
      <c r="K89" s="20"/>
      <c r="L89" s="20"/>
      <c r="M89" s="20"/>
      <c r="N89" s="20">
        <v>2</v>
      </c>
      <c r="O89" s="20">
        <v>8</v>
      </c>
      <c r="P89" s="20">
        <v>5</v>
      </c>
      <c r="Q89" s="20"/>
      <c r="R89" s="20"/>
      <c r="S89" s="20"/>
      <c r="T89" s="20"/>
      <c r="U89" s="20"/>
      <c r="V89" s="20"/>
      <c r="W89" s="20">
        <v>650</v>
      </c>
      <c r="X89" s="15" t="s">
        <v>276</v>
      </c>
      <c r="Y89" s="20">
        <v>4</v>
      </c>
      <c r="Z89" s="15" t="s">
        <v>285</v>
      </c>
      <c r="AA89" s="15" t="s">
        <v>96</v>
      </c>
      <c r="AB89" s="15" t="s">
        <v>760</v>
      </c>
      <c r="AC89" s="20" t="s">
        <v>152</v>
      </c>
      <c r="AD89" s="9" t="str">
        <f>IF(OR(Form_Responses34[[#This Row],[Total_monthly_fuel_expense 
]]&gt;10040,Form_Responses34[[#This Row],[Total_monthly_fuel_expense 
]]&lt;-4760),"Outlier","Normal")</f>
        <v>Normal</v>
      </c>
    </row>
    <row r="90" spans="1:30" x14ac:dyDescent="0.2">
      <c r="A90" s="20">
        <v>29</v>
      </c>
      <c r="B90" s="15" t="s">
        <v>73</v>
      </c>
      <c r="C90" s="12" t="s">
        <v>1889</v>
      </c>
      <c r="D90" s="20">
        <v>3</v>
      </c>
      <c r="E90" s="20">
        <v>2</v>
      </c>
      <c r="F90" s="15" t="s">
        <v>246</v>
      </c>
      <c r="G90" s="15" t="s">
        <v>47</v>
      </c>
      <c r="H90" s="15"/>
      <c r="I90" s="15" t="s">
        <v>47</v>
      </c>
      <c r="J90" s="15"/>
      <c r="K90" s="20">
        <v>4</v>
      </c>
      <c r="L90" s="20">
        <v>10</v>
      </c>
      <c r="M90" s="20">
        <v>8</v>
      </c>
      <c r="N90" s="20"/>
      <c r="O90" s="20"/>
      <c r="P90" s="20"/>
      <c r="Q90" s="20">
        <v>2</v>
      </c>
      <c r="R90" s="20">
        <v>14</v>
      </c>
      <c r="S90" s="20">
        <v>18</v>
      </c>
      <c r="T90" s="20"/>
      <c r="U90" s="20"/>
      <c r="V90" s="20"/>
      <c r="W90" s="20">
        <v>3600</v>
      </c>
      <c r="X90" s="15" t="s">
        <v>323</v>
      </c>
      <c r="Y90" s="20">
        <v>8</v>
      </c>
      <c r="Z90" s="15" t="s">
        <v>255</v>
      </c>
      <c r="AA90" s="15" t="s">
        <v>85</v>
      </c>
      <c r="AB90" s="15" t="s">
        <v>335</v>
      </c>
      <c r="AC90" s="20" t="s">
        <v>257</v>
      </c>
      <c r="AD90" s="9" t="str">
        <f>IF(OR(Form_Responses34[[#This Row],[Total_monthly_fuel_expense 
]]&gt;10040,Form_Responses34[[#This Row],[Total_monthly_fuel_expense 
]]&lt;-4760),"Outlier","Normal")</f>
        <v>Normal</v>
      </c>
    </row>
    <row r="91" spans="1:30" x14ac:dyDescent="0.2">
      <c r="A91" s="20">
        <v>32</v>
      </c>
      <c r="B91" s="15" t="s">
        <v>73</v>
      </c>
      <c r="C91" s="12" t="s">
        <v>1888</v>
      </c>
      <c r="D91" s="20">
        <v>5</v>
      </c>
      <c r="E91" s="20">
        <v>1</v>
      </c>
      <c r="F91" s="15" t="s">
        <v>46</v>
      </c>
      <c r="G91" s="15" t="s">
        <v>47</v>
      </c>
      <c r="H91" s="15"/>
      <c r="I91" s="15"/>
      <c r="J91" s="15"/>
      <c r="K91" s="20">
        <v>9</v>
      </c>
      <c r="L91" s="20">
        <v>15</v>
      </c>
      <c r="M91" s="20">
        <v>11</v>
      </c>
      <c r="N91" s="20"/>
      <c r="O91" s="20"/>
      <c r="P91" s="20"/>
      <c r="Q91" s="20"/>
      <c r="R91" s="20"/>
      <c r="S91" s="20"/>
      <c r="T91" s="20"/>
      <c r="U91" s="20"/>
      <c r="V91" s="20"/>
      <c r="W91" s="20">
        <v>1300</v>
      </c>
      <c r="X91" s="15" t="s">
        <v>159</v>
      </c>
      <c r="Y91" s="20">
        <v>6</v>
      </c>
      <c r="Z91" s="15" t="s">
        <v>296</v>
      </c>
      <c r="AA91" s="15" t="s">
        <v>85</v>
      </c>
      <c r="AB91" s="15" t="s">
        <v>256</v>
      </c>
      <c r="AC91" s="20" t="s">
        <v>68</v>
      </c>
      <c r="AD91" s="9" t="str">
        <f>IF(OR(Form_Responses34[[#This Row],[Total_monthly_fuel_expense 
]]&gt;10040,Form_Responses34[[#This Row],[Total_monthly_fuel_expense 
]]&lt;-4760),"Outlier","Normal")</f>
        <v>Normal</v>
      </c>
    </row>
    <row r="92" spans="1:30" x14ac:dyDescent="0.2">
      <c r="A92" s="20">
        <v>23</v>
      </c>
      <c r="B92" s="15" t="s">
        <v>42</v>
      </c>
      <c r="C92" s="12" t="s">
        <v>1888</v>
      </c>
      <c r="D92" s="20">
        <v>4</v>
      </c>
      <c r="E92" s="20">
        <v>1</v>
      </c>
      <c r="F92" s="15" t="s">
        <v>100</v>
      </c>
      <c r="G92" s="15"/>
      <c r="H92" s="15" t="s">
        <v>47</v>
      </c>
      <c r="I92" s="15"/>
      <c r="J92" s="15"/>
      <c r="K92" s="20"/>
      <c r="L92" s="20"/>
      <c r="M92" s="20"/>
      <c r="N92" s="20">
        <v>2</v>
      </c>
      <c r="O92" s="20">
        <v>8</v>
      </c>
      <c r="P92" s="20">
        <v>5</v>
      </c>
      <c r="Q92" s="20"/>
      <c r="R92" s="20"/>
      <c r="S92" s="20"/>
      <c r="T92" s="20"/>
      <c r="U92" s="20"/>
      <c r="V92" s="20"/>
      <c r="W92" s="20">
        <v>650</v>
      </c>
      <c r="X92" s="15" t="s">
        <v>252</v>
      </c>
      <c r="Y92" s="20">
        <v>4</v>
      </c>
      <c r="Z92" s="15" t="s">
        <v>285</v>
      </c>
      <c r="AA92" s="15" t="s">
        <v>96</v>
      </c>
      <c r="AB92" s="15" t="s">
        <v>335</v>
      </c>
      <c r="AC92" s="20" t="s">
        <v>152</v>
      </c>
      <c r="AD92" s="9" t="str">
        <f>IF(OR(Form_Responses34[[#This Row],[Total_monthly_fuel_expense 
]]&gt;10040,Form_Responses34[[#This Row],[Total_monthly_fuel_expense 
]]&lt;-4760),"Outlier","Normal")</f>
        <v>Normal</v>
      </c>
    </row>
    <row r="93" spans="1:30" x14ac:dyDescent="0.2">
      <c r="A93" s="20">
        <v>27</v>
      </c>
      <c r="B93" s="15" t="s">
        <v>73</v>
      </c>
      <c r="C93" s="12" t="s">
        <v>1889</v>
      </c>
      <c r="D93" s="20">
        <v>3</v>
      </c>
      <c r="E93" s="20">
        <v>2</v>
      </c>
      <c r="F93" s="15" t="s">
        <v>246</v>
      </c>
      <c r="G93" s="15" t="s">
        <v>47</v>
      </c>
      <c r="H93" s="15"/>
      <c r="I93" s="15" t="s">
        <v>47</v>
      </c>
      <c r="J93" s="15"/>
      <c r="K93" s="20">
        <v>4</v>
      </c>
      <c r="L93" s="20">
        <v>12</v>
      </c>
      <c r="M93" s="20">
        <v>9</v>
      </c>
      <c r="N93" s="20"/>
      <c r="O93" s="20"/>
      <c r="P93" s="20"/>
      <c r="Q93" s="20">
        <v>2</v>
      </c>
      <c r="R93" s="20">
        <v>14</v>
      </c>
      <c r="S93" s="20">
        <v>17</v>
      </c>
      <c r="T93" s="20"/>
      <c r="U93" s="20"/>
      <c r="V93" s="20"/>
      <c r="W93" s="20">
        <v>3800</v>
      </c>
      <c r="X93" s="15" t="s">
        <v>323</v>
      </c>
      <c r="Y93" s="20">
        <v>10</v>
      </c>
      <c r="Z93" s="15" t="s">
        <v>255</v>
      </c>
      <c r="AA93" s="15" t="s">
        <v>85</v>
      </c>
      <c r="AB93" s="15" t="s">
        <v>256</v>
      </c>
      <c r="AC93" s="20" t="s">
        <v>257</v>
      </c>
      <c r="AD93" s="9" t="str">
        <f>IF(OR(Form_Responses34[[#This Row],[Total_monthly_fuel_expense 
]]&gt;10040,Form_Responses34[[#This Row],[Total_monthly_fuel_expense 
]]&lt;-4760),"Outlier","Normal")</f>
        <v>Normal</v>
      </c>
    </row>
    <row r="94" spans="1:30" x14ac:dyDescent="0.2">
      <c r="A94" s="20">
        <v>24</v>
      </c>
      <c r="B94" s="15" t="s">
        <v>42</v>
      </c>
      <c r="C94" s="12" t="s">
        <v>1888</v>
      </c>
      <c r="D94" s="20">
        <v>4</v>
      </c>
      <c r="E94" s="20">
        <v>1</v>
      </c>
      <c r="F94" s="15" t="s">
        <v>100</v>
      </c>
      <c r="G94" s="15"/>
      <c r="H94" s="15" t="s">
        <v>47</v>
      </c>
      <c r="I94" s="15"/>
      <c r="J94" s="15"/>
      <c r="K94" s="20"/>
      <c r="L94" s="20"/>
      <c r="M94" s="20"/>
      <c r="N94" s="20">
        <v>3</v>
      </c>
      <c r="O94" s="20">
        <v>9</v>
      </c>
      <c r="P94" s="20">
        <v>6</v>
      </c>
      <c r="Q94" s="20"/>
      <c r="R94" s="20"/>
      <c r="S94" s="20"/>
      <c r="T94" s="20"/>
      <c r="U94" s="20"/>
      <c r="V94" s="20"/>
      <c r="W94" s="20">
        <v>720</v>
      </c>
      <c r="X94" s="15" t="s">
        <v>323</v>
      </c>
      <c r="Y94" s="20">
        <v>7</v>
      </c>
      <c r="Z94" s="15" t="s">
        <v>255</v>
      </c>
      <c r="AA94" s="15" t="s">
        <v>96</v>
      </c>
      <c r="AB94" s="15" t="s">
        <v>256</v>
      </c>
      <c r="AC94" s="20" t="s">
        <v>152</v>
      </c>
      <c r="AD94" s="9" t="str">
        <f>IF(OR(Form_Responses34[[#This Row],[Total_monthly_fuel_expense 
]]&gt;10040,Form_Responses34[[#This Row],[Total_monthly_fuel_expense 
]]&lt;-4760),"Outlier","Normal")</f>
        <v>Normal</v>
      </c>
    </row>
    <row r="95" spans="1:30" x14ac:dyDescent="0.2">
      <c r="A95" s="20">
        <v>29</v>
      </c>
      <c r="B95" s="15" t="s">
        <v>42</v>
      </c>
      <c r="C95" s="12" t="s">
        <v>1889</v>
      </c>
      <c r="D95" s="20">
        <v>3</v>
      </c>
      <c r="E95" s="20">
        <v>1</v>
      </c>
      <c r="F95" s="15" t="s">
        <v>431</v>
      </c>
      <c r="G95" s="15"/>
      <c r="H95" s="15"/>
      <c r="I95" s="15" t="s">
        <v>47</v>
      </c>
      <c r="J95" s="15"/>
      <c r="K95" s="20"/>
      <c r="L95" s="20"/>
      <c r="M95" s="20"/>
      <c r="N95" s="20"/>
      <c r="O95" s="20"/>
      <c r="P95" s="20"/>
      <c r="Q95" s="20">
        <v>4</v>
      </c>
      <c r="R95" s="20">
        <v>15</v>
      </c>
      <c r="S95" s="20">
        <v>18</v>
      </c>
      <c r="T95" s="20"/>
      <c r="U95" s="20"/>
      <c r="V95" s="20"/>
      <c r="W95" s="20">
        <v>2300</v>
      </c>
      <c r="X95" s="15" t="s">
        <v>252</v>
      </c>
      <c r="Y95" s="20">
        <v>9</v>
      </c>
      <c r="Z95" s="15" t="s">
        <v>255</v>
      </c>
      <c r="AA95" s="15" t="s">
        <v>277</v>
      </c>
      <c r="AB95" s="15" t="s">
        <v>335</v>
      </c>
      <c r="AC95" s="20" t="s">
        <v>152</v>
      </c>
      <c r="AD95" s="9" t="str">
        <f>IF(OR(Form_Responses34[[#This Row],[Total_monthly_fuel_expense 
]]&gt;10040,Form_Responses34[[#This Row],[Total_monthly_fuel_expense 
]]&lt;-4760),"Outlier","Normal")</f>
        <v>Normal</v>
      </c>
    </row>
    <row r="96" spans="1:30" x14ac:dyDescent="0.2">
      <c r="A96" s="20">
        <v>31</v>
      </c>
      <c r="B96" s="15" t="s">
        <v>73</v>
      </c>
      <c r="C96" s="12" t="s">
        <v>1888</v>
      </c>
      <c r="D96" s="20">
        <v>5</v>
      </c>
      <c r="E96" s="20">
        <v>1</v>
      </c>
      <c r="F96" s="15" t="s">
        <v>46</v>
      </c>
      <c r="G96" s="15" t="s">
        <v>47</v>
      </c>
      <c r="H96" s="15"/>
      <c r="I96" s="15"/>
      <c r="J96" s="15"/>
      <c r="K96" s="20">
        <v>6</v>
      </c>
      <c r="L96" s="20">
        <v>13</v>
      </c>
      <c r="M96" s="20">
        <v>10</v>
      </c>
      <c r="N96" s="20"/>
      <c r="O96" s="20"/>
      <c r="P96" s="20"/>
      <c r="Q96" s="20"/>
      <c r="R96" s="20"/>
      <c r="S96" s="20"/>
      <c r="T96" s="20"/>
      <c r="U96" s="20"/>
      <c r="V96" s="20"/>
      <c r="W96" s="20">
        <v>1200</v>
      </c>
      <c r="X96" s="15" t="s">
        <v>252</v>
      </c>
      <c r="Y96" s="20">
        <v>5</v>
      </c>
      <c r="Z96" s="15" t="s">
        <v>724</v>
      </c>
      <c r="AA96" s="15" t="s">
        <v>85</v>
      </c>
      <c r="AB96" s="15" t="s">
        <v>256</v>
      </c>
      <c r="AC96" s="20" t="s">
        <v>68</v>
      </c>
      <c r="AD96" s="9" t="str">
        <f>IF(OR(Form_Responses34[[#This Row],[Total_monthly_fuel_expense 
]]&gt;10040,Form_Responses34[[#This Row],[Total_monthly_fuel_expense 
]]&lt;-4760),"Outlier","Normal")</f>
        <v>Normal</v>
      </c>
    </row>
    <row r="97" spans="1:30" x14ac:dyDescent="0.2">
      <c r="A97" s="20">
        <v>22</v>
      </c>
      <c r="B97" s="15" t="s">
        <v>42</v>
      </c>
      <c r="C97" s="12" t="s">
        <v>182</v>
      </c>
      <c r="D97" s="20">
        <v>4</v>
      </c>
      <c r="E97" s="20">
        <v>1</v>
      </c>
      <c r="F97" s="15" t="s">
        <v>100</v>
      </c>
      <c r="G97" s="15"/>
      <c r="H97" s="15" t="s">
        <v>47</v>
      </c>
      <c r="I97" s="15"/>
      <c r="J97" s="15"/>
      <c r="K97" s="20"/>
      <c r="L97" s="20"/>
      <c r="M97" s="20"/>
      <c r="N97" s="20">
        <v>1</v>
      </c>
      <c r="O97" s="20">
        <v>7</v>
      </c>
      <c r="P97" s="20">
        <v>5</v>
      </c>
      <c r="Q97" s="20"/>
      <c r="R97" s="20"/>
      <c r="S97" s="20"/>
      <c r="T97" s="20"/>
      <c r="U97" s="20"/>
      <c r="V97" s="20"/>
      <c r="W97" s="20">
        <v>600</v>
      </c>
      <c r="X97" s="15" t="s">
        <v>252</v>
      </c>
      <c r="Y97" s="20">
        <v>3</v>
      </c>
      <c r="Z97" s="15" t="s">
        <v>285</v>
      </c>
      <c r="AA97" s="15" t="s">
        <v>277</v>
      </c>
      <c r="AB97" s="15" t="s">
        <v>335</v>
      </c>
      <c r="AC97" s="20" t="s">
        <v>152</v>
      </c>
      <c r="AD97" s="9" t="str">
        <f>IF(OR(Form_Responses34[[#This Row],[Total_monthly_fuel_expense 
]]&gt;10040,Form_Responses34[[#This Row],[Total_monthly_fuel_expense 
]]&lt;-4760),"Outlier","Normal")</f>
        <v>Normal</v>
      </c>
    </row>
    <row r="98" spans="1:30" x14ac:dyDescent="0.2">
      <c r="A98" s="20">
        <v>40</v>
      </c>
      <c r="B98" s="15" t="s">
        <v>73</v>
      </c>
      <c r="C98" s="12" t="s">
        <v>1889</v>
      </c>
      <c r="D98" s="20">
        <v>6</v>
      </c>
      <c r="E98" s="20">
        <v>2</v>
      </c>
      <c r="F98" s="15" t="s">
        <v>290</v>
      </c>
      <c r="G98" s="15" t="s">
        <v>47</v>
      </c>
      <c r="H98" s="15"/>
      <c r="I98" s="15"/>
      <c r="J98" s="15" t="s">
        <v>291</v>
      </c>
      <c r="K98" s="20">
        <v>10</v>
      </c>
      <c r="L98" s="20">
        <v>14</v>
      </c>
      <c r="M98" s="20">
        <v>11</v>
      </c>
      <c r="N98" s="20"/>
      <c r="O98" s="20"/>
      <c r="P98" s="20"/>
      <c r="Q98" s="20"/>
      <c r="R98" s="20"/>
      <c r="S98" s="20"/>
      <c r="T98" s="20">
        <v>12</v>
      </c>
      <c r="U98" s="20">
        <v>45</v>
      </c>
      <c r="V98" s="20">
        <v>60</v>
      </c>
      <c r="W98" s="20">
        <v>8200</v>
      </c>
      <c r="X98" s="15" t="s">
        <v>159</v>
      </c>
      <c r="Y98" s="20">
        <v>4</v>
      </c>
      <c r="Z98" s="15" t="s">
        <v>296</v>
      </c>
      <c r="AA98" s="15" t="s">
        <v>85</v>
      </c>
      <c r="AB98" s="15" t="s">
        <v>256</v>
      </c>
      <c r="AC98" s="20" t="s">
        <v>68</v>
      </c>
      <c r="AD98" s="9" t="str">
        <f>IF(OR(Form_Responses34[[#This Row],[Total_monthly_fuel_expense 
]]&gt;10040,Form_Responses34[[#This Row],[Total_monthly_fuel_expense 
]]&lt;-4760),"Outlier","Normal")</f>
        <v>Normal</v>
      </c>
    </row>
    <row r="99" spans="1:30" x14ac:dyDescent="0.2">
      <c r="A99" s="20">
        <v>45</v>
      </c>
      <c r="B99" s="15" t="s">
        <v>73</v>
      </c>
      <c r="C99" s="12" t="s">
        <v>1890</v>
      </c>
      <c r="D99" s="20">
        <v>6</v>
      </c>
      <c r="E99" s="20">
        <v>2</v>
      </c>
      <c r="F99" s="15" t="s">
        <v>290</v>
      </c>
      <c r="G99" s="15" t="s">
        <v>47</v>
      </c>
      <c r="H99" s="15"/>
      <c r="I99" s="15"/>
      <c r="J99" s="15" t="s">
        <v>291</v>
      </c>
      <c r="K99" s="20">
        <v>8</v>
      </c>
      <c r="L99" s="20">
        <v>18</v>
      </c>
      <c r="M99" s="20">
        <v>13</v>
      </c>
      <c r="N99" s="20"/>
      <c r="O99" s="20"/>
      <c r="P99" s="20"/>
      <c r="Q99" s="20"/>
      <c r="R99" s="20"/>
      <c r="S99" s="20"/>
      <c r="T99" s="20">
        <v>11</v>
      </c>
      <c r="U99" s="20">
        <v>50</v>
      </c>
      <c r="V99" s="20">
        <v>70</v>
      </c>
      <c r="W99" s="20">
        <v>9000</v>
      </c>
      <c r="X99" s="15" t="s">
        <v>159</v>
      </c>
      <c r="Y99" s="20">
        <v>8</v>
      </c>
      <c r="Z99" s="15" t="s">
        <v>559</v>
      </c>
      <c r="AA99" s="15" t="s">
        <v>362</v>
      </c>
      <c r="AB99" s="15" t="s">
        <v>307</v>
      </c>
      <c r="AC99" s="20" t="s">
        <v>68</v>
      </c>
      <c r="AD99" s="9" t="str">
        <f>IF(OR(Form_Responses34[[#This Row],[Total_monthly_fuel_expense 
]]&gt;10040,Form_Responses34[[#This Row],[Total_monthly_fuel_expense 
]]&lt;-4760),"Outlier","Normal")</f>
        <v>Normal</v>
      </c>
    </row>
    <row r="100" spans="1:30" x14ac:dyDescent="0.2">
      <c r="A100" s="20">
        <v>26</v>
      </c>
      <c r="B100" s="15" t="s">
        <v>42</v>
      </c>
      <c r="C100" s="12" t="s">
        <v>1889</v>
      </c>
      <c r="D100" s="20">
        <v>3</v>
      </c>
      <c r="E100" s="20">
        <v>1</v>
      </c>
      <c r="F100" s="15" t="s">
        <v>431</v>
      </c>
      <c r="G100" s="15"/>
      <c r="H100" s="15"/>
      <c r="I100" s="15" t="s">
        <v>47</v>
      </c>
      <c r="J100" s="15"/>
      <c r="K100" s="20"/>
      <c r="L100" s="20"/>
      <c r="M100" s="20"/>
      <c r="N100" s="20"/>
      <c r="O100" s="20"/>
      <c r="P100" s="20"/>
      <c r="Q100" s="20">
        <v>3</v>
      </c>
      <c r="R100" s="20">
        <v>14</v>
      </c>
      <c r="S100" s="20">
        <v>19</v>
      </c>
      <c r="T100" s="20"/>
      <c r="U100" s="20"/>
      <c r="V100" s="20"/>
      <c r="W100" s="20">
        <v>2400</v>
      </c>
      <c r="X100" s="15" t="s">
        <v>252</v>
      </c>
      <c r="Y100" s="20">
        <v>8</v>
      </c>
      <c r="Z100" s="15" t="s">
        <v>255</v>
      </c>
      <c r="AA100" s="15" t="s">
        <v>277</v>
      </c>
      <c r="AB100" s="15" t="s">
        <v>256</v>
      </c>
      <c r="AC100" s="20" t="s">
        <v>257</v>
      </c>
      <c r="AD100" s="9" t="str">
        <f>IF(OR(Form_Responses34[[#This Row],[Total_monthly_fuel_expense 
]]&gt;10040,Form_Responses34[[#This Row],[Total_monthly_fuel_expense 
]]&lt;-4760),"Outlier","Normal")</f>
        <v>Normal</v>
      </c>
    </row>
    <row r="101" spans="1:30" x14ac:dyDescent="0.2">
      <c r="A101" s="20">
        <v>41</v>
      </c>
      <c r="B101" s="15" t="s">
        <v>73</v>
      </c>
      <c r="C101" s="12" t="s">
        <v>1888</v>
      </c>
      <c r="D101" s="20">
        <v>6</v>
      </c>
      <c r="E101" s="20">
        <v>2</v>
      </c>
      <c r="F101" s="15" t="s">
        <v>290</v>
      </c>
      <c r="G101" s="15" t="s">
        <v>47</v>
      </c>
      <c r="H101" s="15"/>
      <c r="I101" s="15"/>
      <c r="J101" s="15" t="s">
        <v>291</v>
      </c>
      <c r="K101" s="20">
        <v>8</v>
      </c>
      <c r="L101" s="20">
        <v>14</v>
      </c>
      <c r="M101" s="20">
        <v>10</v>
      </c>
      <c r="N101" s="20"/>
      <c r="O101" s="20"/>
      <c r="P101" s="20"/>
      <c r="Q101" s="20"/>
      <c r="R101" s="20"/>
      <c r="S101" s="20"/>
      <c r="T101" s="20">
        <v>10</v>
      </c>
      <c r="U101" s="20">
        <v>40</v>
      </c>
      <c r="V101" s="20">
        <v>55</v>
      </c>
      <c r="W101" s="20">
        <v>7000</v>
      </c>
      <c r="X101" s="15" t="s">
        <v>159</v>
      </c>
      <c r="Y101" s="20">
        <v>5</v>
      </c>
      <c r="Z101" s="15" t="s">
        <v>296</v>
      </c>
      <c r="AA101" s="15" t="s">
        <v>85</v>
      </c>
      <c r="AB101" s="15" t="s">
        <v>256</v>
      </c>
      <c r="AC101" s="20" t="s">
        <v>68</v>
      </c>
      <c r="AD101" s="9" t="str">
        <f>IF(OR(Form_Responses34[[#This Row],[Total_monthly_fuel_expense 
]]&gt;10040,Form_Responses34[[#This Row],[Total_monthly_fuel_expense 
]]&lt;-4760),"Outlier","Normal")</f>
        <v>Normal</v>
      </c>
    </row>
    <row r="102" spans="1:30" x14ac:dyDescent="0.2">
      <c r="A102" s="20">
        <v>22</v>
      </c>
      <c r="B102" s="15" t="s">
        <v>42</v>
      </c>
      <c r="C102" s="12" t="s">
        <v>182</v>
      </c>
      <c r="D102" s="20">
        <v>4</v>
      </c>
      <c r="E102" s="20">
        <v>1</v>
      </c>
      <c r="F102" s="15" t="s">
        <v>100</v>
      </c>
      <c r="G102" s="15"/>
      <c r="H102" s="15" t="s">
        <v>47</v>
      </c>
      <c r="I102" s="15"/>
      <c r="J102" s="15"/>
      <c r="K102" s="20"/>
      <c r="L102" s="20"/>
      <c r="M102" s="20"/>
      <c r="N102" s="20">
        <v>1</v>
      </c>
      <c r="O102" s="20">
        <v>10</v>
      </c>
      <c r="P102" s="20">
        <v>6</v>
      </c>
      <c r="Q102" s="20"/>
      <c r="R102" s="20"/>
      <c r="S102" s="20"/>
      <c r="T102" s="20"/>
      <c r="U102" s="20"/>
      <c r="V102" s="20"/>
      <c r="W102" s="20">
        <v>700</v>
      </c>
      <c r="X102" s="15" t="s">
        <v>252</v>
      </c>
      <c r="Y102" s="20">
        <v>4</v>
      </c>
      <c r="Z102" s="15" t="s">
        <v>285</v>
      </c>
      <c r="AA102" s="15" t="s">
        <v>277</v>
      </c>
      <c r="AB102" s="15" t="s">
        <v>256</v>
      </c>
      <c r="AC102" s="20" t="s">
        <v>152</v>
      </c>
      <c r="AD102" s="9" t="str">
        <f>IF(OR(Form_Responses34[[#This Row],[Total_monthly_fuel_expense 
]]&gt;10040,Form_Responses34[[#This Row],[Total_monthly_fuel_expense 
]]&lt;-4760),"Outlier","Normal")</f>
        <v>Normal</v>
      </c>
    </row>
    <row r="103" spans="1:30" x14ac:dyDescent="0.2">
      <c r="A103" s="20">
        <v>29</v>
      </c>
      <c r="B103" s="15" t="s">
        <v>73</v>
      </c>
      <c r="C103" s="12" t="s">
        <v>1889</v>
      </c>
      <c r="D103" s="20">
        <v>3</v>
      </c>
      <c r="E103" s="20">
        <v>2</v>
      </c>
      <c r="F103" s="15" t="s">
        <v>246</v>
      </c>
      <c r="G103" s="15" t="s">
        <v>47</v>
      </c>
      <c r="H103" s="15"/>
      <c r="I103" s="15" t="s">
        <v>47</v>
      </c>
      <c r="J103" s="15"/>
      <c r="K103" s="20">
        <v>5</v>
      </c>
      <c r="L103" s="20">
        <v>12</v>
      </c>
      <c r="M103" s="20">
        <v>9</v>
      </c>
      <c r="N103" s="20"/>
      <c r="O103" s="20"/>
      <c r="P103" s="20"/>
      <c r="Q103" s="20">
        <v>3</v>
      </c>
      <c r="R103" s="20">
        <v>17</v>
      </c>
      <c r="S103" s="20">
        <v>21</v>
      </c>
      <c r="T103" s="20"/>
      <c r="U103" s="20"/>
      <c r="V103" s="20"/>
      <c r="W103" s="20">
        <v>4300</v>
      </c>
      <c r="X103" s="15" t="s">
        <v>323</v>
      </c>
      <c r="Y103" s="20">
        <v>10</v>
      </c>
      <c r="Z103" s="15" t="s">
        <v>255</v>
      </c>
      <c r="AA103" s="15" t="s">
        <v>85</v>
      </c>
      <c r="AB103" s="15" t="s">
        <v>467</v>
      </c>
      <c r="AC103" s="20" t="s">
        <v>257</v>
      </c>
      <c r="AD103" s="9" t="str">
        <f>IF(OR(Form_Responses34[[#This Row],[Total_monthly_fuel_expense 
]]&gt;10040,Form_Responses34[[#This Row],[Total_monthly_fuel_expense 
]]&lt;-4760),"Outlier","Normal")</f>
        <v>Normal</v>
      </c>
    </row>
    <row r="104" spans="1:30" x14ac:dyDescent="0.2">
      <c r="A104" s="20">
        <v>21</v>
      </c>
      <c r="B104" s="15" t="s">
        <v>73</v>
      </c>
      <c r="C104" s="12" t="s">
        <v>1889</v>
      </c>
      <c r="D104" s="20">
        <v>5</v>
      </c>
      <c r="E104" s="20">
        <v>2</v>
      </c>
      <c r="F104" s="15" t="s">
        <v>246</v>
      </c>
      <c r="G104" s="15" t="s">
        <v>47</v>
      </c>
      <c r="H104" s="15"/>
      <c r="I104" s="15" t="s">
        <v>47</v>
      </c>
      <c r="J104" s="15"/>
      <c r="K104" s="20">
        <v>4</v>
      </c>
      <c r="L104" s="20">
        <v>15</v>
      </c>
      <c r="M104" s="20">
        <v>9</v>
      </c>
      <c r="N104" s="20"/>
      <c r="O104" s="20"/>
      <c r="P104" s="20"/>
      <c r="Q104" s="20">
        <v>5</v>
      </c>
      <c r="R104" s="20">
        <v>20</v>
      </c>
      <c r="S104" s="20">
        <v>22</v>
      </c>
      <c r="T104" s="20"/>
      <c r="U104" s="20"/>
      <c r="V104" s="20"/>
      <c r="W104" s="20">
        <v>3400</v>
      </c>
      <c r="X104" s="15" t="s">
        <v>159</v>
      </c>
      <c r="Y104" s="20">
        <v>12</v>
      </c>
      <c r="Z104" s="15" t="s">
        <v>255</v>
      </c>
      <c r="AA104" s="15" t="s">
        <v>85</v>
      </c>
      <c r="AB104" s="15" t="s">
        <v>335</v>
      </c>
      <c r="AC104" s="20" t="s">
        <v>257</v>
      </c>
      <c r="AD104" s="9" t="str">
        <f>IF(OR(Form_Responses34[[#This Row],[Total_monthly_fuel_expense 
]]&gt;10040,Form_Responses34[[#This Row],[Total_monthly_fuel_expense 
]]&lt;-4760),"Outlier","Normal")</f>
        <v>Normal</v>
      </c>
    </row>
    <row r="105" spans="1:30" x14ac:dyDescent="0.2">
      <c r="A105" s="20">
        <v>28</v>
      </c>
      <c r="B105" s="15" t="s">
        <v>42</v>
      </c>
      <c r="C105" s="12" t="s">
        <v>1888</v>
      </c>
      <c r="D105" s="20">
        <v>4</v>
      </c>
      <c r="E105" s="20">
        <v>1</v>
      </c>
      <c r="F105" s="15" t="s">
        <v>46</v>
      </c>
      <c r="G105" s="15" t="s">
        <v>47</v>
      </c>
      <c r="H105" s="15"/>
      <c r="I105" s="15"/>
      <c r="J105" s="15"/>
      <c r="K105" s="20">
        <v>7</v>
      </c>
      <c r="L105" s="20">
        <v>6</v>
      </c>
      <c r="M105" s="20">
        <v>5</v>
      </c>
      <c r="N105" s="20"/>
      <c r="O105" s="20"/>
      <c r="P105" s="20"/>
      <c r="Q105" s="20"/>
      <c r="R105" s="20"/>
      <c r="S105" s="20"/>
      <c r="T105" s="20"/>
      <c r="U105" s="20"/>
      <c r="V105" s="20"/>
      <c r="W105" s="20">
        <v>600</v>
      </c>
      <c r="X105" s="15" t="s">
        <v>159</v>
      </c>
      <c r="Y105" s="20">
        <v>3</v>
      </c>
      <c r="Z105" s="15" t="s">
        <v>344</v>
      </c>
      <c r="AA105" s="15" t="s">
        <v>96</v>
      </c>
      <c r="AB105" s="15" t="s">
        <v>335</v>
      </c>
      <c r="AC105" s="20" t="s">
        <v>68</v>
      </c>
      <c r="AD105" s="9" t="str">
        <f>IF(OR(Form_Responses34[[#This Row],[Total_monthly_fuel_expense 
]]&gt;10040,Form_Responses34[[#This Row],[Total_monthly_fuel_expense 
]]&lt;-4760),"Outlier","Normal")</f>
        <v>Normal</v>
      </c>
    </row>
    <row r="106" spans="1:30" x14ac:dyDescent="0.2">
      <c r="A106" s="20">
        <v>37</v>
      </c>
      <c r="B106" s="15" t="s">
        <v>73</v>
      </c>
      <c r="C106" s="12" t="s">
        <v>1889</v>
      </c>
      <c r="D106" s="20">
        <v>5</v>
      </c>
      <c r="E106" s="20">
        <v>2</v>
      </c>
      <c r="F106" s="15" t="s">
        <v>246</v>
      </c>
      <c r="G106" s="15" t="s">
        <v>47</v>
      </c>
      <c r="H106" s="15"/>
      <c r="I106" s="15" t="s">
        <v>47</v>
      </c>
      <c r="J106" s="15"/>
      <c r="K106" s="20">
        <v>9</v>
      </c>
      <c r="L106" s="20">
        <v>15</v>
      </c>
      <c r="M106" s="20">
        <v>11</v>
      </c>
      <c r="N106" s="20"/>
      <c r="O106" s="20"/>
      <c r="P106" s="20"/>
      <c r="Q106" s="20">
        <v>6</v>
      </c>
      <c r="R106" s="20">
        <v>18</v>
      </c>
      <c r="S106" s="20">
        <v>22</v>
      </c>
      <c r="T106" s="20"/>
      <c r="U106" s="20"/>
      <c r="V106" s="20"/>
      <c r="W106" s="20">
        <v>4800</v>
      </c>
      <c r="X106" s="15" t="s">
        <v>252</v>
      </c>
      <c r="Y106" s="20">
        <v>7</v>
      </c>
      <c r="Z106" s="15" t="s">
        <v>559</v>
      </c>
      <c r="AA106" s="15" t="s">
        <v>85</v>
      </c>
      <c r="AB106" s="15" t="s">
        <v>318</v>
      </c>
      <c r="AC106" s="20" t="s">
        <v>257</v>
      </c>
      <c r="AD106" s="9" t="str">
        <f>IF(OR(Form_Responses34[[#This Row],[Total_monthly_fuel_expense 
]]&gt;10040,Form_Responses34[[#This Row],[Total_monthly_fuel_expense 
]]&lt;-4760),"Outlier","Normal")</f>
        <v>Normal</v>
      </c>
    </row>
    <row r="107" spans="1:30" x14ac:dyDescent="0.2">
      <c r="A107" s="20">
        <v>33</v>
      </c>
      <c r="B107" s="15" t="s">
        <v>73</v>
      </c>
      <c r="C107" s="12" t="s">
        <v>1888</v>
      </c>
      <c r="D107" s="20">
        <v>5</v>
      </c>
      <c r="E107" s="20">
        <v>2</v>
      </c>
      <c r="F107" s="15" t="s">
        <v>290</v>
      </c>
      <c r="G107" s="15" t="s">
        <v>47</v>
      </c>
      <c r="H107" s="15"/>
      <c r="I107" s="15"/>
      <c r="J107" s="15" t="s">
        <v>291</v>
      </c>
      <c r="K107" s="20">
        <v>6</v>
      </c>
      <c r="L107" s="20">
        <v>10</v>
      </c>
      <c r="M107" s="20">
        <v>7</v>
      </c>
      <c r="N107" s="20"/>
      <c r="O107" s="20"/>
      <c r="P107" s="20"/>
      <c r="Q107" s="20"/>
      <c r="R107" s="20"/>
      <c r="S107" s="20"/>
      <c r="T107" s="20">
        <v>8</v>
      </c>
      <c r="U107" s="20">
        <v>15</v>
      </c>
      <c r="V107" s="20">
        <v>65</v>
      </c>
      <c r="W107" s="20">
        <v>5800</v>
      </c>
      <c r="X107" s="15" t="s">
        <v>252</v>
      </c>
      <c r="Y107" s="20">
        <v>9</v>
      </c>
      <c r="Z107" s="15" t="s">
        <v>296</v>
      </c>
      <c r="AA107" s="15" t="s">
        <v>85</v>
      </c>
      <c r="AB107" s="15" t="s">
        <v>256</v>
      </c>
      <c r="AC107" s="20" t="s">
        <v>68</v>
      </c>
      <c r="AD107" s="9" t="str">
        <f>IF(OR(Form_Responses34[[#This Row],[Total_monthly_fuel_expense 
]]&gt;10040,Form_Responses34[[#This Row],[Total_monthly_fuel_expense 
]]&lt;-4760),"Outlier","Normal")</f>
        <v>Normal</v>
      </c>
    </row>
    <row r="108" spans="1:30" x14ac:dyDescent="0.2">
      <c r="A108" s="20">
        <v>33</v>
      </c>
      <c r="B108" s="15" t="s">
        <v>42</v>
      </c>
      <c r="C108" s="12" t="s">
        <v>1889</v>
      </c>
      <c r="D108" s="20">
        <v>4</v>
      </c>
      <c r="E108" s="20">
        <v>1</v>
      </c>
      <c r="F108" s="15" t="s">
        <v>100</v>
      </c>
      <c r="G108" s="15"/>
      <c r="H108" s="15" t="s">
        <v>47</v>
      </c>
      <c r="I108" s="15"/>
      <c r="J108" s="15"/>
      <c r="K108" s="20"/>
      <c r="L108" s="20"/>
      <c r="M108" s="20"/>
      <c r="N108" s="20">
        <v>9</v>
      </c>
      <c r="O108" s="20">
        <v>6</v>
      </c>
      <c r="P108" s="20">
        <v>6</v>
      </c>
      <c r="Q108" s="20"/>
      <c r="R108" s="20"/>
      <c r="S108" s="20"/>
      <c r="T108" s="20"/>
      <c r="U108" s="20"/>
      <c r="V108" s="20"/>
      <c r="W108" s="20">
        <v>750</v>
      </c>
      <c r="X108" s="15" t="s">
        <v>323</v>
      </c>
      <c r="Y108" s="20">
        <v>5</v>
      </c>
      <c r="Z108" s="15" t="s">
        <v>255</v>
      </c>
      <c r="AA108" s="15" t="s">
        <v>96</v>
      </c>
      <c r="AB108" s="15" t="s">
        <v>467</v>
      </c>
      <c r="AC108" s="20" t="s">
        <v>257</v>
      </c>
      <c r="AD108" s="9" t="str">
        <f>IF(OR(Form_Responses34[[#This Row],[Total_monthly_fuel_expense 
]]&gt;10040,Form_Responses34[[#This Row],[Total_monthly_fuel_expense 
]]&lt;-4760),"Outlier","Normal")</f>
        <v>Normal</v>
      </c>
    </row>
    <row r="109" spans="1:30" x14ac:dyDescent="0.2">
      <c r="A109" s="20">
        <v>24</v>
      </c>
      <c r="B109" s="15" t="s">
        <v>42</v>
      </c>
      <c r="C109" s="12" t="s">
        <v>1889</v>
      </c>
      <c r="D109" s="20">
        <v>3</v>
      </c>
      <c r="E109" s="20">
        <v>1</v>
      </c>
      <c r="F109" s="15" t="s">
        <v>100</v>
      </c>
      <c r="G109" s="15"/>
      <c r="H109" s="15" t="s">
        <v>47</v>
      </c>
      <c r="I109" s="15"/>
      <c r="J109" s="15"/>
      <c r="K109" s="20"/>
      <c r="L109" s="20"/>
      <c r="M109" s="20"/>
      <c r="N109" s="20">
        <v>2</v>
      </c>
      <c r="O109" s="20">
        <v>18</v>
      </c>
      <c r="P109" s="20">
        <v>10</v>
      </c>
      <c r="Q109" s="20"/>
      <c r="R109" s="20"/>
      <c r="S109" s="20"/>
      <c r="T109" s="20"/>
      <c r="U109" s="20"/>
      <c r="V109" s="20"/>
      <c r="W109" s="20">
        <v>1100</v>
      </c>
      <c r="X109" s="15" t="s">
        <v>323</v>
      </c>
      <c r="Y109" s="20">
        <v>8</v>
      </c>
      <c r="Z109" s="15" t="s">
        <v>255</v>
      </c>
      <c r="AA109" s="15" t="s">
        <v>96</v>
      </c>
      <c r="AB109" s="15" t="s">
        <v>325</v>
      </c>
      <c r="AC109" s="20" t="s">
        <v>152</v>
      </c>
      <c r="AD109" s="9" t="str">
        <f>IF(OR(Form_Responses34[[#This Row],[Total_monthly_fuel_expense 
]]&gt;10040,Form_Responses34[[#This Row],[Total_monthly_fuel_expense 
]]&lt;-4760),"Outlier","Normal")</f>
        <v>Normal</v>
      </c>
    </row>
    <row r="110" spans="1:30" x14ac:dyDescent="0.2">
      <c r="A110" s="20">
        <v>43</v>
      </c>
      <c r="B110" s="15" t="s">
        <v>73</v>
      </c>
      <c r="C110" s="12" t="s">
        <v>1888</v>
      </c>
      <c r="D110" s="20">
        <v>6</v>
      </c>
      <c r="E110" s="20">
        <v>2</v>
      </c>
      <c r="F110" s="15" t="s">
        <v>290</v>
      </c>
      <c r="G110" s="15" t="s">
        <v>47</v>
      </c>
      <c r="H110" s="15"/>
      <c r="I110" s="15"/>
      <c r="J110" s="15" t="s">
        <v>291</v>
      </c>
      <c r="K110" s="20">
        <v>11</v>
      </c>
      <c r="L110" s="20">
        <v>15</v>
      </c>
      <c r="M110" s="20">
        <v>11</v>
      </c>
      <c r="N110" s="20"/>
      <c r="O110" s="20"/>
      <c r="P110" s="20"/>
      <c r="Q110" s="20"/>
      <c r="R110" s="20"/>
      <c r="S110" s="20"/>
      <c r="T110" s="20">
        <v>13</v>
      </c>
      <c r="U110" s="20">
        <v>50</v>
      </c>
      <c r="V110" s="20">
        <v>65</v>
      </c>
      <c r="W110" s="20">
        <v>8500</v>
      </c>
      <c r="X110" s="15" t="s">
        <v>159</v>
      </c>
      <c r="Y110" s="20">
        <v>6</v>
      </c>
      <c r="Z110" s="15" t="s">
        <v>296</v>
      </c>
      <c r="AA110" s="15" t="s">
        <v>96</v>
      </c>
      <c r="AB110" s="15" t="s">
        <v>335</v>
      </c>
      <c r="AC110" s="20" t="s">
        <v>68</v>
      </c>
      <c r="AD110" s="9" t="str">
        <f>IF(OR(Form_Responses34[[#This Row],[Total_monthly_fuel_expense 
]]&gt;10040,Form_Responses34[[#This Row],[Total_monthly_fuel_expense 
]]&lt;-4760),"Outlier","Normal")</f>
        <v>Normal</v>
      </c>
    </row>
    <row r="111" spans="1:30" x14ac:dyDescent="0.2">
      <c r="A111" s="20">
        <v>28</v>
      </c>
      <c r="B111" s="15" t="s">
        <v>73</v>
      </c>
      <c r="C111" s="12" t="s">
        <v>1890</v>
      </c>
      <c r="D111" s="20">
        <v>6</v>
      </c>
      <c r="E111" s="20">
        <v>3</v>
      </c>
      <c r="F111" s="15" t="s">
        <v>309</v>
      </c>
      <c r="G111" s="15" t="s">
        <v>47</v>
      </c>
      <c r="H111" s="15"/>
      <c r="I111" s="15" t="s">
        <v>47</v>
      </c>
      <c r="J111" s="15" t="s">
        <v>291</v>
      </c>
      <c r="K111" s="20">
        <v>3</v>
      </c>
      <c r="L111" s="20">
        <v>12</v>
      </c>
      <c r="M111" s="20">
        <v>7</v>
      </c>
      <c r="N111" s="20"/>
      <c r="O111" s="20"/>
      <c r="P111" s="20"/>
      <c r="Q111" s="20">
        <v>5</v>
      </c>
      <c r="R111" s="20">
        <v>22</v>
      </c>
      <c r="S111" s="20">
        <v>27</v>
      </c>
      <c r="T111" s="20">
        <v>9</v>
      </c>
      <c r="U111" s="20">
        <v>45</v>
      </c>
      <c r="V111" s="20">
        <v>58</v>
      </c>
      <c r="W111" s="20">
        <v>9500</v>
      </c>
      <c r="X111" s="15" t="s">
        <v>159</v>
      </c>
      <c r="Y111" s="20">
        <v>15</v>
      </c>
      <c r="Z111" s="15" t="s">
        <v>559</v>
      </c>
      <c r="AA111" s="15" t="s">
        <v>85</v>
      </c>
      <c r="AB111" s="15" t="s">
        <v>307</v>
      </c>
      <c r="AC111" s="20" t="s">
        <v>257</v>
      </c>
      <c r="AD111" s="9" t="str">
        <f>IF(OR(Form_Responses34[[#This Row],[Total_monthly_fuel_expense 
]]&gt;10040,Form_Responses34[[#This Row],[Total_monthly_fuel_expense 
]]&lt;-4760),"Outlier","Normal")</f>
        <v>Normal</v>
      </c>
    </row>
    <row r="112" spans="1:30" x14ac:dyDescent="0.2">
      <c r="A112" s="20">
        <v>26</v>
      </c>
      <c r="B112" s="15" t="s">
        <v>42</v>
      </c>
      <c r="C112" s="12" t="s">
        <v>1889</v>
      </c>
      <c r="D112" s="20">
        <v>3</v>
      </c>
      <c r="E112" s="20">
        <v>1</v>
      </c>
      <c r="F112" s="15" t="s">
        <v>431</v>
      </c>
      <c r="G112" s="15"/>
      <c r="H112" s="15"/>
      <c r="I112" s="15" t="s">
        <v>47</v>
      </c>
      <c r="J112" s="15"/>
      <c r="K112" s="20"/>
      <c r="L112" s="20"/>
      <c r="M112" s="20"/>
      <c r="N112" s="20"/>
      <c r="O112" s="20"/>
      <c r="P112" s="20"/>
      <c r="Q112" s="20">
        <v>4</v>
      </c>
      <c r="R112" s="20">
        <v>16</v>
      </c>
      <c r="S112" s="20">
        <v>20</v>
      </c>
      <c r="T112" s="20"/>
      <c r="U112" s="20"/>
      <c r="V112" s="20"/>
      <c r="W112" s="20">
        <v>2500</v>
      </c>
      <c r="X112" s="15" t="s">
        <v>252</v>
      </c>
      <c r="Y112" s="20">
        <v>6</v>
      </c>
      <c r="Z112" s="15" t="s">
        <v>255</v>
      </c>
      <c r="AA112" s="15" t="s">
        <v>96</v>
      </c>
      <c r="AB112" s="15" t="s">
        <v>256</v>
      </c>
      <c r="AC112" s="20" t="s">
        <v>152</v>
      </c>
      <c r="AD112" s="9" t="str">
        <f>IF(OR(Form_Responses34[[#This Row],[Total_monthly_fuel_expense 
]]&gt;10040,Form_Responses34[[#This Row],[Total_monthly_fuel_expense 
]]&lt;-4760),"Outlier","Normal")</f>
        <v>Normal</v>
      </c>
    </row>
    <row r="113" spans="1:30" x14ac:dyDescent="0.2">
      <c r="A113" s="20">
        <v>22</v>
      </c>
      <c r="B113" s="15" t="s">
        <v>42</v>
      </c>
      <c r="C113" s="12" t="s">
        <v>182</v>
      </c>
      <c r="D113" s="20">
        <v>4</v>
      </c>
      <c r="E113" s="20">
        <v>1</v>
      </c>
      <c r="F113" s="15" t="s">
        <v>100</v>
      </c>
      <c r="G113" s="15"/>
      <c r="H113" s="15" t="s">
        <v>47</v>
      </c>
      <c r="I113" s="15"/>
      <c r="J113" s="15"/>
      <c r="K113" s="20"/>
      <c r="L113" s="20"/>
      <c r="M113" s="20"/>
      <c r="N113" s="20">
        <v>1</v>
      </c>
      <c r="O113" s="20">
        <v>10</v>
      </c>
      <c r="P113" s="20">
        <v>6</v>
      </c>
      <c r="Q113" s="20"/>
      <c r="R113" s="20"/>
      <c r="S113" s="20"/>
      <c r="T113" s="20"/>
      <c r="U113" s="20"/>
      <c r="V113" s="20"/>
      <c r="W113" s="20">
        <v>700</v>
      </c>
      <c r="X113" s="15" t="s">
        <v>276</v>
      </c>
      <c r="Y113" s="20">
        <v>6</v>
      </c>
      <c r="Z113" s="15" t="s">
        <v>285</v>
      </c>
      <c r="AA113" s="15" t="s">
        <v>277</v>
      </c>
      <c r="AB113" s="15" t="s">
        <v>256</v>
      </c>
      <c r="AC113" s="20" t="s">
        <v>152</v>
      </c>
      <c r="AD113" s="9" t="str">
        <f>IF(OR(Form_Responses34[[#This Row],[Total_monthly_fuel_expense 
]]&gt;10040,Form_Responses34[[#This Row],[Total_monthly_fuel_expense 
]]&lt;-4760),"Outlier","Normal")</f>
        <v>Normal</v>
      </c>
    </row>
    <row r="114" spans="1:30" x14ac:dyDescent="0.2">
      <c r="A114" s="20">
        <v>30</v>
      </c>
      <c r="B114" s="15" t="s">
        <v>73</v>
      </c>
      <c r="C114" s="12" t="s">
        <v>1890</v>
      </c>
      <c r="D114" s="20">
        <v>4</v>
      </c>
      <c r="E114" s="20">
        <v>3</v>
      </c>
      <c r="F114" s="15" t="s">
        <v>435</v>
      </c>
      <c r="G114" s="15" t="s">
        <v>47</v>
      </c>
      <c r="H114" s="15"/>
      <c r="I114" s="15" t="s">
        <v>47</v>
      </c>
      <c r="J114" s="15"/>
      <c r="K114" s="20">
        <v>4</v>
      </c>
      <c r="L114" s="20">
        <v>10</v>
      </c>
      <c r="M114" s="20">
        <v>7</v>
      </c>
      <c r="N114" s="20"/>
      <c r="O114" s="20"/>
      <c r="P114" s="20"/>
      <c r="Q114" s="20">
        <v>2</v>
      </c>
      <c r="R114" s="20">
        <v>22</v>
      </c>
      <c r="S114" s="20">
        <v>26</v>
      </c>
      <c r="T114" s="20"/>
      <c r="U114" s="20"/>
      <c r="V114" s="20"/>
      <c r="W114" s="20">
        <v>5500</v>
      </c>
      <c r="X114" s="15" t="s">
        <v>276</v>
      </c>
      <c r="Y114" s="20">
        <v>10</v>
      </c>
      <c r="Z114" s="15" t="s">
        <v>559</v>
      </c>
      <c r="AA114" s="15" t="s">
        <v>362</v>
      </c>
      <c r="AB114" s="15" t="s">
        <v>307</v>
      </c>
      <c r="AC114" s="20" t="s">
        <v>152</v>
      </c>
      <c r="AD114" s="9" t="str">
        <f>IF(OR(Form_Responses34[[#This Row],[Total_monthly_fuel_expense 
]]&gt;10040,Form_Responses34[[#This Row],[Total_monthly_fuel_expense 
]]&lt;-4760),"Outlier","Normal")</f>
        <v>Normal</v>
      </c>
    </row>
    <row r="115" spans="1:30" x14ac:dyDescent="0.2">
      <c r="A115" s="20">
        <v>27</v>
      </c>
      <c r="B115" s="15" t="s">
        <v>42</v>
      </c>
      <c r="C115" s="12" t="s">
        <v>1888</v>
      </c>
      <c r="D115" s="20">
        <v>3</v>
      </c>
      <c r="E115" s="20">
        <v>1</v>
      </c>
      <c r="F115" s="15" t="s">
        <v>100</v>
      </c>
      <c r="G115" s="15"/>
      <c r="H115" s="15" t="s">
        <v>47</v>
      </c>
      <c r="I115" s="15"/>
      <c r="J115" s="15"/>
      <c r="K115" s="20"/>
      <c r="L115" s="20"/>
      <c r="M115" s="20"/>
      <c r="N115" s="20">
        <v>2</v>
      </c>
      <c r="O115" s="20">
        <v>8</v>
      </c>
      <c r="P115" s="20">
        <v>5</v>
      </c>
      <c r="Q115" s="20"/>
      <c r="R115" s="20"/>
      <c r="S115" s="20"/>
      <c r="T115" s="20"/>
      <c r="U115" s="20"/>
      <c r="V115" s="20"/>
      <c r="W115" s="20">
        <v>650</v>
      </c>
      <c r="X115" s="15" t="s">
        <v>252</v>
      </c>
      <c r="Y115" s="20">
        <v>4</v>
      </c>
      <c r="Z115" s="15" t="s">
        <v>255</v>
      </c>
      <c r="AA115" s="15" t="s">
        <v>277</v>
      </c>
      <c r="AB115" s="15" t="s">
        <v>256</v>
      </c>
      <c r="AC115" s="20" t="s">
        <v>152</v>
      </c>
      <c r="AD115" s="9" t="str">
        <f>IF(OR(Form_Responses34[[#This Row],[Total_monthly_fuel_expense 
]]&gt;10040,Form_Responses34[[#This Row],[Total_monthly_fuel_expense 
]]&lt;-4760),"Outlier","Normal")</f>
        <v>Normal</v>
      </c>
    </row>
    <row r="116" spans="1:30" x14ac:dyDescent="0.2">
      <c r="A116" s="20">
        <v>40</v>
      </c>
      <c r="B116" s="15" t="s">
        <v>73</v>
      </c>
      <c r="C116" s="12" t="s">
        <v>1891</v>
      </c>
      <c r="D116" s="20">
        <v>5</v>
      </c>
      <c r="E116" s="20">
        <v>2</v>
      </c>
      <c r="F116" s="15" t="s">
        <v>246</v>
      </c>
      <c r="G116" s="15" t="s">
        <v>47</v>
      </c>
      <c r="H116" s="15"/>
      <c r="I116" s="15" t="s">
        <v>291</v>
      </c>
      <c r="J116" s="15"/>
      <c r="K116" s="20">
        <v>7</v>
      </c>
      <c r="L116" s="20">
        <v>8</v>
      </c>
      <c r="M116" s="20">
        <v>5</v>
      </c>
      <c r="N116" s="20"/>
      <c r="O116" s="20"/>
      <c r="P116" s="20"/>
      <c r="Q116" s="20">
        <v>4</v>
      </c>
      <c r="R116" s="20">
        <v>25</v>
      </c>
      <c r="S116" s="20">
        <v>32</v>
      </c>
      <c r="T116" s="20"/>
      <c r="U116" s="20"/>
      <c r="V116" s="20"/>
      <c r="W116" s="20">
        <v>5200</v>
      </c>
      <c r="X116" s="15" t="s">
        <v>252</v>
      </c>
      <c r="Y116" s="20">
        <v>18</v>
      </c>
      <c r="Z116" s="15" t="s">
        <v>255</v>
      </c>
      <c r="AA116" s="15" t="s">
        <v>362</v>
      </c>
      <c r="AB116" s="15" t="s">
        <v>307</v>
      </c>
      <c r="AC116" s="20" t="s">
        <v>68</v>
      </c>
      <c r="AD116" s="9" t="str">
        <f>IF(OR(Form_Responses34[[#This Row],[Total_monthly_fuel_expense 
]]&gt;10040,Form_Responses34[[#This Row],[Total_monthly_fuel_expense 
]]&lt;-4760),"Outlier","Normal")</f>
        <v>Normal</v>
      </c>
    </row>
    <row r="117" spans="1:30" x14ac:dyDescent="0.2">
      <c r="A117" s="20">
        <v>19</v>
      </c>
      <c r="B117" s="15" t="s">
        <v>42</v>
      </c>
      <c r="C117" s="12" t="s">
        <v>1888</v>
      </c>
      <c r="D117" s="20">
        <v>6</v>
      </c>
      <c r="E117" s="20">
        <v>1</v>
      </c>
      <c r="F117" s="44" t="s">
        <v>46</v>
      </c>
      <c r="G117" s="15" t="s">
        <v>47</v>
      </c>
      <c r="H117" s="15"/>
      <c r="I117" s="15"/>
      <c r="J117" s="15"/>
      <c r="K117" s="20">
        <v>5</v>
      </c>
      <c r="L117" s="20">
        <v>9</v>
      </c>
      <c r="M117" s="20">
        <v>6</v>
      </c>
      <c r="N117" s="20"/>
      <c r="O117" s="20"/>
      <c r="P117" s="20"/>
      <c r="Q117" s="20"/>
      <c r="R117" s="20"/>
      <c r="S117" s="20"/>
      <c r="T117" s="20"/>
      <c r="U117" s="20"/>
      <c r="V117" s="20"/>
      <c r="W117" s="20">
        <v>650</v>
      </c>
      <c r="X117" s="15" t="s">
        <v>857</v>
      </c>
      <c r="Y117" s="20">
        <v>7</v>
      </c>
      <c r="Z117" s="15" t="s">
        <v>285</v>
      </c>
      <c r="AA117" s="15" t="s">
        <v>96</v>
      </c>
      <c r="AB117" s="15" t="s">
        <v>325</v>
      </c>
      <c r="AC117" s="20" t="s">
        <v>257</v>
      </c>
      <c r="AD117" s="9" t="str">
        <f>IF(OR(Form_Responses34[[#This Row],[Total_monthly_fuel_expense 
]]&gt;10040,Form_Responses34[[#This Row],[Total_monthly_fuel_expense 
]]&lt;-4760),"Outlier","Normal")</f>
        <v>Normal</v>
      </c>
    </row>
    <row r="118" spans="1:30" x14ac:dyDescent="0.2">
      <c r="A118" s="20">
        <v>27</v>
      </c>
      <c r="B118" s="15" t="s">
        <v>73</v>
      </c>
      <c r="C118" s="12" t="s">
        <v>155</v>
      </c>
      <c r="D118" s="20">
        <v>4</v>
      </c>
      <c r="E118" s="20">
        <v>3</v>
      </c>
      <c r="F118" s="15" t="s">
        <v>435</v>
      </c>
      <c r="G118" s="15" t="s">
        <v>47</v>
      </c>
      <c r="H118" s="15"/>
      <c r="I118" s="15" t="s">
        <v>47</v>
      </c>
      <c r="J118" s="15"/>
      <c r="K118" s="20">
        <v>2</v>
      </c>
      <c r="L118" s="20">
        <v>10</v>
      </c>
      <c r="M118" s="20">
        <v>6</v>
      </c>
      <c r="N118" s="20"/>
      <c r="O118" s="20"/>
      <c r="P118" s="20"/>
      <c r="Q118" s="20">
        <v>3</v>
      </c>
      <c r="R118" s="20">
        <v>30</v>
      </c>
      <c r="S118" s="20">
        <v>35</v>
      </c>
      <c r="T118" s="20"/>
      <c r="U118" s="20"/>
      <c r="V118" s="20"/>
      <c r="W118" s="20">
        <v>8200</v>
      </c>
      <c r="X118" s="15" t="s">
        <v>276</v>
      </c>
      <c r="Y118" s="20">
        <v>10</v>
      </c>
      <c r="Z118" s="15" t="s">
        <v>559</v>
      </c>
      <c r="AA118" s="15" t="s">
        <v>362</v>
      </c>
      <c r="AB118" s="15" t="s">
        <v>307</v>
      </c>
      <c r="AC118" s="20" t="s">
        <v>152</v>
      </c>
      <c r="AD118" s="9" t="str">
        <f>IF(OR(Form_Responses34[[#This Row],[Total_monthly_fuel_expense 
]]&gt;10040,Form_Responses34[[#This Row],[Total_monthly_fuel_expense 
]]&lt;-4760),"Outlier","Normal")</f>
        <v>Normal</v>
      </c>
    </row>
    <row r="119" spans="1:30" x14ac:dyDescent="0.2">
      <c r="A119" s="20">
        <v>31</v>
      </c>
      <c r="B119" s="15" t="s">
        <v>73</v>
      </c>
      <c r="C119" s="12" t="s">
        <v>1889</v>
      </c>
      <c r="D119" s="20">
        <v>3</v>
      </c>
      <c r="E119" s="20">
        <v>1</v>
      </c>
      <c r="F119" s="15" t="s">
        <v>46</v>
      </c>
      <c r="G119" s="15" t="s">
        <v>47</v>
      </c>
      <c r="H119" s="15"/>
      <c r="I119" s="15"/>
      <c r="J119" s="15"/>
      <c r="K119" s="20">
        <v>4</v>
      </c>
      <c r="L119" s="20">
        <v>20</v>
      </c>
      <c r="M119" s="20">
        <v>12</v>
      </c>
      <c r="N119" s="20"/>
      <c r="O119" s="20"/>
      <c r="P119" s="20"/>
      <c r="Q119" s="20"/>
      <c r="R119" s="20"/>
      <c r="S119" s="20"/>
      <c r="T119" s="20"/>
      <c r="U119" s="20"/>
      <c r="V119" s="20"/>
      <c r="W119" s="20">
        <v>1400</v>
      </c>
      <c r="X119" s="15" t="s">
        <v>323</v>
      </c>
      <c r="Y119" s="20">
        <v>14</v>
      </c>
      <c r="Z119" s="15" t="s">
        <v>255</v>
      </c>
      <c r="AA119" s="15" t="s">
        <v>85</v>
      </c>
      <c r="AB119" s="15" t="s">
        <v>256</v>
      </c>
      <c r="AC119" s="20" t="s">
        <v>257</v>
      </c>
      <c r="AD119" s="9" t="str">
        <f>IF(OR(Form_Responses34[[#This Row],[Total_monthly_fuel_expense 
]]&gt;10040,Form_Responses34[[#This Row],[Total_monthly_fuel_expense 
]]&lt;-4760),"Outlier","Normal")</f>
        <v>Normal</v>
      </c>
    </row>
    <row r="120" spans="1:30" x14ac:dyDescent="0.2">
      <c r="A120" s="20">
        <v>26</v>
      </c>
      <c r="B120" s="15" t="s">
        <v>42</v>
      </c>
      <c r="C120" s="12" t="s">
        <v>1888</v>
      </c>
      <c r="D120" s="20">
        <v>4</v>
      </c>
      <c r="E120" s="20">
        <v>1</v>
      </c>
      <c r="F120" s="15" t="s">
        <v>100</v>
      </c>
      <c r="G120" s="15"/>
      <c r="H120" s="15" t="s">
        <v>47</v>
      </c>
      <c r="I120" s="15"/>
      <c r="J120" s="15"/>
      <c r="K120" s="20"/>
      <c r="L120" s="20"/>
      <c r="M120" s="20"/>
      <c r="N120" s="20">
        <v>3</v>
      </c>
      <c r="O120" s="20">
        <v>8</v>
      </c>
      <c r="P120" s="20">
        <v>5</v>
      </c>
      <c r="Q120" s="20"/>
      <c r="R120" s="20"/>
      <c r="S120" s="20"/>
      <c r="T120" s="20"/>
      <c r="U120" s="20"/>
      <c r="V120" s="20"/>
      <c r="W120" s="20">
        <v>600</v>
      </c>
      <c r="X120" s="15" t="s">
        <v>159</v>
      </c>
      <c r="Y120" s="20">
        <v>4</v>
      </c>
      <c r="Z120" s="15" t="s">
        <v>344</v>
      </c>
      <c r="AA120" s="15" t="s">
        <v>277</v>
      </c>
      <c r="AB120" s="15" t="s">
        <v>335</v>
      </c>
      <c r="AC120" s="20" t="s">
        <v>152</v>
      </c>
      <c r="AD120" s="9" t="str">
        <f>IF(OR(Form_Responses34[[#This Row],[Total_monthly_fuel_expense 
]]&gt;10040,Form_Responses34[[#This Row],[Total_monthly_fuel_expense 
]]&lt;-4760),"Outlier","Normal")</f>
        <v>Normal</v>
      </c>
    </row>
    <row r="121" spans="1:30" x14ac:dyDescent="0.2">
      <c r="A121" s="20">
        <v>31</v>
      </c>
      <c r="B121" s="15" t="s">
        <v>42</v>
      </c>
      <c r="C121" s="12" t="s">
        <v>1888</v>
      </c>
      <c r="D121" s="20">
        <v>5</v>
      </c>
      <c r="E121" s="20">
        <v>1</v>
      </c>
      <c r="F121" s="15" t="s">
        <v>46</v>
      </c>
      <c r="G121" s="15" t="s">
        <v>47</v>
      </c>
      <c r="H121" s="15"/>
      <c r="I121" s="15"/>
      <c r="J121" s="15"/>
      <c r="K121" s="20">
        <v>9</v>
      </c>
      <c r="L121" s="20">
        <v>7</v>
      </c>
      <c r="M121" s="20">
        <v>6</v>
      </c>
      <c r="N121" s="20"/>
      <c r="O121" s="20"/>
      <c r="P121" s="20"/>
      <c r="Q121" s="20"/>
      <c r="R121" s="20"/>
      <c r="S121" s="20"/>
      <c r="T121" s="20"/>
      <c r="U121" s="20"/>
      <c r="V121" s="20"/>
      <c r="W121" s="20">
        <v>750</v>
      </c>
      <c r="X121" s="15" t="s">
        <v>159</v>
      </c>
      <c r="Y121" s="20">
        <v>3</v>
      </c>
      <c r="Z121" s="15" t="s">
        <v>344</v>
      </c>
      <c r="AA121" s="15" t="s">
        <v>96</v>
      </c>
      <c r="AB121" s="15" t="s">
        <v>256</v>
      </c>
      <c r="AC121" s="20" t="s">
        <v>68</v>
      </c>
      <c r="AD121" s="9" t="str">
        <f>IF(OR(Form_Responses34[[#This Row],[Total_monthly_fuel_expense 
]]&gt;10040,Form_Responses34[[#This Row],[Total_monthly_fuel_expense 
]]&lt;-4760),"Outlier","Normal")</f>
        <v>Normal</v>
      </c>
    </row>
    <row r="122" spans="1:30" x14ac:dyDescent="0.2">
      <c r="A122" s="20">
        <v>25</v>
      </c>
      <c r="B122" s="15" t="s">
        <v>73</v>
      </c>
      <c r="C122" s="12" t="s">
        <v>1888</v>
      </c>
      <c r="D122" s="20">
        <v>5</v>
      </c>
      <c r="E122" s="21">
        <v>1</v>
      </c>
      <c r="F122" s="15" t="s">
        <v>46</v>
      </c>
      <c r="G122" s="15" t="s">
        <v>47</v>
      </c>
      <c r="K122" s="20">
        <v>10</v>
      </c>
      <c r="L122" s="20">
        <v>50</v>
      </c>
      <c r="M122" s="20">
        <v>30</v>
      </c>
      <c r="N122" s="20"/>
      <c r="O122" s="20"/>
      <c r="P122" s="20"/>
      <c r="Q122" s="20"/>
      <c r="R122" s="20"/>
      <c r="S122" s="20"/>
      <c r="T122" s="20"/>
      <c r="U122" s="20"/>
      <c r="V122" s="20"/>
      <c r="W122" s="20">
        <v>20000</v>
      </c>
      <c r="X122" s="15" t="s">
        <v>252</v>
      </c>
      <c r="Y122" s="20">
        <v>10</v>
      </c>
      <c r="Z122" s="15" t="s">
        <v>559</v>
      </c>
      <c r="AA122" s="15" t="s">
        <v>54</v>
      </c>
      <c r="AB122" s="15" t="s">
        <v>265</v>
      </c>
      <c r="AC122" s="20" t="s">
        <v>68</v>
      </c>
      <c r="AD122" s="9" t="str">
        <f>IF(OR(Form_Responses34[[#This Row],[Total_monthly_fuel_expense 
]]&gt;10040,Form_Responses34[[#This Row],[Total_monthly_fuel_expense 
]]&lt;-4760),"Outlier","Normal")</f>
        <v>Outlier</v>
      </c>
    </row>
    <row r="123" spans="1:30" x14ac:dyDescent="0.2">
      <c r="A123" s="20">
        <v>50</v>
      </c>
      <c r="B123" s="15" t="s">
        <v>73</v>
      </c>
      <c r="C123" s="12" t="s">
        <v>182</v>
      </c>
      <c r="D123" s="20">
        <v>4</v>
      </c>
      <c r="E123" s="20">
        <v>1</v>
      </c>
      <c r="F123" s="15" t="s">
        <v>46</v>
      </c>
      <c r="G123" s="15" t="s">
        <v>47</v>
      </c>
      <c r="K123" s="20">
        <v>5</v>
      </c>
      <c r="L123" s="20">
        <v>50</v>
      </c>
      <c r="M123" s="20">
        <v>10</v>
      </c>
      <c r="N123" s="21"/>
      <c r="O123" s="21"/>
      <c r="P123" s="21"/>
      <c r="Q123" s="21"/>
      <c r="R123" s="21"/>
      <c r="S123" s="21"/>
      <c r="T123" s="21"/>
      <c r="U123" s="21"/>
      <c r="V123" s="21"/>
      <c r="W123" s="20">
        <v>3000</v>
      </c>
      <c r="X123" s="15" t="s">
        <v>252</v>
      </c>
      <c r="Y123" s="20">
        <v>25</v>
      </c>
      <c r="Z123" s="15" t="s">
        <v>559</v>
      </c>
      <c r="AA123" s="15" t="s">
        <v>54</v>
      </c>
      <c r="AB123" s="15" t="s">
        <v>256</v>
      </c>
      <c r="AC123" s="20" t="s">
        <v>68</v>
      </c>
      <c r="AD123" s="9" t="str">
        <f>IF(OR(Form_Responses34[[#This Row],[Total_monthly_fuel_expense 
]]&gt;10040,Form_Responses34[[#This Row],[Total_monthly_fuel_expense 
]]&lt;-4760),"Outlier","Normal")</f>
        <v>Normal</v>
      </c>
    </row>
    <row r="124" spans="1:30" x14ac:dyDescent="0.2">
      <c r="A124" s="20">
        <v>34</v>
      </c>
      <c r="B124" s="15" t="s">
        <v>73</v>
      </c>
      <c r="C124" s="12" t="s">
        <v>1888</v>
      </c>
      <c r="D124" s="20">
        <v>4</v>
      </c>
      <c r="E124" s="20">
        <v>1</v>
      </c>
      <c r="F124" s="15" t="s">
        <v>46</v>
      </c>
      <c r="G124" s="15" t="s">
        <v>47</v>
      </c>
      <c r="K124" s="20">
        <v>12</v>
      </c>
      <c r="L124" s="20">
        <v>14</v>
      </c>
      <c r="M124" s="20">
        <v>30</v>
      </c>
      <c r="N124" s="21"/>
      <c r="O124" s="21"/>
      <c r="P124" s="21"/>
      <c r="Q124" s="21"/>
      <c r="R124" s="21"/>
      <c r="S124" s="21"/>
      <c r="T124" s="21"/>
      <c r="U124" s="21"/>
      <c r="V124" s="21"/>
      <c r="W124" s="21">
        <v>950</v>
      </c>
      <c r="X124" s="15" t="s">
        <v>159</v>
      </c>
      <c r="Y124" s="21">
        <v>6</v>
      </c>
      <c r="Z124" s="44" t="s">
        <v>51</v>
      </c>
      <c r="AA124" s="45" t="s">
        <v>362</v>
      </c>
      <c r="AB124" s="15" t="s">
        <v>307</v>
      </c>
      <c r="AC124" s="21" t="s">
        <v>152</v>
      </c>
      <c r="AD124" s="9" t="str">
        <f>IF(OR(Form_Responses34[[#This Row],[Total_monthly_fuel_expense 
]]&gt;10040,Form_Responses34[[#This Row],[Total_monthly_fuel_expense 
]]&lt;-4760),"Outlier","Normal")</f>
        <v>Normal</v>
      </c>
    </row>
    <row r="125" spans="1:30" x14ac:dyDescent="0.2">
      <c r="A125" s="20">
        <v>27</v>
      </c>
      <c r="B125" s="15" t="s">
        <v>73</v>
      </c>
      <c r="C125" s="12" t="s">
        <v>1889</v>
      </c>
      <c r="D125" s="20">
        <v>6</v>
      </c>
      <c r="E125" s="20">
        <v>2</v>
      </c>
      <c r="F125" s="15" t="s">
        <v>246</v>
      </c>
      <c r="G125" s="15" t="s">
        <v>47</v>
      </c>
      <c r="I125" s="15" t="s">
        <v>291</v>
      </c>
      <c r="K125" s="20">
        <v>5</v>
      </c>
      <c r="L125" s="20">
        <v>18</v>
      </c>
      <c r="M125" s="20">
        <v>10</v>
      </c>
      <c r="N125" s="21"/>
      <c r="O125" s="21"/>
      <c r="P125" s="21"/>
      <c r="Q125" s="20">
        <v>6</v>
      </c>
      <c r="R125" s="20">
        <v>30</v>
      </c>
      <c r="S125" s="20">
        <v>34</v>
      </c>
      <c r="T125" s="21"/>
      <c r="U125" s="21"/>
      <c r="V125" s="21"/>
      <c r="W125" s="20">
        <v>5600</v>
      </c>
      <c r="X125" s="15" t="s">
        <v>252</v>
      </c>
      <c r="Y125" s="20">
        <v>14</v>
      </c>
      <c r="Z125" s="15" t="s">
        <v>559</v>
      </c>
      <c r="AA125" s="15" t="s">
        <v>85</v>
      </c>
      <c r="AB125" s="15" t="s">
        <v>256</v>
      </c>
      <c r="AC125" s="20" t="s">
        <v>257</v>
      </c>
      <c r="AD125" s="9" t="str">
        <f>IF(OR(Form_Responses34[[#This Row],[Total_monthly_fuel_expense 
]]&gt;10040,Form_Responses34[[#This Row],[Total_monthly_fuel_expense 
]]&lt;-4760),"Outlier","Normal")</f>
        <v>Normal</v>
      </c>
    </row>
    <row r="126" spans="1:30" x14ac:dyDescent="0.2">
      <c r="A126" s="20">
        <v>23</v>
      </c>
      <c r="B126" s="15" t="s">
        <v>42</v>
      </c>
      <c r="C126" s="12" t="s">
        <v>182</v>
      </c>
      <c r="D126" s="20">
        <v>3</v>
      </c>
      <c r="E126" s="20">
        <v>1</v>
      </c>
      <c r="F126" s="15" t="s">
        <v>100</v>
      </c>
      <c r="H126" s="15" t="s">
        <v>47</v>
      </c>
      <c r="K126" s="21"/>
      <c r="L126" s="21"/>
      <c r="M126" s="21"/>
      <c r="N126" s="20">
        <v>1</v>
      </c>
      <c r="O126" s="20">
        <v>8</v>
      </c>
      <c r="P126" s="20">
        <v>5</v>
      </c>
      <c r="Q126" s="21"/>
      <c r="R126" s="21"/>
      <c r="S126" s="21"/>
      <c r="T126" s="21"/>
      <c r="U126" s="21"/>
      <c r="V126" s="21"/>
      <c r="W126" s="20">
        <v>580</v>
      </c>
      <c r="X126" s="15" t="s">
        <v>159</v>
      </c>
      <c r="Y126" s="20">
        <v>5</v>
      </c>
      <c r="Z126" s="15" t="s">
        <v>285</v>
      </c>
      <c r="AA126" s="15" t="s">
        <v>96</v>
      </c>
      <c r="AB126" s="15" t="s">
        <v>325</v>
      </c>
      <c r="AC126" s="20" t="s">
        <v>152</v>
      </c>
      <c r="AD126" s="9" t="str">
        <f>IF(OR(Form_Responses34[[#This Row],[Total_monthly_fuel_expense 
]]&gt;10040,Form_Responses34[[#This Row],[Total_monthly_fuel_expense 
]]&lt;-4760),"Outlier","Normal")</f>
        <v>Normal</v>
      </c>
    </row>
    <row r="127" spans="1:30" x14ac:dyDescent="0.2">
      <c r="A127" s="20">
        <v>31</v>
      </c>
      <c r="B127" s="15" t="s">
        <v>73</v>
      </c>
      <c r="C127" s="12" t="s">
        <v>1890</v>
      </c>
      <c r="D127" s="20">
        <v>4</v>
      </c>
      <c r="E127" s="20">
        <v>2</v>
      </c>
      <c r="F127" s="15" t="s">
        <v>246</v>
      </c>
      <c r="G127" s="15" t="s">
        <v>47</v>
      </c>
      <c r="I127" s="15" t="s">
        <v>47</v>
      </c>
      <c r="K127" s="20">
        <v>3</v>
      </c>
      <c r="L127" s="20">
        <v>22</v>
      </c>
      <c r="M127" s="20">
        <v>12</v>
      </c>
      <c r="N127" s="21"/>
      <c r="O127" s="21"/>
      <c r="P127" s="21"/>
      <c r="Q127" s="20">
        <v>2</v>
      </c>
      <c r="R127" s="20">
        <v>23</v>
      </c>
      <c r="S127" s="20">
        <v>38</v>
      </c>
      <c r="T127" s="21"/>
      <c r="U127" s="21"/>
      <c r="V127" s="21"/>
      <c r="W127" s="20">
        <v>7100</v>
      </c>
      <c r="X127" s="15" t="s">
        <v>323</v>
      </c>
      <c r="Y127" s="20">
        <v>16</v>
      </c>
      <c r="Z127" s="15" t="s">
        <v>255</v>
      </c>
      <c r="AA127" s="15" t="s">
        <v>85</v>
      </c>
      <c r="AB127" s="15" t="s">
        <v>256</v>
      </c>
      <c r="AC127" s="20" t="s">
        <v>68</v>
      </c>
      <c r="AD127" s="9" t="str">
        <f>IF(OR(Form_Responses34[[#This Row],[Total_monthly_fuel_expense 
]]&gt;10040,Form_Responses34[[#This Row],[Total_monthly_fuel_expense 
]]&lt;-4760),"Outlier","Normal")</f>
        <v>Normal</v>
      </c>
    </row>
    <row r="128" spans="1:30" x14ac:dyDescent="0.2">
      <c r="A128" s="20">
        <v>25</v>
      </c>
      <c r="B128" s="15" t="s">
        <v>42</v>
      </c>
      <c r="C128" s="12" t="s">
        <v>1888</v>
      </c>
      <c r="D128" s="20">
        <v>5</v>
      </c>
      <c r="E128" s="20">
        <v>1</v>
      </c>
      <c r="F128" s="15" t="s">
        <v>100</v>
      </c>
      <c r="H128" s="15" t="s">
        <v>47</v>
      </c>
      <c r="K128" s="21"/>
      <c r="L128" s="21"/>
      <c r="M128" s="21"/>
      <c r="N128" s="20">
        <v>4</v>
      </c>
      <c r="O128" s="20">
        <v>9</v>
      </c>
      <c r="P128" s="20">
        <v>6</v>
      </c>
      <c r="Q128" s="21"/>
      <c r="R128" s="21"/>
      <c r="S128" s="21"/>
      <c r="T128" s="21"/>
      <c r="U128" s="21"/>
      <c r="V128" s="21"/>
      <c r="W128" s="20">
        <v>650</v>
      </c>
      <c r="X128" s="15" t="s">
        <v>252</v>
      </c>
      <c r="Y128" s="20">
        <v>7</v>
      </c>
      <c r="Z128" s="15" t="s">
        <v>255</v>
      </c>
      <c r="AA128" s="15" t="s">
        <v>277</v>
      </c>
      <c r="AB128" s="15" t="s">
        <v>335</v>
      </c>
      <c r="AC128" s="20" t="s">
        <v>152</v>
      </c>
      <c r="AD128" s="9" t="str">
        <f>IF(OR(Form_Responses34[[#This Row],[Total_monthly_fuel_expense 
]]&gt;10040,Form_Responses34[[#This Row],[Total_monthly_fuel_expense 
]]&lt;-4760),"Outlier","Normal")</f>
        <v>Normal</v>
      </c>
    </row>
    <row r="129" spans="1:30" x14ac:dyDescent="0.2">
      <c r="A129" s="20">
        <v>48</v>
      </c>
      <c r="B129" s="15" t="s">
        <v>73</v>
      </c>
      <c r="C129" s="12" t="s">
        <v>1888</v>
      </c>
      <c r="D129" s="20">
        <v>7</v>
      </c>
      <c r="E129" s="20">
        <v>2</v>
      </c>
      <c r="F129" s="15" t="s">
        <v>290</v>
      </c>
      <c r="G129" s="15" t="s">
        <v>47</v>
      </c>
      <c r="J129" s="15" t="s">
        <v>291</v>
      </c>
      <c r="K129" s="20">
        <v>6</v>
      </c>
      <c r="L129" s="20">
        <v>8</v>
      </c>
      <c r="M129" s="20">
        <v>5</v>
      </c>
      <c r="N129" s="21"/>
      <c r="O129" s="21"/>
      <c r="P129" s="21"/>
      <c r="Q129" s="21"/>
      <c r="R129" s="21"/>
      <c r="S129" s="21"/>
      <c r="T129" s="20">
        <v>11</v>
      </c>
      <c r="U129" s="20">
        <v>45</v>
      </c>
      <c r="V129" s="20">
        <v>60</v>
      </c>
      <c r="W129" s="20">
        <v>5200</v>
      </c>
      <c r="X129" s="15" t="s">
        <v>252</v>
      </c>
      <c r="Y129" s="20">
        <v>10</v>
      </c>
      <c r="Z129" s="15" t="s">
        <v>296</v>
      </c>
      <c r="AA129" s="15" t="s">
        <v>85</v>
      </c>
      <c r="AB129" s="15" t="s">
        <v>256</v>
      </c>
      <c r="AC129" s="20" t="s">
        <v>68</v>
      </c>
      <c r="AD129" s="9" t="str">
        <f>IF(OR(Form_Responses34[[#This Row],[Total_monthly_fuel_expense 
]]&gt;10040,Form_Responses34[[#This Row],[Total_monthly_fuel_expense 
]]&lt;-4760),"Outlier","Normal")</f>
        <v>Normal</v>
      </c>
    </row>
    <row r="130" spans="1:30" x14ac:dyDescent="0.2">
      <c r="A130" s="20">
        <v>28</v>
      </c>
      <c r="B130" s="15" t="s">
        <v>42</v>
      </c>
      <c r="C130" s="12" t="s">
        <v>182</v>
      </c>
      <c r="D130" s="20">
        <v>4</v>
      </c>
      <c r="E130" s="20">
        <v>1</v>
      </c>
      <c r="F130" s="15" t="s">
        <v>100</v>
      </c>
      <c r="H130" s="15" t="s">
        <v>47</v>
      </c>
      <c r="K130" s="21"/>
      <c r="L130" s="21"/>
      <c r="M130" s="21"/>
      <c r="N130" s="20">
        <v>2</v>
      </c>
      <c r="O130" s="20">
        <v>7</v>
      </c>
      <c r="P130" s="20">
        <v>4</v>
      </c>
      <c r="Q130" s="21"/>
      <c r="R130" s="21"/>
      <c r="S130" s="21"/>
      <c r="T130" s="21"/>
      <c r="U130" s="21"/>
      <c r="V130" s="21"/>
      <c r="W130" s="20">
        <v>500</v>
      </c>
      <c r="X130" s="15" t="s">
        <v>159</v>
      </c>
      <c r="Y130" s="20">
        <v>4</v>
      </c>
      <c r="Z130" s="15" t="s">
        <v>344</v>
      </c>
      <c r="AA130" s="15" t="s">
        <v>277</v>
      </c>
      <c r="AB130" s="15" t="s">
        <v>335</v>
      </c>
      <c r="AC130" s="20" t="s">
        <v>152</v>
      </c>
      <c r="AD130" s="9" t="str">
        <f>IF(OR(Form_Responses34[[#This Row],[Total_monthly_fuel_expense 
]]&gt;10040,Form_Responses34[[#This Row],[Total_monthly_fuel_expense 
]]&lt;-4760),"Outlier","Normal")</f>
        <v>Normal</v>
      </c>
    </row>
    <row r="131" spans="1:30" x14ac:dyDescent="0.2">
      <c r="A131" s="20">
        <v>30</v>
      </c>
      <c r="B131" s="15" t="s">
        <v>73</v>
      </c>
      <c r="C131" s="12" t="s">
        <v>155</v>
      </c>
      <c r="D131" s="20">
        <v>3</v>
      </c>
      <c r="E131" s="20">
        <v>3</v>
      </c>
      <c r="F131" s="15" t="s">
        <v>435</v>
      </c>
      <c r="G131" s="15" t="s">
        <v>47</v>
      </c>
      <c r="I131" s="15" t="s">
        <v>47</v>
      </c>
      <c r="K131" s="20">
        <v>2</v>
      </c>
      <c r="L131" s="20">
        <v>20</v>
      </c>
      <c r="M131" s="20">
        <v>12</v>
      </c>
      <c r="N131" s="21"/>
      <c r="O131" s="21"/>
      <c r="P131" s="21"/>
      <c r="Q131" s="20">
        <v>3</v>
      </c>
      <c r="R131" s="20">
        <v>40</v>
      </c>
      <c r="S131" s="20">
        <v>42</v>
      </c>
      <c r="T131" s="21"/>
      <c r="U131" s="21"/>
      <c r="V131" s="21"/>
      <c r="W131" s="20">
        <v>10200</v>
      </c>
      <c r="X131" s="15" t="s">
        <v>276</v>
      </c>
      <c r="Y131" s="20">
        <v>15</v>
      </c>
      <c r="Z131" s="15" t="s">
        <v>559</v>
      </c>
      <c r="AA131" s="15" t="s">
        <v>362</v>
      </c>
      <c r="AB131" s="15" t="s">
        <v>307</v>
      </c>
      <c r="AC131" s="20" t="s">
        <v>152</v>
      </c>
      <c r="AD131" s="9" t="str">
        <f>IF(OR(Form_Responses34[[#This Row],[Total_monthly_fuel_expense 
]]&gt;10040,Form_Responses34[[#This Row],[Total_monthly_fuel_expense 
]]&lt;-4760),"Outlier","Normal")</f>
        <v>Outlier</v>
      </c>
    </row>
    <row r="132" spans="1:30" x14ac:dyDescent="0.2">
      <c r="A132" s="20">
        <v>19</v>
      </c>
      <c r="B132" s="15" t="s">
        <v>42</v>
      </c>
      <c r="C132" s="12" t="s">
        <v>182</v>
      </c>
      <c r="D132" s="20">
        <v>5</v>
      </c>
      <c r="E132" s="20">
        <v>1</v>
      </c>
      <c r="F132" s="15" t="s">
        <v>46</v>
      </c>
      <c r="G132" s="15" t="s">
        <v>47</v>
      </c>
      <c r="K132" s="20">
        <v>4</v>
      </c>
      <c r="L132" s="20">
        <v>10</v>
      </c>
      <c r="M132" s="20">
        <v>7</v>
      </c>
      <c r="N132" s="21"/>
      <c r="O132" s="21"/>
      <c r="P132" s="21"/>
      <c r="Q132" s="21"/>
      <c r="R132" s="21"/>
      <c r="S132" s="21"/>
      <c r="T132" s="21"/>
      <c r="U132" s="21"/>
      <c r="V132" s="21"/>
      <c r="W132" s="20">
        <v>720</v>
      </c>
      <c r="X132" s="15" t="s">
        <v>323</v>
      </c>
      <c r="Y132" s="20">
        <v>6</v>
      </c>
      <c r="Z132" s="15" t="s">
        <v>285</v>
      </c>
      <c r="AA132" s="15" t="s">
        <v>96</v>
      </c>
      <c r="AB132" s="15" t="s">
        <v>256</v>
      </c>
      <c r="AC132" s="20" t="s">
        <v>257</v>
      </c>
      <c r="AD132" s="9" t="str">
        <f>IF(OR(Form_Responses34[[#This Row],[Total_monthly_fuel_expense 
]]&gt;10040,Form_Responses34[[#This Row],[Total_monthly_fuel_expense 
]]&lt;-4760),"Outlier","Normal")</f>
        <v>Normal</v>
      </c>
    </row>
    <row r="133" spans="1:30" x14ac:dyDescent="0.2">
      <c r="A133" s="20">
        <v>34</v>
      </c>
      <c r="B133" s="15" t="s">
        <v>73</v>
      </c>
      <c r="C133" s="12" t="s">
        <v>1888</v>
      </c>
      <c r="D133" s="20">
        <v>6</v>
      </c>
      <c r="E133" s="20">
        <v>1</v>
      </c>
      <c r="F133" s="15" t="s">
        <v>46</v>
      </c>
      <c r="G133" s="15" t="s">
        <v>47</v>
      </c>
      <c r="K133" s="20">
        <v>8</v>
      </c>
      <c r="L133" s="20">
        <v>12</v>
      </c>
      <c r="M133" s="20">
        <v>8</v>
      </c>
      <c r="N133" s="21"/>
      <c r="O133" s="21"/>
      <c r="P133" s="21"/>
      <c r="Q133" s="21"/>
      <c r="R133" s="21"/>
      <c r="S133" s="21"/>
      <c r="T133" s="21"/>
      <c r="U133" s="21"/>
      <c r="V133" s="21"/>
      <c r="W133" s="20">
        <v>900</v>
      </c>
      <c r="X133" s="15" t="s">
        <v>857</v>
      </c>
      <c r="Y133" s="20">
        <v>11</v>
      </c>
      <c r="Z133" s="15" t="s">
        <v>724</v>
      </c>
      <c r="AA133" s="15" t="s">
        <v>277</v>
      </c>
      <c r="AB133" s="15" t="s">
        <v>256</v>
      </c>
      <c r="AC133" s="20" t="s">
        <v>68</v>
      </c>
      <c r="AD133" s="9" t="str">
        <f>IF(OR(Form_Responses34[[#This Row],[Total_monthly_fuel_expense 
]]&gt;10040,Form_Responses34[[#This Row],[Total_monthly_fuel_expense 
]]&lt;-4760),"Outlier","Normal")</f>
        <v>Normal</v>
      </c>
    </row>
    <row r="134" spans="1:30" x14ac:dyDescent="0.2">
      <c r="A134" s="20">
        <v>26</v>
      </c>
      <c r="B134" s="15" t="s">
        <v>42</v>
      </c>
      <c r="C134" s="12" t="s">
        <v>1889</v>
      </c>
      <c r="D134" s="20">
        <v>4</v>
      </c>
      <c r="E134" s="20">
        <v>1</v>
      </c>
      <c r="F134" s="15" t="s">
        <v>100</v>
      </c>
      <c r="H134" s="15" t="s">
        <v>47</v>
      </c>
      <c r="K134" s="21"/>
      <c r="L134" s="21"/>
      <c r="M134" s="21"/>
      <c r="N134" s="20">
        <v>3</v>
      </c>
      <c r="O134" s="20">
        <v>12</v>
      </c>
      <c r="P134" s="20">
        <v>7</v>
      </c>
      <c r="Q134" s="21"/>
      <c r="R134" s="21"/>
      <c r="S134" s="21"/>
      <c r="T134" s="21"/>
      <c r="U134" s="21"/>
      <c r="V134" s="21"/>
      <c r="W134" s="20">
        <v>780</v>
      </c>
      <c r="X134" s="15" t="s">
        <v>323</v>
      </c>
      <c r="Y134" s="20">
        <v>9</v>
      </c>
      <c r="Z134" s="15" t="s">
        <v>255</v>
      </c>
      <c r="AA134" s="15" t="s">
        <v>85</v>
      </c>
      <c r="AB134" s="15" t="s">
        <v>335</v>
      </c>
      <c r="AC134" s="20" t="s">
        <v>152</v>
      </c>
      <c r="AD134" s="9" t="str">
        <f>IF(OR(Form_Responses34[[#This Row],[Total_monthly_fuel_expense 
]]&gt;10040,Form_Responses34[[#This Row],[Total_monthly_fuel_expense 
]]&lt;-4760),"Outlier","Normal")</f>
        <v>Normal</v>
      </c>
    </row>
    <row r="135" spans="1:30" x14ac:dyDescent="0.2">
      <c r="A135" s="20">
        <v>29</v>
      </c>
      <c r="B135" s="15" t="s">
        <v>73</v>
      </c>
      <c r="C135" s="12" t="s">
        <v>1889</v>
      </c>
      <c r="D135" s="20">
        <v>5</v>
      </c>
      <c r="E135" s="20">
        <v>2</v>
      </c>
      <c r="F135" s="15" t="s">
        <v>246</v>
      </c>
      <c r="G135" s="15" t="s">
        <v>47</v>
      </c>
      <c r="I135" s="15" t="s">
        <v>47</v>
      </c>
      <c r="K135" s="20">
        <v>4</v>
      </c>
      <c r="L135" s="20">
        <v>16</v>
      </c>
      <c r="M135" s="20">
        <v>9</v>
      </c>
      <c r="N135" s="21"/>
      <c r="O135" s="21"/>
      <c r="P135" s="21"/>
      <c r="Q135" s="20">
        <v>3</v>
      </c>
      <c r="R135" s="20">
        <v>28</v>
      </c>
      <c r="S135" s="20">
        <v>32</v>
      </c>
      <c r="T135" s="21"/>
      <c r="U135" s="21"/>
      <c r="V135" s="21"/>
      <c r="W135" s="20">
        <v>4800</v>
      </c>
      <c r="X135" s="15" t="s">
        <v>323</v>
      </c>
      <c r="Y135" s="20">
        <v>13</v>
      </c>
      <c r="Z135" s="15" t="s">
        <v>255</v>
      </c>
      <c r="AA135" s="15" t="s">
        <v>85</v>
      </c>
      <c r="AB135" s="15" t="s">
        <v>256</v>
      </c>
      <c r="AC135" s="20" t="s">
        <v>257</v>
      </c>
      <c r="AD135" s="9" t="str">
        <f>IF(OR(Form_Responses34[[#This Row],[Total_monthly_fuel_expense 
]]&gt;10040,Form_Responses34[[#This Row],[Total_monthly_fuel_expense 
]]&lt;-4760),"Outlier","Normal")</f>
        <v>Normal</v>
      </c>
    </row>
    <row r="136" spans="1:30" x14ac:dyDescent="0.2">
      <c r="A136" s="20">
        <v>22</v>
      </c>
      <c r="B136" s="15" t="s">
        <v>42</v>
      </c>
      <c r="C136" s="12" t="s">
        <v>182</v>
      </c>
      <c r="D136" s="20">
        <v>4</v>
      </c>
      <c r="E136" s="20">
        <v>1</v>
      </c>
      <c r="F136" s="15" t="s">
        <v>100</v>
      </c>
      <c r="H136" s="15" t="s">
        <v>47</v>
      </c>
      <c r="K136" s="21"/>
      <c r="L136" s="21"/>
      <c r="M136" s="21"/>
      <c r="N136" s="20">
        <v>1</v>
      </c>
      <c r="O136" s="20">
        <v>10</v>
      </c>
      <c r="P136" s="20">
        <v>6</v>
      </c>
      <c r="Q136" s="21"/>
      <c r="R136" s="21"/>
      <c r="S136" s="21"/>
      <c r="T136" s="21"/>
      <c r="U136" s="21"/>
      <c r="V136" s="21"/>
      <c r="W136" s="20">
        <v>850</v>
      </c>
      <c r="X136" s="15" t="s">
        <v>159</v>
      </c>
      <c r="Y136" s="20">
        <v>6</v>
      </c>
      <c r="Z136" s="15" t="s">
        <v>285</v>
      </c>
      <c r="AA136" s="15" t="s">
        <v>96</v>
      </c>
      <c r="AB136" s="15" t="s">
        <v>325</v>
      </c>
      <c r="AC136" s="20" t="s">
        <v>152</v>
      </c>
      <c r="AD136" s="9" t="str">
        <f>IF(OR(Form_Responses34[[#This Row],[Total_monthly_fuel_expense 
]]&gt;10040,Form_Responses34[[#This Row],[Total_monthly_fuel_expense 
]]&lt;-4760),"Outlier","Normal")</f>
        <v>Normal</v>
      </c>
    </row>
    <row r="137" spans="1:30" x14ac:dyDescent="0.2">
      <c r="A137" s="20">
        <v>45</v>
      </c>
      <c r="B137" s="15" t="s">
        <v>73</v>
      </c>
      <c r="C137" s="12" t="s">
        <v>1889</v>
      </c>
      <c r="D137" s="20">
        <v>6</v>
      </c>
      <c r="E137" s="20">
        <v>2</v>
      </c>
      <c r="F137" s="15" t="s">
        <v>290</v>
      </c>
      <c r="G137" s="15" t="s">
        <v>47</v>
      </c>
      <c r="J137" s="15" t="s">
        <v>291</v>
      </c>
      <c r="K137" s="20">
        <v>7</v>
      </c>
      <c r="L137" s="20">
        <v>8</v>
      </c>
      <c r="M137" s="20">
        <v>5</v>
      </c>
      <c r="N137" s="21"/>
      <c r="O137" s="21"/>
      <c r="P137" s="21"/>
      <c r="Q137" s="21"/>
      <c r="R137" s="21"/>
      <c r="S137" s="21"/>
      <c r="T137" s="20">
        <v>10</v>
      </c>
      <c r="U137" s="20">
        <v>55</v>
      </c>
      <c r="V137" s="20">
        <v>70</v>
      </c>
      <c r="W137" s="20">
        <v>6400</v>
      </c>
      <c r="X137" s="15" t="s">
        <v>252</v>
      </c>
      <c r="Y137" s="20">
        <v>8</v>
      </c>
      <c r="Z137" s="15" t="s">
        <v>296</v>
      </c>
      <c r="AA137" s="15" t="s">
        <v>85</v>
      </c>
      <c r="AB137" s="15" t="s">
        <v>256</v>
      </c>
      <c r="AC137" s="20" t="s">
        <v>68</v>
      </c>
      <c r="AD137" s="9" t="str">
        <f>IF(OR(Form_Responses34[[#This Row],[Total_monthly_fuel_expense 
]]&gt;10040,Form_Responses34[[#This Row],[Total_monthly_fuel_expense 
]]&lt;-4760),"Outlier","Normal")</f>
        <v>Normal</v>
      </c>
    </row>
    <row r="138" spans="1:30" x14ac:dyDescent="0.2">
      <c r="A138" s="20">
        <v>24</v>
      </c>
      <c r="B138" s="15" t="s">
        <v>42</v>
      </c>
      <c r="C138" s="12" t="s">
        <v>1888</v>
      </c>
      <c r="D138" s="20">
        <v>3</v>
      </c>
      <c r="E138" s="20">
        <v>1</v>
      </c>
      <c r="F138" s="15" t="s">
        <v>100</v>
      </c>
      <c r="H138" s="15" t="s">
        <v>47</v>
      </c>
      <c r="K138" s="21"/>
      <c r="L138" s="21"/>
      <c r="M138" s="21"/>
      <c r="N138" s="20">
        <v>3</v>
      </c>
      <c r="O138" s="20">
        <v>12</v>
      </c>
      <c r="P138" s="20">
        <v>7</v>
      </c>
      <c r="Q138" s="21"/>
      <c r="R138" s="21"/>
      <c r="S138" s="21"/>
      <c r="T138" s="21"/>
      <c r="U138" s="21"/>
      <c r="V138" s="21"/>
      <c r="W138" s="20">
        <v>800</v>
      </c>
      <c r="X138" s="15" t="s">
        <v>276</v>
      </c>
      <c r="Y138" s="20">
        <v>10</v>
      </c>
      <c r="Z138" s="15" t="s">
        <v>255</v>
      </c>
      <c r="AA138" s="15" t="s">
        <v>277</v>
      </c>
      <c r="AB138" s="15" t="s">
        <v>335</v>
      </c>
      <c r="AC138" s="20" t="s">
        <v>152</v>
      </c>
      <c r="AD138" s="9" t="str">
        <f>IF(OR(Form_Responses34[[#This Row],[Total_monthly_fuel_expense 
]]&gt;10040,Form_Responses34[[#This Row],[Total_monthly_fuel_expense 
]]&lt;-4760),"Outlier","Normal")</f>
        <v>Normal</v>
      </c>
    </row>
    <row r="139" spans="1:30" x14ac:dyDescent="0.2">
      <c r="A139" s="20">
        <v>32</v>
      </c>
      <c r="B139" s="15" t="s">
        <v>73</v>
      </c>
      <c r="C139" s="12" t="s">
        <v>1890</v>
      </c>
      <c r="D139" s="20">
        <v>5</v>
      </c>
      <c r="E139" s="20">
        <v>2</v>
      </c>
      <c r="F139" s="15" t="s">
        <v>246</v>
      </c>
      <c r="G139" s="15" t="s">
        <v>47</v>
      </c>
      <c r="I139" s="15" t="s">
        <v>291</v>
      </c>
      <c r="K139" s="20">
        <v>5</v>
      </c>
      <c r="L139" s="20">
        <v>15</v>
      </c>
      <c r="M139" s="20">
        <v>8</v>
      </c>
      <c r="N139" s="21"/>
      <c r="O139" s="21"/>
      <c r="P139" s="21"/>
      <c r="Q139" s="20">
        <v>4</v>
      </c>
      <c r="R139" s="20">
        <v>25</v>
      </c>
      <c r="S139" s="20">
        <v>30</v>
      </c>
      <c r="T139" s="21"/>
      <c r="U139" s="21"/>
      <c r="V139" s="21"/>
      <c r="W139" s="20">
        <v>4900</v>
      </c>
      <c r="X139" s="15" t="s">
        <v>323</v>
      </c>
      <c r="Y139" s="20">
        <v>17</v>
      </c>
      <c r="Z139" s="15" t="s">
        <v>255</v>
      </c>
      <c r="AA139" s="15" t="s">
        <v>362</v>
      </c>
      <c r="AB139" s="15" t="s">
        <v>307</v>
      </c>
      <c r="AC139" s="20" t="s">
        <v>257</v>
      </c>
      <c r="AD139" s="9" t="str">
        <f>IF(OR(Form_Responses34[[#This Row],[Total_monthly_fuel_expense 
]]&gt;10040,Form_Responses34[[#This Row],[Total_monthly_fuel_expense 
]]&lt;-4760),"Outlier","Normal")</f>
        <v>Normal</v>
      </c>
    </row>
    <row r="140" spans="1:30" x14ac:dyDescent="0.2">
      <c r="A140" s="20">
        <v>20</v>
      </c>
      <c r="B140" s="15" t="s">
        <v>42</v>
      </c>
      <c r="C140" s="12" t="s">
        <v>182</v>
      </c>
      <c r="D140" s="20">
        <v>6</v>
      </c>
      <c r="E140" s="20">
        <v>1</v>
      </c>
      <c r="F140" s="15" t="s">
        <v>46</v>
      </c>
      <c r="G140" s="15" t="s">
        <v>47</v>
      </c>
      <c r="K140" s="20">
        <v>3</v>
      </c>
      <c r="L140" s="20">
        <v>11</v>
      </c>
      <c r="M140" s="20">
        <v>7</v>
      </c>
      <c r="N140" s="21"/>
      <c r="O140" s="21"/>
      <c r="P140" s="21"/>
      <c r="Q140" s="21"/>
      <c r="R140" s="21"/>
      <c r="S140" s="21"/>
      <c r="T140" s="21"/>
      <c r="U140" s="21"/>
      <c r="V140" s="21"/>
      <c r="W140" s="20">
        <v>720</v>
      </c>
      <c r="X140" s="15" t="s">
        <v>857</v>
      </c>
      <c r="Y140" s="20">
        <v>9</v>
      </c>
      <c r="Z140" s="15" t="s">
        <v>285</v>
      </c>
      <c r="AA140" s="15" t="s">
        <v>96</v>
      </c>
      <c r="AB140" s="15" t="s">
        <v>256</v>
      </c>
      <c r="AC140" s="20" t="s">
        <v>152</v>
      </c>
      <c r="AD140" s="9" t="str">
        <f>IF(OR(Form_Responses34[[#This Row],[Total_monthly_fuel_expense 
]]&gt;10040,Form_Responses34[[#This Row],[Total_monthly_fuel_expense 
]]&lt;-4760),"Outlier","Normal")</f>
        <v>Normal</v>
      </c>
    </row>
    <row r="141" spans="1:30" x14ac:dyDescent="0.2">
      <c r="A141" s="20">
        <v>27</v>
      </c>
      <c r="B141" s="15" t="s">
        <v>73</v>
      </c>
      <c r="C141" s="12" t="s">
        <v>155</v>
      </c>
      <c r="D141" s="20">
        <v>4</v>
      </c>
      <c r="E141" s="20">
        <v>3</v>
      </c>
      <c r="F141" s="15" t="s">
        <v>435</v>
      </c>
      <c r="G141" s="15" t="s">
        <v>47</v>
      </c>
      <c r="I141" s="15" t="s">
        <v>47</v>
      </c>
      <c r="K141" s="20">
        <v>2</v>
      </c>
      <c r="L141" s="20">
        <v>20</v>
      </c>
      <c r="M141" s="20">
        <v>11</v>
      </c>
      <c r="N141" s="21"/>
      <c r="O141" s="21"/>
      <c r="P141" s="21"/>
      <c r="Q141" s="20">
        <v>2</v>
      </c>
      <c r="R141" s="20">
        <v>35</v>
      </c>
      <c r="S141" s="20">
        <v>38</v>
      </c>
      <c r="T141" s="21"/>
      <c r="U141" s="21"/>
      <c r="V141" s="21"/>
      <c r="W141" s="20">
        <v>9900</v>
      </c>
      <c r="X141" s="15" t="s">
        <v>276</v>
      </c>
      <c r="Y141" s="20">
        <v>12</v>
      </c>
      <c r="Z141" s="15" t="s">
        <v>559</v>
      </c>
      <c r="AA141" s="15" t="s">
        <v>362</v>
      </c>
      <c r="AB141" s="15" t="s">
        <v>307</v>
      </c>
      <c r="AC141" s="20" t="s">
        <v>152</v>
      </c>
      <c r="AD141" s="9" t="str">
        <f>IF(OR(Form_Responses34[[#This Row],[Total_monthly_fuel_expense 
]]&gt;10040,Form_Responses34[[#This Row],[Total_monthly_fuel_expense 
]]&lt;-4760),"Outlier","Normal")</f>
        <v>Normal</v>
      </c>
    </row>
    <row r="142" spans="1:30" x14ac:dyDescent="0.2">
      <c r="A142" s="20">
        <v>21</v>
      </c>
      <c r="B142" s="15" t="s">
        <v>42</v>
      </c>
      <c r="C142" s="12" t="s">
        <v>182</v>
      </c>
      <c r="D142" s="20">
        <v>3</v>
      </c>
      <c r="E142" s="20">
        <v>1</v>
      </c>
      <c r="F142" s="15" t="s">
        <v>100</v>
      </c>
      <c r="H142" s="15" t="s">
        <v>47</v>
      </c>
      <c r="K142" s="21"/>
      <c r="L142" s="21"/>
      <c r="M142" s="21"/>
      <c r="N142" s="20">
        <v>1</v>
      </c>
      <c r="O142" s="20">
        <v>9</v>
      </c>
      <c r="P142" s="20">
        <v>6</v>
      </c>
      <c r="Q142" s="21"/>
      <c r="R142" s="21"/>
      <c r="S142" s="21"/>
      <c r="T142" s="21"/>
      <c r="U142" s="21"/>
      <c r="V142" s="21"/>
      <c r="W142" s="20">
        <v>650</v>
      </c>
      <c r="X142" s="15" t="s">
        <v>159</v>
      </c>
      <c r="Y142" s="20">
        <v>7</v>
      </c>
      <c r="Z142" s="15" t="s">
        <v>285</v>
      </c>
      <c r="AA142" s="15" t="s">
        <v>96</v>
      </c>
      <c r="AB142" s="15" t="s">
        <v>325</v>
      </c>
      <c r="AC142" s="20" t="s">
        <v>152</v>
      </c>
      <c r="AD142" s="9" t="str">
        <f>IF(OR(Form_Responses34[[#This Row],[Total_monthly_fuel_expense 
]]&gt;10040,Form_Responses34[[#This Row],[Total_monthly_fuel_expense 
]]&lt;-4760),"Outlier","Normal")</f>
        <v>Normal</v>
      </c>
    </row>
    <row r="143" spans="1:30" x14ac:dyDescent="0.2">
      <c r="A143" s="20">
        <v>34</v>
      </c>
      <c r="B143" s="15" t="s">
        <v>73</v>
      </c>
      <c r="C143" s="12" t="s">
        <v>1889</v>
      </c>
      <c r="D143" s="20">
        <v>5</v>
      </c>
      <c r="E143" s="20">
        <v>1</v>
      </c>
      <c r="F143" s="15" t="s">
        <v>46</v>
      </c>
      <c r="G143" s="15" t="s">
        <v>47</v>
      </c>
      <c r="K143" s="20">
        <v>6</v>
      </c>
      <c r="L143" s="20">
        <v>12</v>
      </c>
      <c r="M143" s="20">
        <v>8</v>
      </c>
      <c r="N143" s="21"/>
      <c r="O143" s="21"/>
      <c r="P143" s="21"/>
      <c r="Q143" s="21"/>
      <c r="R143" s="21"/>
      <c r="S143" s="21"/>
      <c r="T143" s="21"/>
      <c r="U143" s="21"/>
      <c r="V143" s="21"/>
      <c r="W143" s="20">
        <v>990</v>
      </c>
      <c r="X143" s="15" t="s">
        <v>252</v>
      </c>
      <c r="Y143" s="20">
        <v>10</v>
      </c>
      <c r="Z143" s="15" t="s">
        <v>724</v>
      </c>
      <c r="AA143" s="15" t="s">
        <v>277</v>
      </c>
      <c r="AB143" s="15" t="s">
        <v>256</v>
      </c>
      <c r="AC143" s="20" t="s">
        <v>68</v>
      </c>
      <c r="AD143" s="9" t="str">
        <f>IF(OR(Form_Responses34[[#This Row],[Total_monthly_fuel_expense 
]]&gt;10040,Form_Responses34[[#This Row],[Total_monthly_fuel_expense 
]]&lt;-4760),"Outlier","Normal")</f>
        <v>Normal</v>
      </c>
    </row>
    <row r="144" spans="1:30" x14ac:dyDescent="0.2">
      <c r="A144" s="20">
        <v>38</v>
      </c>
      <c r="B144" s="15" t="s">
        <v>42</v>
      </c>
      <c r="C144" s="12" t="s">
        <v>1888</v>
      </c>
      <c r="D144" s="20">
        <v>4</v>
      </c>
      <c r="E144" s="20">
        <v>1</v>
      </c>
      <c r="F144" s="15" t="s">
        <v>100</v>
      </c>
      <c r="H144" s="15" t="s">
        <v>47</v>
      </c>
      <c r="K144" s="21"/>
      <c r="L144" s="21"/>
      <c r="M144" s="21"/>
      <c r="N144" s="20">
        <v>4</v>
      </c>
      <c r="O144" s="20">
        <v>8</v>
      </c>
      <c r="P144" s="20">
        <v>5</v>
      </c>
      <c r="Q144" s="21"/>
      <c r="R144" s="21"/>
      <c r="S144" s="21"/>
      <c r="T144" s="21"/>
      <c r="U144" s="21"/>
      <c r="V144" s="21"/>
      <c r="W144" s="20">
        <v>600</v>
      </c>
      <c r="X144" s="15" t="s">
        <v>323</v>
      </c>
      <c r="Y144" s="20">
        <v>5</v>
      </c>
      <c r="Z144" s="15" t="s">
        <v>344</v>
      </c>
      <c r="AA144" s="15" t="s">
        <v>277</v>
      </c>
      <c r="AB144" s="15" t="s">
        <v>335</v>
      </c>
      <c r="AC144" s="20" t="s">
        <v>152</v>
      </c>
      <c r="AD144" s="9" t="str">
        <f>IF(OR(Form_Responses34[[#This Row],[Total_monthly_fuel_expense 
]]&gt;10040,Form_Responses34[[#This Row],[Total_monthly_fuel_expense 
]]&lt;-4760),"Outlier","Normal")</f>
        <v>Normal</v>
      </c>
    </row>
    <row r="145" spans="1:30" x14ac:dyDescent="0.2">
      <c r="A145" s="20">
        <v>25</v>
      </c>
      <c r="B145" s="15" t="s">
        <v>42</v>
      </c>
      <c r="C145" s="12" t="s">
        <v>1889</v>
      </c>
      <c r="D145" s="20">
        <v>4</v>
      </c>
      <c r="E145" s="20">
        <v>3</v>
      </c>
      <c r="F145" s="15" t="s">
        <v>390</v>
      </c>
      <c r="G145" s="15" t="s">
        <v>47</v>
      </c>
      <c r="H145" s="15" t="s">
        <v>47</v>
      </c>
      <c r="I145" s="15" t="s">
        <v>157</v>
      </c>
      <c r="K145" s="20">
        <v>15</v>
      </c>
      <c r="L145" s="20">
        <v>5</v>
      </c>
      <c r="M145" s="20">
        <v>5</v>
      </c>
      <c r="N145" s="20">
        <v>7</v>
      </c>
      <c r="O145" s="20">
        <v>10</v>
      </c>
      <c r="P145" s="20">
        <v>10</v>
      </c>
      <c r="Q145" s="20">
        <v>5</v>
      </c>
      <c r="R145" s="20">
        <v>50</v>
      </c>
      <c r="S145" s="20">
        <v>24</v>
      </c>
      <c r="T145" s="21"/>
      <c r="U145" s="21"/>
      <c r="V145" s="21"/>
      <c r="W145" s="20">
        <v>5000</v>
      </c>
      <c r="X145" s="15" t="s">
        <v>252</v>
      </c>
      <c r="Y145" s="20">
        <v>10</v>
      </c>
      <c r="Z145" s="15" t="s">
        <v>285</v>
      </c>
      <c r="AA145" s="15" t="s">
        <v>85</v>
      </c>
      <c r="AB145" s="15" t="s">
        <v>256</v>
      </c>
      <c r="AC145" s="20" t="s">
        <v>257</v>
      </c>
      <c r="AD145" s="9" t="str">
        <f>IF(OR(Form_Responses34[[#This Row],[Total_monthly_fuel_expense 
]]&gt;10040,Form_Responses34[[#This Row],[Total_monthly_fuel_expense 
]]&lt;-4760),"Outlier","Normal")</f>
        <v>Normal</v>
      </c>
    </row>
    <row r="146" spans="1:30" x14ac:dyDescent="0.2">
      <c r="A146" s="20">
        <v>37</v>
      </c>
      <c r="B146" s="15" t="s">
        <v>42</v>
      </c>
      <c r="C146" s="12" t="s">
        <v>1888</v>
      </c>
      <c r="D146" s="20">
        <v>4</v>
      </c>
      <c r="E146" s="20">
        <v>2</v>
      </c>
      <c r="F146" s="15" t="s">
        <v>61</v>
      </c>
      <c r="G146" s="15" t="s">
        <v>47</v>
      </c>
      <c r="H146" s="15" t="s">
        <v>47</v>
      </c>
      <c r="K146" s="20">
        <v>15</v>
      </c>
      <c r="L146" s="20">
        <v>2</v>
      </c>
      <c r="M146" s="20">
        <v>5</v>
      </c>
      <c r="N146" s="20">
        <v>10</v>
      </c>
      <c r="O146" s="20">
        <v>2</v>
      </c>
      <c r="P146" s="20">
        <v>5</v>
      </c>
      <c r="Q146" s="21"/>
      <c r="R146" s="21"/>
      <c r="S146" s="21"/>
      <c r="T146" s="21"/>
      <c r="U146" s="21"/>
      <c r="V146" s="21"/>
      <c r="W146" s="20">
        <v>1000</v>
      </c>
      <c r="X146" s="15" t="s">
        <v>159</v>
      </c>
      <c r="Y146" s="20">
        <v>1</v>
      </c>
      <c r="Z146" s="15" t="s">
        <v>724</v>
      </c>
      <c r="AA146" s="15" t="s">
        <v>362</v>
      </c>
      <c r="AB146" s="15" t="s">
        <v>307</v>
      </c>
      <c r="AC146" s="20" t="s">
        <v>68</v>
      </c>
      <c r="AD146" s="9" t="str">
        <f>IF(OR(Form_Responses34[[#This Row],[Total_monthly_fuel_expense 
]]&gt;10040,Form_Responses34[[#This Row],[Total_monthly_fuel_expense 
]]&lt;-4760),"Outlier","Normal")</f>
        <v>Normal</v>
      </c>
    </row>
    <row r="147" spans="1:30" x14ac:dyDescent="0.2">
      <c r="A147" s="20">
        <v>20</v>
      </c>
      <c r="B147" s="15" t="s">
        <v>42</v>
      </c>
      <c r="C147" s="12" t="s">
        <v>1888</v>
      </c>
      <c r="D147" s="20">
        <v>6</v>
      </c>
      <c r="E147" s="20">
        <v>2</v>
      </c>
      <c r="F147" s="15" t="s">
        <v>61</v>
      </c>
      <c r="G147" s="15" t="s">
        <v>47</v>
      </c>
      <c r="H147" s="45" t="s">
        <v>47</v>
      </c>
      <c r="K147" s="20">
        <v>15</v>
      </c>
      <c r="L147" s="20">
        <v>30</v>
      </c>
      <c r="M147" s="20">
        <v>2</v>
      </c>
      <c r="N147" s="21">
        <v>3</v>
      </c>
      <c r="O147" s="21">
        <v>8</v>
      </c>
      <c r="P147" s="21">
        <v>6</v>
      </c>
      <c r="Q147" s="21"/>
      <c r="R147" s="21"/>
      <c r="S147" s="21"/>
      <c r="T147" s="21"/>
      <c r="U147" s="21"/>
      <c r="V147" s="21"/>
      <c r="W147" s="20">
        <v>1000</v>
      </c>
      <c r="X147" s="15" t="s">
        <v>252</v>
      </c>
      <c r="Y147" s="20">
        <v>20</v>
      </c>
      <c r="Z147" s="15" t="s">
        <v>724</v>
      </c>
      <c r="AA147" s="15" t="s">
        <v>54</v>
      </c>
      <c r="AB147" s="15" t="s">
        <v>256</v>
      </c>
      <c r="AC147" s="20" t="s">
        <v>152</v>
      </c>
      <c r="AD147" s="9" t="str">
        <f>IF(OR(Form_Responses34[[#This Row],[Total_monthly_fuel_expense 
]]&gt;10040,Form_Responses34[[#This Row],[Total_monthly_fuel_expense 
]]&lt;-4760),"Outlier","Normal")</f>
        <v>Normal</v>
      </c>
    </row>
    <row r="148" spans="1:30" x14ac:dyDescent="0.2">
      <c r="A148" s="20">
        <v>25</v>
      </c>
      <c r="B148" s="15" t="s">
        <v>42</v>
      </c>
      <c r="C148" s="12" t="s">
        <v>1888</v>
      </c>
      <c r="D148" s="20">
        <v>4</v>
      </c>
      <c r="E148" s="20">
        <v>4</v>
      </c>
      <c r="F148" s="15" t="s">
        <v>390</v>
      </c>
      <c r="G148" s="15" t="s">
        <v>47</v>
      </c>
      <c r="H148" s="15" t="s">
        <v>47</v>
      </c>
      <c r="I148" s="15" t="s">
        <v>47</v>
      </c>
      <c r="K148" s="20">
        <v>10</v>
      </c>
      <c r="L148" s="20">
        <v>5</v>
      </c>
      <c r="M148" s="20">
        <v>46</v>
      </c>
      <c r="N148" s="20">
        <v>7</v>
      </c>
      <c r="O148" s="20">
        <v>46</v>
      </c>
      <c r="P148" s="20">
        <v>46</v>
      </c>
      <c r="Q148" s="20">
        <v>5</v>
      </c>
      <c r="R148" s="20">
        <v>100</v>
      </c>
      <c r="S148" s="20">
        <v>46</v>
      </c>
      <c r="T148" s="21"/>
      <c r="U148" s="21"/>
      <c r="V148" s="21"/>
      <c r="W148" s="20">
        <v>15000</v>
      </c>
      <c r="X148" s="15" t="s">
        <v>252</v>
      </c>
      <c r="Y148" s="20">
        <v>30</v>
      </c>
      <c r="Z148" s="15" t="s">
        <v>255</v>
      </c>
      <c r="AA148" s="15" t="s">
        <v>85</v>
      </c>
      <c r="AB148" s="15" t="s">
        <v>953</v>
      </c>
      <c r="AC148" s="20" t="s">
        <v>152</v>
      </c>
      <c r="AD148" s="9" t="str">
        <f>IF(OR(Form_Responses34[[#This Row],[Total_monthly_fuel_expense 
]]&gt;10040,Form_Responses34[[#This Row],[Total_monthly_fuel_expense 
]]&lt;-4760),"Outlier","Normal")</f>
        <v>Outlier</v>
      </c>
    </row>
    <row r="149" spans="1:30" x14ac:dyDescent="0.2">
      <c r="A149" s="20">
        <v>23</v>
      </c>
      <c r="B149" s="15" t="s">
        <v>73</v>
      </c>
      <c r="C149" s="12" t="s">
        <v>1888</v>
      </c>
      <c r="D149" s="20">
        <v>4</v>
      </c>
      <c r="E149" s="20">
        <v>2</v>
      </c>
      <c r="F149" s="15" t="s">
        <v>246</v>
      </c>
      <c r="G149" s="15" t="s">
        <v>47</v>
      </c>
      <c r="I149" s="15" t="s">
        <v>47</v>
      </c>
      <c r="K149" s="20">
        <v>4</v>
      </c>
      <c r="L149" s="20">
        <v>22</v>
      </c>
      <c r="M149" s="20">
        <v>14</v>
      </c>
      <c r="N149" s="21"/>
      <c r="O149" s="21"/>
      <c r="P149" s="21"/>
      <c r="Q149" s="20">
        <v>6</v>
      </c>
      <c r="R149" s="20">
        <v>18</v>
      </c>
      <c r="S149" s="20">
        <v>22</v>
      </c>
      <c r="T149" s="21"/>
      <c r="U149" s="21"/>
      <c r="V149" s="21"/>
      <c r="W149" s="20">
        <v>4200</v>
      </c>
      <c r="X149" s="15" t="s">
        <v>159</v>
      </c>
      <c r="Y149" s="20">
        <v>11</v>
      </c>
      <c r="Z149" s="15" t="s">
        <v>255</v>
      </c>
      <c r="AA149" s="15" t="s">
        <v>85</v>
      </c>
      <c r="AB149" s="15" t="s">
        <v>256</v>
      </c>
      <c r="AC149" s="20" t="s">
        <v>257</v>
      </c>
      <c r="AD149" s="9" t="str">
        <f>IF(OR(Form_Responses34[[#This Row],[Total_monthly_fuel_expense 
]]&gt;10040,Form_Responses34[[#This Row],[Total_monthly_fuel_expense 
]]&lt;-4760),"Outlier","Normal")</f>
        <v>Normal</v>
      </c>
    </row>
    <row r="150" spans="1:30" x14ac:dyDescent="0.2">
      <c r="A150" s="20">
        <v>20</v>
      </c>
      <c r="B150" s="15" t="s">
        <v>42</v>
      </c>
      <c r="C150" s="12" t="s">
        <v>182</v>
      </c>
      <c r="D150" s="20">
        <v>3</v>
      </c>
      <c r="E150" s="20">
        <v>1</v>
      </c>
      <c r="F150" s="15" t="s">
        <v>100</v>
      </c>
      <c r="H150" s="15" t="s">
        <v>47</v>
      </c>
      <c r="K150" s="21"/>
      <c r="L150" s="21"/>
      <c r="M150" s="21"/>
      <c r="N150" s="20">
        <v>2</v>
      </c>
      <c r="O150" s="20">
        <v>10</v>
      </c>
      <c r="P150" s="20">
        <v>7</v>
      </c>
      <c r="Q150" s="21"/>
      <c r="R150" s="21"/>
      <c r="S150" s="21"/>
      <c r="T150" s="21"/>
      <c r="U150" s="21"/>
      <c r="V150" s="21"/>
      <c r="W150" s="20">
        <v>700</v>
      </c>
      <c r="X150" s="15" t="s">
        <v>252</v>
      </c>
      <c r="Y150" s="20">
        <v>6</v>
      </c>
      <c r="Z150" s="15" t="s">
        <v>285</v>
      </c>
      <c r="AA150" s="15" t="s">
        <v>54</v>
      </c>
      <c r="AB150" s="15" t="s">
        <v>335</v>
      </c>
      <c r="AC150" s="20" t="s">
        <v>152</v>
      </c>
      <c r="AD150" s="9" t="str">
        <f>IF(OR(Form_Responses34[[#This Row],[Total_monthly_fuel_expense 
]]&gt;10040,Form_Responses34[[#This Row],[Total_monthly_fuel_expense 
]]&lt;-4760),"Outlier","Normal")</f>
        <v>Normal</v>
      </c>
    </row>
    <row r="151" spans="1:30" x14ac:dyDescent="0.2">
      <c r="A151" s="20">
        <v>32</v>
      </c>
      <c r="B151" s="15" t="s">
        <v>73</v>
      </c>
      <c r="C151" s="12" t="s">
        <v>1889</v>
      </c>
      <c r="D151" s="20">
        <v>5</v>
      </c>
      <c r="E151" s="20">
        <v>2</v>
      </c>
      <c r="F151" s="15" t="s">
        <v>290</v>
      </c>
      <c r="G151" s="15" t="s">
        <v>47</v>
      </c>
      <c r="J151" s="15" t="s">
        <v>291</v>
      </c>
      <c r="K151" s="20">
        <v>8</v>
      </c>
      <c r="L151" s="20">
        <v>12</v>
      </c>
      <c r="M151" s="20">
        <v>8</v>
      </c>
      <c r="N151" s="21"/>
      <c r="O151" s="21"/>
      <c r="P151" s="21"/>
      <c r="Q151" s="21"/>
      <c r="R151" s="21"/>
      <c r="S151" s="21"/>
      <c r="T151" s="20">
        <v>10</v>
      </c>
      <c r="U151" s="20">
        <v>40</v>
      </c>
      <c r="V151" s="20">
        <v>65</v>
      </c>
      <c r="W151" s="20">
        <v>4200</v>
      </c>
      <c r="X151" s="15" t="s">
        <v>323</v>
      </c>
      <c r="Y151" s="20">
        <v>8</v>
      </c>
      <c r="Z151" s="15" t="s">
        <v>296</v>
      </c>
      <c r="AA151" s="15" t="s">
        <v>362</v>
      </c>
      <c r="AB151" s="15" t="s">
        <v>307</v>
      </c>
      <c r="AC151" s="20" t="s">
        <v>68</v>
      </c>
      <c r="AD151" s="9" t="str">
        <f>IF(OR(Form_Responses34[[#This Row],[Total_monthly_fuel_expense 
]]&gt;10040,Form_Responses34[[#This Row],[Total_monthly_fuel_expense 
]]&lt;-4760),"Outlier","Normal")</f>
        <v>Normal</v>
      </c>
    </row>
    <row r="152" spans="1:30" x14ac:dyDescent="0.2">
      <c r="A152" s="20">
        <v>27</v>
      </c>
      <c r="B152" s="15" t="s">
        <v>73</v>
      </c>
      <c r="C152" s="12" t="s">
        <v>1890</v>
      </c>
      <c r="D152" s="20">
        <v>4</v>
      </c>
      <c r="E152" s="20">
        <v>2</v>
      </c>
      <c r="F152" s="15" t="s">
        <v>246</v>
      </c>
      <c r="G152" s="15" t="s">
        <v>47</v>
      </c>
      <c r="I152" s="15" t="s">
        <v>47</v>
      </c>
      <c r="K152" s="20">
        <v>3</v>
      </c>
      <c r="L152" s="20">
        <v>15</v>
      </c>
      <c r="M152" s="20">
        <v>10</v>
      </c>
      <c r="N152" s="21"/>
      <c r="O152" s="21"/>
      <c r="P152" s="21"/>
      <c r="Q152" s="20">
        <v>2</v>
      </c>
      <c r="R152" s="20">
        <v>25</v>
      </c>
      <c r="S152" s="20">
        <v>30</v>
      </c>
      <c r="T152" s="21"/>
      <c r="U152" s="21"/>
      <c r="V152" s="21"/>
      <c r="W152" s="20">
        <v>5200</v>
      </c>
      <c r="X152" s="15" t="s">
        <v>252</v>
      </c>
      <c r="Y152" s="20">
        <v>9</v>
      </c>
      <c r="Z152" s="15" t="s">
        <v>559</v>
      </c>
      <c r="AA152" s="15" t="s">
        <v>85</v>
      </c>
      <c r="AB152" s="15" t="s">
        <v>335</v>
      </c>
      <c r="AC152" s="20" t="s">
        <v>257</v>
      </c>
      <c r="AD152" s="9" t="str">
        <f>IF(OR(Form_Responses34[[#This Row],[Total_monthly_fuel_expense 
]]&gt;10040,Form_Responses34[[#This Row],[Total_monthly_fuel_expense 
]]&lt;-4760),"Outlier","Normal")</f>
        <v>Normal</v>
      </c>
    </row>
    <row r="153" spans="1:30" x14ac:dyDescent="0.2">
      <c r="A153" s="20">
        <v>24</v>
      </c>
      <c r="B153" s="15" t="s">
        <v>42</v>
      </c>
      <c r="C153" s="12" t="s">
        <v>182</v>
      </c>
      <c r="D153" s="20">
        <v>5</v>
      </c>
      <c r="E153" s="20">
        <v>1</v>
      </c>
      <c r="F153" s="15" t="s">
        <v>46</v>
      </c>
      <c r="G153" s="15" t="s">
        <v>47</v>
      </c>
      <c r="K153" s="20">
        <v>8</v>
      </c>
      <c r="L153" s="20">
        <v>7</v>
      </c>
      <c r="M153" s="20">
        <v>5</v>
      </c>
      <c r="N153" s="21"/>
      <c r="O153" s="21"/>
      <c r="P153" s="21"/>
      <c r="Q153" s="21"/>
      <c r="R153" s="21"/>
      <c r="S153" s="21"/>
      <c r="T153" s="21"/>
      <c r="U153" s="21"/>
      <c r="V153" s="21"/>
      <c r="W153" s="20">
        <v>600</v>
      </c>
      <c r="X153" s="15" t="s">
        <v>159</v>
      </c>
      <c r="Y153" s="20">
        <v>3</v>
      </c>
      <c r="Z153" s="15" t="s">
        <v>344</v>
      </c>
      <c r="AA153" s="15" t="s">
        <v>96</v>
      </c>
      <c r="AB153" s="15" t="s">
        <v>325</v>
      </c>
      <c r="AC153" s="20" t="s">
        <v>257</v>
      </c>
      <c r="AD153" s="9" t="str">
        <f>IF(OR(Form_Responses34[[#This Row],[Total_monthly_fuel_expense 
]]&gt;10040,Form_Responses34[[#This Row],[Total_monthly_fuel_expense 
]]&lt;-4760),"Outlier","Normal")</f>
        <v>Normal</v>
      </c>
    </row>
    <row r="154" spans="1:30" x14ac:dyDescent="0.2">
      <c r="A154" s="20">
        <v>45</v>
      </c>
      <c r="B154" s="15" t="s">
        <v>73</v>
      </c>
      <c r="C154" s="12" t="s">
        <v>1889</v>
      </c>
      <c r="D154" s="20">
        <v>7</v>
      </c>
      <c r="E154" s="20">
        <v>2</v>
      </c>
      <c r="F154" s="15" t="s">
        <v>290</v>
      </c>
      <c r="G154" s="15" t="s">
        <v>47</v>
      </c>
      <c r="J154" s="15" t="s">
        <v>291</v>
      </c>
      <c r="K154" s="20">
        <v>10</v>
      </c>
      <c r="L154" s="20">
        <v>12</v>
      </c>
      <c r="M154" s="20">
        <v>8</v>
      </c>
      <c r="N154" s="21"/>
      <c r="O154" s="21"/>
      <c r="P154" s="21"/>
      <c r="Q154" s="21"/>
      <c r="R154" s="21"/>
      <c r="S154" s="21"/>
      <c r="T154" s="20">
        <v>14</v>
      </c>
      <c r="U154" s="20">
        <v>45</v>
      </c>
      <c r="V154" s="20">
        <v>70</v>
      </c>
      <c r="W154" s="20">
        <v>9500</v>
      </c>
      <c r="X154" s="15" t="s">
        <v>323</v>
      </c>
      <c r="Y154" s="20">
        <v>6</v>
      </c>
      <c r="Z154" s="15" t="s">
        <v>296</v>
      </c>
      <c r="AA154" s="15" t="s">
        <v>362</v>
      </c>
      <c r="AB154" s="15" t="s">
        <v>307</v>
      </c>
      <c r="AC154" s="20" t="s">
        <v>68</v>
      </c>
      <c r="AD154" s="9" t="str">
        <f>IF(OR(Form_Responses34[[#This Row],[Total_monthly_fuel_expense 
]]&gt;10040,Form_Responses34[[#This Row],[Total_monthly_fuel_expense 
]]&lt;-4760),"Outlier","Normal")</f>
        <v>Normal</v>
      </c>
    </row>
    <row r="155" spans="1:30" x14ac:dyDescent="0.2">
      <c r="A155" s="20">
        <v>21</v>
      </c>
      <c r="B155" s="15" t="s">
        <v>42</v>
      </c>
      <c r="C155" s="12" t="s">
        <v>182</v>
      </c>
      <c r="D155" s="20">
        <v>4</v>
      </c>
      <c r="E155" s="20">
        <v>1</v>
      </c>
      <c r="F155" s="15" t="s">
        <v>100</v>
      </c>
      <c r="H155" s="15" t="s">
        <v>47</v>
      </c>
      <c r="K155" s="21"/>
      <c r="L155" s="21"/>
      <c r="M155" s="21"/>
      <c r="N155" s="20">
        <v>3</v>
      </c>
      <c r="O155" s="20">
        <v>8</v>
      </c>
      <c r="P155" s="20">
        <v>5</v>
      </c>
      <c r="Q155" s="21"/>
      <c r="R155" s="21"/>
      <c r="S155" s="21"/>
      <c r="T155" s="21"/>
      <c r="U155" s="21"/>
      <c r="V155" s="21"/>
      <c r="W155" s="20">
        <v>600</v>
      </c>
      <c r="X155" s="15" t="s">
        <v>252</v>
      </c>
      <c r="Y155" s="20">
        <v>4</v>
      </c>
      <c r="Z155" s="15" t="s">
        <v>285</v>
      </c>
      <c r="AA155" s="15" t="s">
        <v>277</v>
      </c>
      <c r="AB155" s="15" t="s">
        <v>256</v>
      </c>
      <c r="AC155" s="20" t="s">
        <v>152</v>
      </c>
      <c r="AD155" s="9" t="str">
        <f>IF(OR(Form_Responses34[[#This Row],[Total_monthly_fuel_expense 
]]&gt;10040,Form_Responses34[[#This Row],[Total_monthly_fuel_expense 
]]&lt;-4760),"Outlier","Normal")</f>
        <v>Normal</v>
      </c>
    </row>
    <row r="156" spans="1:30" x14ac:dyDescent="0.2">
      <c r="A156" s="20">
        <v>38</v>
      </c>
      <c r="B156" s="15" t="s">
        <v>73</v>
      </c>
      <c r="C156" s="12" t="s">
        <v>1891</v>
      </c>
      <c r="D156" s="20">
        <v>4</v>
      </c>
      <c r="E156" s="20">
        <v>2</v>
      </c>
      <c r="F156" s="15" t="s">
        <v>246</v>
      </c>
      <c r="G156" s="15" t="s">
        <v>47</v>
      </c>
      <c r="I156" s="15" t="s">
        <v>47</v>
      </c>
      <c r="K156" s="20">
        <v>6</v>
      </c>
      <c r="L156" s="20">
        <v>10</v>
      </c>
      <c r="M156" s="20">
        <v>7</v>
      </c>
      <c r="N156" s="21"/>
      <c r="O156" s="21"/>
      <c r="P156" s="21"/>
      <c r="Q156" s="20">
        <v>3</v>
      </c>
      <c r="R156" s="20">
        <v>20</v>
      </c>
      <c r="S156" s="20">
        <v>26</v>
      </c>
      <c r="T156" s="21"/>
      <c r="U156" s="21"/>
      <c r="V156" s="21"/>
      <c r="W156" s="20">
        <v>4900</v>
      </c>
      <c r="X156" s="15" t="s">
        <v>323</v>
      </c>
      <c r="Y156" s="20">
        <v>7</v>
      </c>
      <c r="Z156" s="15" t="s">
        <v>255</v>
      </c>
      <c r="AA156" s="15" t="s">
        <v>85</v>
      </c>
      <c r="AB156" s="15" t="s">
        <v>335</v>
      </c>
      <c r="AC156" s="20" t="s">
        <v>257</v>
      </c>
      <c r="AD156" s="9" t="str">
        <f>IF(OR(Form_Responses34[[#This Row],[Total_monthly_fuel_expense 
]]&gt;10040,Form_Responses34[[#This Row],[Total_monthly_fuel_expense 
]]&lt;-4760),"Outlier","Normal")</f>
        <v>Normal</v>
      </c>
    </row>
    <row r="157" spans="1:30" x14ac:dyDescent="0.2">
      <c r="A157" s="20">
        <v>33</v>
      </c>
      <c r="B157" s="15" t="s">
        <v>73</v>
      </c>
      <c r="C157" s="12" t="s">
        <v>1888</v>
      </c>
      <c r="D157" s="20">
        <v>5</v>
      </c>
      <c r="E157" s="20">
        <v>1</v>
      </c>
      <c r="F157" s="15" t="s">
        <v>46</v>
      </c>
      <c r="G157" s="15" t="s">
        <v>47</v>
      </c>
      <c r="K157" s="20">
        <v>9</v>
      </c>
      <c r="L157" s="20">
        <v>6</v>
      </c>
      <c r="M157" s="20">
        <v>5</v>
      </c>
      <c r="N157" s="21"/>
      <c r="O157" s="21"/>
      <c r="P157" s="21"/>
      <c r="Q157" s="21"/>
      <c r="R157" s="21"/>
      <c r="S157" s="21"/>
      <c r="T157" s="21"/>
      <c r="U157" s="21"/>
      <c r="V157" s="21"/>
      <c r="W157" s="20">
        <v>650</v>
      </c>
      <c r="X157" s="15" t="s">
        <v>159</v>
      </c>
      <c r="Y157" s="20">
        <v>3</v>
      </c>
      <c r="Z157" s="15" t="s">
        <v>306</v>
      </c>
      <c r="AA157" s="15" t="s">
        <v>96</v>
      </c>
      <c r="AB157" s="15" t="s">
        <v>325</v>
      </c>
      <c r="AC157" s="20" t="s">
        <v>68</v>
      </c>
      <c r="AD157" s="9" t="str">
        <f>IF(OR(Form_Responses34[[#This Row],[Total_monthly_fuel_expense 
]]&gt;10040,Form_Responses34[[#This Row],[Total_monthly_fuel_expense 
]]&lt;-4760),"Outlier","Normal")</f>
        <v>Normal</v>
      </c>
    </row>
    <row r="158" spans="1:30" x14ac:dyDescent="0.2">
      <c r="A158" s="20">
        <v>29</v>
      </c>
      <c r="B158" s="15" t="s">
        <v>73</v>
      </c>
      <c r="C158" s="12" t="s">
        <v>1889</v>
      </c>
      <c r="D158" s="20">
        <v>3</v>
      </c>
      <c r="E158" s="20">
        <v>1</v>
      </c>
      <c r="F158" s="15" t="s">
        <v>46</v>
      </c>
      <c r="G158" s="15" t="s">
        <v>47</v>
      </c>
      <c r="K158" s="20">
        <v>4</v>
      </c>
      <c r="L158" s="20">
        <v>22</v>
      </c>
      <c r="M158" s="20">
        <v>14</v>
      </c>
      <c r="N158" s="21"/>
      <c r="O158" s="21"/>
      <c r="P158" s="21"/>
      <c r="Q158" s="21"/>
      <c r="R158" s="21"/>
      <c r="S158" s="21"/>
      <c r="T158" s="21"/>
      <c r="U158" s="21"/>
      <c r="V158" s="21"/>
      <c r="W158" s="20">
        <v>1700</v>
      </c>
      <c r="X158" s="15" t="s">
        <v>252</v>
      </c>
      <c r="Y158" s="20">
        <v>11</v>
      </c>
      <c r="Z158" s="15" t="s">
        <v>255</v>
      </c>
      <c r="AA158" s="15" t="s">
        <v>85</v>
      </c>
      <c r="AB158" s="15" t="s">
        <v>256</v>
      </c>
      <c r="AC158" s="20" t="s">
        <v>152</v>
      </c>
      <c r="AD158" s="9" t="str">
        <f>IF(OR(Form_Responses34[[#This Row],[Total_monthly_fuel_expense 
]]&gt;10040,Form_Responses34[[#This Row],[Total_monthly_fuel_expense 
]]&lt;-4760),"Outlier","Normal")</f>
        <v>Normal</v>
      </c>
    </row>
    <row r="159" spans="1:30" x14ac:dyDescent="0.2">
      <c r="A159" s="20">
        <v>35</v>
      </c>
      <c r="B159" s="15" t="s">
        <v>42</v>
      </c>
      <c r="C159" s="12" t="s">
        <v>1889</v>
      </c>
      <c r="D159" s="20">
        <v>4</v>
      </c>
      <c r="E159" s="20">
        <v>2</v>
      </c>
      <c r="F159" s="15" t="s">
        <v>269</v>
      </c>
      <c r="H159" s="15" t="s">
        <v>47</v>
      </c>
      <c r="I159" s="15" t="s">
        <v>47</v>
      </c>
      <c r="K159" s="21"/>
      <c r="L159" s="21"/>
      <c r="M159" s="21"/>
      <c r="N159" s="20">
        <v>4</v>
      </c>
      <c r="O159" s="20">
        <v>10</v>
      </c>
      <c r="P159" s="20">
        <v>6</v>
      </c>
      <c r="Q159" s="20">
        <v>6</v>
      </c>
      <c r="R159" s="20">
        <v>18</v>
      </c>
      <c r="S159" s="20">
        <v>23</v>
      </c>
      <c r="T159" s="21"/>
      <c r="U159" s="21"/>
      <c r="V159" s="21"/>
      <c r="W159" s="20">
        <v>3800</v>
      </c>
      <c r="X159" s="15" t="s">
        <v>323</v>
      </c>
      <c r="Y159" s="20">
        <v>8</v>
      </c>
      <c r="Z159" s="15" t="s">
        <v>559</v>
      </c>
      <c r="AA159" s="15" t="s">
        <v>85</v>
      </c>
      <c r="AB159" s="15" t="s">
        <v>256</v>
      </c>
      <c r="AC159" s="20" t="s">
        <v>68</v>
      </c>
      <c r="AD159" s="9" t="str">
        <f>IF(OR(Form_Responses34[[#This Row],[Total_monthly_fuel_expense 
]]&gt;10040,Form_Responses34[[#This Row],[Total_monthly_fuel_expense 
]]&lt;-4760),"Outlier","Normal")</f>
        <v>Normal</v>
      </c>
    </row>
    <row r="160" spans="1:30" x14ac:dyDescent="0.2">
      <c r="A160" s="20">
        <v>47</v>
      </c>
      <c r="B160" s="15" t="s">
        <v>73</v>
      </c>
      <c r="C160" s="12" t="s">
        <v>1889</v>
      </c>
      <c r="D160" s="20">
        <v>6</v>
      </c>
      <c r="E160" s="20">
        <v>2</v>
      </c>
      <c r="F160" s="15" t="s">
        <v>290</v>
      </c>
      <c r="G160" s="15" t="s">
        <v>47</v>
      </c>
      <c r="J160" s="15" t="s">
        <v>291</v>
      </c>
      <c r="K160" s="20">
        <v>11</v>
      </c>
      <c r="L160" s="20">
        <v>12</v>
      </c>
      <c r="M160" s="20">
        <v>8</v>
      </c>
      <c r="N160" s="21"/>
      <c r="O160" s="21"/>
      <c r="P160" s="21"/>
      <c r="Q160" s="21"/>
      <c r="R160" s="21"/>
      <c r="S160" s="21"/>
      <c r="T160" s="20">
        <v>15</v>
      </c>
      <c r="U160" s="20">
        <v>40</v>
      </c>
      <c r="V160" s="20">
        <v>65</v>
      </c>
      <c r="W160" s="20">
        <v>8700</v>
      </c>
      <c r="X160" s="15" t="s">
        <v>159</v>
      </c>
      <c r="Y160" s="20">
        <v>7</v>
      </c>
      <c r="Z160" s="15" t="s">
        <v>296</v>
      </c>
      <c r="AA160" s="15" t="s">
        <v>362</v>
      </c>
      <c r="AB160" s="15" t="s">
        <v>307</v>
      </c>
      <c r="AC160" s="20" t="s">
        <v>68</v>
      </c>
      <c r="AD160" s="9" t="str">
        <f>IF(OR(Form_Responses34[[#This Row],[Total_monthly_fuel_expense 
]]&gt;10040,Form_Responses34[[#This Row],[Total_monthly_fuel_expense 
]]&lt;-4760),"Outlier","Normal")</f>
        <v>Normal</v>
      </c>
    </row>
    <row r="161" spans="1:30" x14ac:dyDescent="0.2">
      <c r="A161" s="20">
        <v>23</v>
      </c>
      <c r="B161" s="15" t="s">
        <v>42</v>
      </c>
      <c r="C161" s="12" t="s">
        <v>182</v>
      </c>
      <c r="D161" s="20">
        <v>4</v>
      </c>
      <c r="E161" s="20">
        <v>1</v>
      </c>
      <c r="F161" s="15" t="s">
        <v>100</v>
      </c>
      <c r="H161" s="15" t="s">
        <v>47</v>
      </c>
      <c r="K161" s="21"/>
      <c r="L161" s="21"/>
      <c r="M161" s="21"/>
      <c r="N161" s="20">
        <v>1</v>
      </c>
      <c r="O161" s="20">
        <v>7</v>
      </c>
      <c r="P161" s="20">
        <v>4</v>
      </c>
      <c r="Q161" s="21"/>
      <c r="R161" s="21"/>
      <c r="S161" s="21"/>
      <c r="T161" s="21"/>
      <c r="U161" s="21"/>
      <c r="V161" s="21"/>
      <c r="W161" s="20">
        <v>500</v>
      </c>
      <c r="X161" s="15" t="s">
        <v>252</v>
      </c>
      <c r="Y161" s="20">
        <v>3</v>
      </c>
      <c r="Z161" s="15" t="s">
        <v>285</v>
      </c>
      <c r="AA161" s="15" t="s">
        <v>277</v>
      </c>
      <c r="AB161" s="15" t="s">
        <v>256</v>
      </c>
      <c r="AC161" s="20" t="s">
        <v>257</v>
      </c>
      <c r="AD161" s="9" t="str">
        <f>IF(OR(Form_Responses34[[#This Row],[Total_monthly_fuel_expense 
]]&gt;10040,Form_Responses34[[#This Row],[Total_monthly_fuel_expense 
]]&lt;-4760),"Outlier","Normal")</f>
        <v>Normal</v>
      </c>
    </row>
    <row r="162" spans="1:30" x14ac:dyDescent="0.2">
      <c r="A162" s="20">
        <v>22</v>
      </c>
      <c r="B162" s="15" t="s">
        <v>73</v>
      </c>
      <c r="C162" s="12" t="s">
        <v>1888</v>
      </c>
      <c r="D162" s="20">
        <v>4</v>
      </c>
      <c r="E162" s="20">
        <v>2</v>
      </c>
      <c r="F162" s="15" t="s">
        <v>290</v>
      </c>
      <c r="G162" s="15" t="s">
        <v>47</v>
      </c>
      <c r="J162" s="15" t="s">
        <v>291</v>
      </c>
      <c r="K162" s="20">
        <v>7</v>
      </c>
      <c r="L162" s="20">
        <v>22</v>
      </c>
      <c r="M162" s="20">
        <v>9</v>
      </c>
      <c r="N162" s="21"/>
      <c r="O162" s="21"/>
      <c r="P162" s="21"/>
      <c r="Q162" s="21"/>
      <c r="R162" s="21"/>
      <c r="S162" s="21"/>
      <c r="T162" s="20">
        <v>4</v>
      </c>
      <c r="U162" s="20">
        <v>40</v>
      </c>
      <c r="V162" s="20">
        <v>50</v>
      </c>
      <c r="W162" s="20">
        <v>4200</v>
      </c>
      <c r="X162" s="15" t="s">
        <v>252</v>
      </c>
      <c r="Y162" s="20">
        <v>6</v>
      </c>
      <c r="Z162" s="15" t="s">
        <v>296</v>
      </c>
      <c r="AA162" s="15" t="s">
        <v>85</v>
      </c>
      <c r="AB162" s="15" t="s">
        <v>256</v>
      </c>
      <c r="AC162" s="20" t="s">
        <v>257</v>
      </c>
      <c r="AD162" s="9" t="str">
        <f>IF(OR(Form_Responses34[[#This Row],[Total_monthly_fuel_expense 
]]&gt;10040,Form_Responses34[[#This Row],[Total_monthly_fuel_expense 
]]&lt;-4760),"Outlier","Normal")</f>
        <v>Normal</v>
      </c>
    </row>
    <row r="163" spans="1:30" x14ac:dyDescent="0.2">
      <c r="A163" s="20">
        <v>30</v>
      </c>
      <c r="B163" s="15" t="s">
        <v>42</v>
      </c>
      <c r="C163" s="12" t="s">
        <v>182</v>
      </c>
      <c r="D163" s="20">
        <v>3</v>
      </c>
      <c r="E163" s="20">
        <v>1</v>
      </c>
      <c r="F163" s="15" t="s">
        <v>100</v>
      </c>
      <c r="H163" s="15" t="s">
        <v>47</v>
      </c>
      <c r="K163" s="21"/>
      <c r="L163" s="21"/>
      <c r="M163" s="21"/>
      <c r="N163" s="20">
        <v>3</v>
      </c>
      <c r="O163" s="20">
        <v>10</v>
      </c>
      <c r="P163" s="20">
        <v>5</v>
      </c>
      <c r="Q163" s="21"/>
      <c r="R163" s="21"/>
      <c r="S163" s="21"/>
      <c r="T163" s="21"/>
      <c r="U163" s="21"/>
      <c r="V163" s="21"/>
      <c r="W163" s="20">
        <v>1000</v>
      </c>
      <c r="X163" s="15" t="s">
        <v>323</v>
      </c>
      <c r="Y163" s="20">
        <v>5</v>
      </c>
      <c r="Z163" s="15" t="s">
        <v>285</v>
      </c>
      <c r="AA163" s="15" t="s">
        <v>96</v>
      </c>
      <c r="AB163" s="15" t="s">
        <v>335</v>
      </c>
      <c r="AC163" s="20" t="s">
        <v>152</v>
      </c>
      <c r="AD163" s="9" t="str">
        <f>IF(OR(Form_Responses34[[#This Row],[Total_monthly_fuel_expense 
]]&gt;10040,Form_Responses34[[#This Row],[Total_monthly_fuel_expense 
]]&lt;-4760),"Outlier","Normal")</f>
        <v>Normal</v>
      </c>
    </row>
    <row r="164" spans="1:30" x14ac:dyDescent="0.2">
      <c r="A164" s="20">
        <v>27</v>
      </c>
      <c r="B164" s="15" t="s">
        <v>73</v>
      </c>
      <c r="C164" s="12" t="s">
        <v>1889</v>
      </c>
      <c r="D164" s="20">
        <v>5</v>
      </c>
      <c r="E164" s="20">
        <v>2</v>
      </c>
      <c r="F164" s="15" t="s">
        <v>246</v>
      </c>
      <c r="G164" s="15" t="s">
        <v>47</v>
      </c>
      <c r="I164" s="15" t="s">
        <v>47</v>
      </c>
      <c r="K164" s="20">
        <v>7</v>
      </c>
      <c r="L164" s="20">
        <v>18</v>
      </c>
      <c r="M164" s="20">
        <v>7</v>
      </c>
      <c r="N164" s="21"/>
      <c r="O164" s="21"/>
      <c r="P164" s="21"/>
      <c r="Q164" s="20">
        <v>2</v>
      </c>
      <c r="R164" s="20">
        <v>25</v>
      </c>
      <c r="S164" s="20">
        <v>20</v>
      </c>
      <c r="T164" s="21"/>
      <c r="U164" s="21"/>
      <c r="V164" s="21"/>
      <c r="W164" s="20">
        <v>4800</v>
      </c>
      <c r="X164" s="15" t="s">
        <v>323</v>
      </c>
      <c r="Y164" s="20">
        <v>18</v>
      </c>
      <c r="Z164" s="15" t="s">
        <v>255</v>
      </c>
      <c r="AA164" s="15" t="s">
        <v>277</v>
      </c>
      <c r="AB164" s="15" t="s">
        <v>256</v>
      </c>
      <c r="AC164" s="20" t="s">
        <v>257</v>
      </c>
      <c r="AD164" s="9" t="str">
        <f>IF(OR(Form_Responses34[[#This Row],[Total_monthly_fuel_expense 
]]&gt;10040,Form_Responses34[[#This Row],[Total_monthly_fuel_expense 
]]&lt;-4760),"Outlier","Normal")</f>
        <v>Normal</v>
      </c>
    </row>
    <row r="165" spans="1:30" x14ac:dyDescent="0.2">
      <c r="A165" s="20">
        <v>19</v>
      </c>
      <c r="B165" s="15" t="s">
        <v>42</v>
      </c>
      <c r="C165" s="12" t="s">
        <v>182</v>
      </c>
      <c r="D165" s="20">
        <v>4</v>
      </c>
      <c r="E165" s="20">
        <v>1</v>
      </c>
      <c r="F165" s="15" t="s">
        <v>100</v>
      </c>
      <c r="H165" s="15" t="s">
        <v>47</v>
      </c>
      <c r="K165" s="21"/>
      <c r="L165" s="21"/>
      <c r="M165" s="21"/>
      <c r="N165" s="20">
        <v>1</v>
      </c>
      <c r="O165" s="20">
        <v>12</v>
      </c>
      <c r="P165" s="20">
        <v>6</v>
      </c>
      <c r="Q165" s="21"/>
      <c r="R165" s="21"/>
      <c r="S165" s="21"/>
      <c r="T165" s="21"/>
      <c r="U165" s="21"/>
      <c r="V165" s="21"/>
      <c r="W165" s="20">
        <v>900</v>
      </c>
      <c r="X165" s="15" t="s">
        <v>857</v>
      </c>
      <c r="Y165" s="20">
        <v>4</v>
      </c>
      <c r="Z165" s="15" t="s">
        <v>285</v>
      </c>
      <c r="AA165" s="15" t="s">
        <v>277</v>
      </c>
      <c r="AB165" s="15" t="s">
        <v>256</v>
      </c>
      <c r="AC165" s="20" t="s">
        <v>68</v>
      </c>
      <c r="AD165" s="9" t="str">
        <f>IF(OR(Form_Responses34[[#This Row],[Total_monthly_fuel_expense 
]]&gt;10040,Form_Responses34[[#This Row],[Total_monthly_fuel_expense 
]]&lt;-4760),"Outlier","Normal")</f>
        <v>Normal</v>
      </c>
    </row>
    <row r="166" spans="1:30" x14ac:dyDescent="0.2">
      <c r="A166" s="20">
        <v>30</v>
      </c>
      <c r="B166" s="15" t="s">
        <v>73</v>
      </c>
      <c r="C166" s="12" t="s">
        <v>1890</v>
      </c>
      <c r="D166" s="20">
        <v>6</v>
      </c>
      <c r="E166" s="20">
        <v>3</v>
      </c>
      <c r="F166" s="15" t="s">
        <v>309</v>
      </c>
      <c r="G166" s="15" t="s">
        <v>47</v>
      </c>
      <c r="I166" s="15" t="s">
        <v>291</v>
      </c>
      <c r="J166" s="15" t="s">
        <v>291</v>
      </c>
      <c r="K166" s="20">
        <v>10</v>
      </c>
      <c r="L166" s="20">
        <v>15</v>
      </c>
      <c r="M166" s="20">
        <v>6</v>
      </c>
      <c r="N166" s="21"/>
      <c r="O166" s="21"/>
      <c r="P166" s="21"/>
      <c r="Q166" s="20">
        <v>5</v>
      </c>
      <c r="R166" s="20">
        <v>20</v>
      </c>
      <c r="S166" s="20">
        <v>18</v>
      </c>
      <c r="T166" s="20">
        <v>8</v>
      </c>
      <c r="U166" s="20">
        <v>30</v>
      </c>
      <c r="V166" s="20">
        <v>40</v>
      </c>
      <c r="W166" s="20">
        <v>9200</v>
      </c>
      <c r="X166" s="15" t="s">
        <v>252</v>
      </c>
      <c r="Y166" s="20">
        <v>10</v>
      </c>
      <c r="Z166" s="15" t="s">
        <v>559</v>
      </c>
      <c r="AA166" s="15" t="s">
        <v>362</v>
      </c>
      <c r="AB166" s="15" t="s">
        <v>307</v>
      </c>
      <c r="AC166" s="20" t="s">
        <v>68</v>
      </c>
      <c r="AD166" s="9" t="str">
        <f>IF(OR(Form_Responses34[[#This Row],[Total_monthly_fuel_expense 
]]&gt;10040,Form_Responses34[[#This Row],[Total_monthly_fuel_expense 
]]&lt;-4760),"Outlier","Normal")</f>
        <v>Normal</v>
      </c>
    </row>
    <row r="167" spans="1:30" x14ac:dyDescent="0.2">
      <c r="A167" s="20">
        <v>23</v>
      </c>
      <c r="B167" s="15" t="s">
        <v>42</v>
      </c>
      <c r="C167" s="12" t="s">
        <v>1889</v>
      </c>
      <c r="D167" s="20">
        <v>4</v>
      </c>
      <c r="E167" s="20">
        <v>1</v>
      </c>
      <c r="F167" s="15" t="s">
        <v>431</v>
      </c>
      <c r="I167" s="15" t="s">
        <v>47</v>
      </c>
      <c r="K167" s="21"/>
      <c r="L167" s="21"/>
      <c r="M167" s="21"/>
      <c r="N167" s="21"/>
      <c r="O167" s="21"/>
      <c r="P167" s="21"/>
      <c r="Q167" s="20">
        <v>3</v>
      </c>
      <c r="R167" s="20">
        <v>30</v>
      </c>
      <c r="S167" s="20">
        <v>25</v>
      </c>
      <c r="T167" s="21"/>
      <c r="U167" s="21"/>
      <c r="V167" s="21"/>
      <c r="W167" s="20">
        <v>3500</v>
      </c>
      <c r="X167" s="15" t="s">
        <v>323</v>
      </c>
      <c r="Y167" s="20">
        <v>12</v>
      </c>
      <c r="Z167" s="15" t="s">
        <v>255</v>
      </c>
      <c r="AA167" s="15" t="s">
        <v>85</v>
      </c>
      <c r="AB167" s="15" t="s">
        <v>467</v>
      </c>
      <c r="AC167" s="20" t="s">
        <v>257</v>
      </c>
      <c r="AD167" s="9" t="str">
        <f>IF(OR(Form_Responses34[[#This Row],[Total_monthly_fuel_expense 
]]&gt;10040,Form_Responses34[[#This Row],[Total_monthly_fuel_expense 
]]&lt;-4760),"Outlier","Normal")</f>
        <v>Normal</v>
      </c>
    </row>
    <row r="168" spans="1:30" x14ac:dyDescent="0.2">
      <c r="A168" s="20">
        <v>45</v>
      </c>
      <c r="B168" s="15" t="s">
        <v>73</v>
      </c>
      <c r="C168" s="12" t="s">
        <v>1889</v>
      </c>
      <c r="D168" s="20">
        <v>5</v>
      </c>
      <c r="E168" s="20">
        <v>2</v>
      </c>
      <c r="F168" s="15" t="s">
        <v>290</v>
      </c>
      <c r="G168" s="15" t="s">
        <v>47</v>
      </c>
      <c r="J168" s="15" t="s">
        <v>291</v>
      </c>
      <c r="K168" s="20">
        <v>12</v>
      </c>
      <c r="L168" s="20">
        <v>8</v>
      </c>
      <c r="M168" s="20">
        <v>5</v>
      </c>
      <c r="N168" s="21"/>
      <c r="O168" s="21"/>
      <c r="P168" s="21"/>
      <c r="Q168" s="21"/>
      <c r="R168" s="21"/>
      <c r="S168" s="21"/>
      <c r="T168" s="20">
        <v>6</v>
      </c>
      <c r="U168" s="20">
        <v>25</v>
      </c>
      <c r="V168" s="20">
        <v>35</v>
      </c>
      <c r="W168" s="20">
        <v>4000</v>
      </c>
      <c r="X168" s="15" t="s">
        <v>159</v>
      </c>
      <c r="Y168" s="20">
        <v>8</v>
      </c>
      <c r="Z168" s="15" t="s">
        <v>296</v>
      </c>
      <c r="AA168" s="15" t="s">
        <v>85</v>
      </c>
      <c r="AB168" s="15" t="s">
        <v>325</v>
      </c>
      <c r="AC168" s="20" t="s">
        <v>68</v>
      </c>
      <c r="AD168" s="9" t="str">
        <f>IF(OR(Form_Responses34[[#This Row],[Total_monthly_fuel_expense 
]]&gt;10040,Form_Responses34[[#This Row],[Total_monthly_fuel_expense 
]]&lt;-4760),"Outlier","Normal")</f>
        <v>Normal</v>
      </c>
    </row>
    <row r="169" spans="1:30" x14ac:dyDescent="0.2">
      <c r="A169" s="20">
        <v>24</v>
      </c>
      <c r="B169" s="15" t="s">
        <v>42</v>
      </c>
      <c r="C169" s="12" t="s">
        <v>1889</v>
      </c>
      <c r="D169" s="20">
        <v>4</v>
      </c>
      <c r="E169" s="20">
        <v>1</v>
      </c>
      <c r="F169" s="15" t="s">
        <v>100</v>
      </c>
      <c r="H169" s="15" t="s">
        <v>47</v>
      </c>
      <c r="K169" s="21"/>
      <c r="L169" s="21"/>
      <c r="M169" s="21"/>
      <c r="N169" s="20">
        <v>4</v>
      </c>
      <c r="O169" s="20">
        <v>18</v>
      </c>
      <c r="P169" s="20">
        <v>8</v>
      </c>
      <c r="Q169" s="21"/>
      <c r="R169" s="21"/>
      <c r="S169" s="21"/>
      <c r="T169" s="21"/>
      <c r="U169" s="21"/>
      <c r="V169" s="21"/>
      <c r="W169" s="20">
        <v>1600</v>
      </c>
      <c r="X169" s="15" t="s">
        <v>252</v>
      </c>
      <c r="Y169" s="20">
        <v>10</v>
      </c>
      <c r="Z169" s="15" t="s">
        <v>255</v>
      </c>
      <c r="AA169" s="15" t="s">
        <v>85</v>
      </c>
      <c r="AB169" s="15" t="s">
        <v>335</v>
      </c>
      <c r="AC169" s="20" t="s">
        <v>152</v>
      </c>
      <c r="AD169" s="9" t="str">
        <f>IF(OR(Form_Responses34[[#This Row],[Total_monthly_fuel_expense 
]]&gt;10040,Form_Responses34[[#This Row],[Total_monthly_fuel_expense 
]]&lt;-4760),"Outlier","Normal")</f>
        <v>Normal</v>
      </c>
    </row>
    <row r="170" spans="1:30" x14ac:dyDescent="0.2">
      <c r="A170" s="20">
        <v>29</v>
      </c>
      <c r="B170" s="15" t="s">
        <v>73</v>
      </c>
      <c r="C170" s="12" t="s">
        <v>1891</v>
      </c>
      <c r="D170" s="20">
        <v>6</v>
      </c>
      <c r="E170" s="20">
        <v>3</v>
      </c>
      <c r="F170" s="15" t="s">
        <v>309</v>
      </c>
      <c r="G170" s="15" t="s">
        <v>47</v>
      </c>
      <c r="I170" s="15" t="s">
        <v>47</v>
      </c>
      <c r="J170" s="15" t="s">
        <v>291</v>
      </c>
      <c r="K170" s="20">
        <v>7</v>
      </c>
      <c r="L170" s="20">
        <v>20</v>
      </c>
      <c r="M170" s="20">
        <v>8</v>
      </c>
      <c r="N170" s="21"/>
      <c r="O170" s="21"/>
      <c r="P170" s="21"/>
      <c r="Q170" s="20">
        <v>1</v>
      </c>
      <c r="R170" s="20">
        <v>35</v>
      </c>
      <c r="S170" s="20">
        <v>30</v>
      </c>
      <c r="T170" s="20">
        <v>2</v>
      </c>
      <c r="U170" s="20">
        <v>45</v>
      </c>
      <c r="V170" s="20">
        <v>40</v>
      </c>
      <c r="W170" s="20">
        <v>12000</v>
      </c>
      <c r="X170" s="15" t="s">
        <v>276</v>
      </c>
      <c r="Y170" s="20">
        <v>14</v>
      </c>
      <c r="Z170" s="15" t="s">
        <v>559</v>
      </c>
      <c r="AA170" s="15" t="s">
        <v>362</v>
      </c>
      <c r="AB170" s="15" t="s">
        <v>307</v>
      </c>
      <c r="AC170" s="20" t="s">
        <v>68</v>
      </c>
      <c r="AD170" s="9" t="str">
        <f>IF(OR(Form_Responses34[[#This Row],[Total_monthly_fuel_expense 
]]&gt;10040,Form_Responses34[[#This Row],[Total_monthly_fuel_expense 
]]&lt;-4760),"Outlier","Normal")</f>
        <v>Outlier</v>
      </c>
    </row>
    <row r="171" spans="1:30" x14ac:dyDescent="0.2">
      <c r="A171" s="20">
        <v>21</v>
      </c>
      <c r="B171" s="15" t="s">
        <v>42</v>
      </c>
      <c r="C171" s="12" t="s">
        <v>182</v>
      </c>
      <c r="D171" s="20">
        <v>4</v>
      </c>
      <c r="E171" s="20">
        <v>1</v>
      </c>
      <c r="F171" s="15" t="s">
        <v>100</v>
      </c>
      <c r="H171" s="15" t="s">
        <v>47</v>
      </c>
      <c r="K171" s="21"/>
      <c r="L171" s="21"/>
      <c r="M171" s="21"/>
      <c r="N171" s="20">
        <v>2</v>
      </c>
      <c r="O171" s="20">
        <v>9</v>
      </c>
      <c r="P171" s="20">
        <v>5</v>
      </c>
      <c r="Q171" s="21"/>
      <c r="R171" s="21"/>
      <c r="S171" s="21"/>
      <c r="T171" s="21"/>
      <c r="U171" s="21"/>
      <c r="V171" s="21"/>
      <c r="W171" s="20">
        <v>850</v>
      </c>
      <c r="X171" s="15" t="s">
        <v>159</v>
      </c>
      <c r="Y171" s="20">
        <v>3</v>
      </c>
      <c r="Z171" s="15" t="s">
        <v>285</v>
      </c>
      <c r="AA171" s="15" t="s">
        <v>277</v>
      </c>
      <c r="AB171" s="15" t="s">
        <v>256</v>
      </c>
      <c r="AC171" s="20" t="s">
        <v>68</v>
      </c>
      <c r="AD171" s="9" t="str">
        <f>IF(OR(Form_Responses34[[#This Row],[Total_monthly_fuel_expense 
]]&gt;10040,Form_Responses34[[#This Row],[Total_monthly_fuel_expense 
]]&lt;-4760),"Outlier","Normal")</f>
        <v>Normal</v>
      </c>
    </row>
    <row r="172" spans="1:30" x14ac:dyDescent="0.2">
      <c r="A172" s="20">
        <v>27</v>
      </c>
      <c r="B172" s="15" t="s">
        <v>73</v>
      </c>
      <c r="C172" s="12" t="s">
        <v>1890</v>
      </c>
      <c r="D172" s="20">
        <v>4</v>
      </c>
      <c r="E172" s="20">
        <v>2</v>
      </c>
      <c r="F172" s="15" t="s">
        <v>246</v>
      </c>
      <c r="G172" s="15" t="s">
        <v>47</v>
      </c>
      <c r="I172" s="15" t="s">
        <v>47</v>
      </c>
      <c r="K172" s="20">
        <v>3</v>
      </c>
      <c r="L172" s="20">
        <v>18</v>
      </c>
      <c r="M172" s="20">
        <v>10</v>
      </c>
      <c r="N172" s="21"/>
      <c r="O172" s="21"/>
      <c r="P172" s="21"/>
      <c r="Q172" s="20">
        <v>4</v>
      </c>
      <c r="R172" s="20">
        <v>25</v>
      </c>
      <c r="S172" s="20">
        <v>30</v>
      </c>
      <c r="T172" s="21"/>
      <c r="U172" s="21"/>
      <c r="V172" s="21"/>
      <c r="W172" s="20">
        <v>6000</v>
      </c>
      <c r="X172" s="15" t="s">
        <v>252</v>
      </c>
      <c r="Y172" s="20">
        <v>12</v>
      </c>
      <c r="Z172" s="15" t="s">
        <v>255</v>
      </c>
      <c r="AA172" s="15" t="s">
        <v>277</v>
      </c>
      <c r="AB172" s="15" t="s">
        <v>256</v>
      </c>
      <c r="AC172" s="20" t="s">
        <v>257</v>
      </c>
      <c r="AD172" s="9" t="str">
        <f>IF(OR(Form_Responses34[[#This Row],[Total_monthly_fuel_expense 
]]&gt;10040,Form_Responses34[[#This Row],[Total_monthly_fuel_expense 
]]&lt;-4760),"Outlier","Normal")</f>
        <v>Normal</v>
      </c>
    </row>
    <row r="173" spans="1:30" x14ac:dyDescent="0.2">
      <c r="A173" s="20">
        <v>45</v>
      </c>
      <c r="B173" s="15" t="s">
        <v>42</v>
      </c>
      <c r="C173" s="12" t="s">
        <v>1889</v>
      </c>
      <c r="D173" s="20">
        <v>6</v>
      </c>
      <c r="E173" s="20">
        <v>1</v>
      </c>
      <c r="F173" s="15" t="s">
        <v>46</v>
      </c>
      <c r="G173" s="15" t="s">
        <v>47</v>
      </c>
      <c r="K173" s="20">
        <v>7</v>
      </c>
      <c r="L173" s="20">
        <v>6</v>
      </c>
      <c r="M173" s="20">
        <v>4</v>
      </c>
      <c r="N173" s="21"/>
      <c r="O173" s="21"/>
      <c r="P173" s="21"/>
      <c r="Q173" s="21"/>
      <c r="R173" s="21"/>
      <c r="S173" s="21"/>
      <c r="T173" s="21"/>
      <c r="U173" s="21"/>
      <c r="V173" s="21"/>
      <c r="W173" s="20">
        <v>550</v>
      </c>
      <c r="X173" s="15" t="s">
        <v>159</v>
      </c>
      <c r="Y173" s="20">
        <v>2</v>
      </c>
      <c r="Z173" s="15" t="s">
        <v>344</v>
      </c>
      <c r="AA173" s="15" t="s">
        <v>96</v>
      </c>
      <c r="AB173" s="15" t="s">
        <v>325</v>
      </c>
      <c r="AC173" s="20" t="s">
        <v>152</v>
      </c>
      <c r="AD173" s="9" t="str">
        <f>IF(OR(Form_Responses34[[#This Row],[Total_monthly_fuel_expense 
]]&gt;10040,Form_Responses34[[#This Row],[Total_monthly_fuel_expense 
]]&lt;-4760),"Outlier","Normal")</f>
        <v>Normal</v>
      </c>
    </row>
    <row r="174" spans="1:30" x14ac:dyDescent="0.2">
      <c r="A174" s="20">
        <v>29</v>
      </c>
      <c r="B174" s="15" t="s">
        <v>73</v>
      </c>
      <c r="C174" s="12" t="s">
        <v>155</v>
      </c>
      <c r="D174" s="20">
        <v>4</v>
      </c>
      <c r="E174" s="20">
        <v>3</v>
      </c>
      <c r="F174" s="15" t="s">
        <v>435</v>
      </c>
      <c r="G174" s="15" t="s">
        <v>47</v>
      </c>
      <c r="I174" s="15" t="s">
        <v>47</v>
      </c>
      <c r="K174" s="20">
        <v>2</v>
      </c>
      <c r="L174" s="20">
        <v>10</v>
      </c>
      <c r="M174" s="20">
        <v>6</v>
      </c>
      <c r="N174" s="21"/>
      <c r="O174" s="21"/>
      <c r="P174" s="21"/>
      <c r="Q174" s="20">
        <v>3</v>
      </c>
      <c r="R174" s="20">
        <v>30</v>
      </c>
      <c r="S174" s="20">
        <v>35</v>
      </c>
      <c r="T174" s="21"/>
      <c r="U174" s="21"/>
      <c r="V174" s="21"/>
      <c r="W174" s="20">
        <v>9000</v>
      </c>
      <c r="X174" s="15" t="s">
        <v>276</v>
      </c>
      <c r="Y174" s="20">
        <v>10</v>
      </c>
      <c r="Z174" s="15" t="s">
        <v>255</v>
      </c>
      <c r="AA174" s="15" t="s">
        <v>362</v>
      </c>
      <c r="AB174" s="15" t="s">
        <v>307</v>
      </c>
      <c r="AC174" s="20" t="s">
        <v>152</v>
      </c>
      <c r="AD174" s="9" t="str">
        <f>IF(OR(Form_Responses34[[#This Row],[Total_monthly_fuel_expense 
]]&gt;10040,Form_Responses34[[#This Row],[Total_monthly_fuel_expense 
]]&lt;-4760),"Outlier","Normal")</f>
        <v>Normal</v>
      </c>
    </row>
    <row r="175" spans="1:30" x14ac:dyDescent="0.2">
      <c r="A175" s="20">
        <v>37</v>
      </c>
      <c r="B175" s="15" t="s">
        <v>42</v>
      </c>
      <c r="C175" s="12" t="s">
        <v>1891</v>
      </c>
      <c r="D175" s="20">
        <v>3</v>
      </c>
      <c r="E175" s="20">
        <v>2</v>
      </c>
      <c r="F175" s="15" t="s">
        <v>269</v>
      </c>
      <c r="H175" s="15" t="s">
        <v>47</v>
      </c>
      <c r="I175" s="15" t="s">
        <v>291</v>
      </c>
      <c r="K175" s="21"/>
      <c r="L175" s="21"/>
      <c r="M175" s="21"/>
      <c r="N175" s="20">
        <v>1</v>
      </c>
      <c r="O175" s="20">
        <v>8</v>
      </c>
      <c r="P175" s="20">
        <v>5</v>
      </c>
      <c r="Q175" s="20">
        <v>5</v>
      </c>
      <c r="R175" s="20">
        <v>22</v>
      </c>
      <c r="S175" s="20">
        <v>28</v>
      </c>
      <c r="T175" s="21"/>
      <c r="U175" s="21"/>
      <c r="V175" s="21"/>
      <c r="W175" s="20">
        <v>5000</v>
      </c>
      <c r="X175" s="15" t="s">
        <v>252</v>
      </c>
      <c r="Y175" s="20">
        <v>14</v>
      </c>
      <c r="Z175" s="15" t="s">
        <v>255</v>
      </c>
      <c r="AA175" s="15" t="s">
        <v>85</v>
      </c>
      <c r="AB175" s="15" t="s">
        <v>335</v>
      </c>
      <c r="AC175" s="20" t="s">
        <v>257</v>
      </c>
      <c r="AD175" s="9" t="str">
        <f>IF(OR(Form_Responses34[[#This Row],[Total_monthly_fuel_expense 
]]&gt;10040,Form_Responses34[[#This Row],[Total_monthly_fuel_expense 
]]&lt;-4760),"Outlier","Normal")</f>
        <v>Normal</v>
      </c>
    </row>
    <row r="176" spans="1:30" x14ac:dyDescent="0.2">
      <c r="A176" s="20">
        <v>24</v>
      </c>
      <c r="B176" s="15" t="s">
        <v>73</v>
      </c>
      <c r="C176" s="12" t="s">
        <v>1888</v>
      </c>
      <c r="D176" s="20">
        <v>4</v>
      </c>
      <c r="E176" s="20">
        <v>1</v>
      </c>
      <c r="F176" s="15" t="s">
        <v>46</v>
      </c>
      <c r="G176" s="15" t="s">
        <v>47</v>
      </c>
      <c r="K176" s="20">
        <v>5</v>
      </c>
      <c r="L176" s="20">
        <v>20</v>
      </c>
      <c r="M176" s="20">
        <v>12</v>
      </c>
      <c r="N176" s="21"/>
      <c r="O176" s="21"/>
      <c r="P176" s="21"/>
      <c r="Q176" s="21"/>
      <c r="R176" s="21"/>
      <c r="S176" s="21"/>
      <c r="T176" s="21"/>
      <c r="U176" s="21"/>
      <c r="V176" s="21"/>
      <c r="W176" s="20">
        <v>1500</v>
      </c>
      <c r="X176" s="15" t="s">
        <v>323</v>
      </c>
      <c r="Y176" s="20">
        <v>8</v>
      </c>
      <c r="Z176" s="15" t="s">
        <v>255</v>
      </c>
      <c r="AA176" s="15" t="s">
        <v>277</v>
      </c>
      <c r="AB176" s="15" t="s">
        <v>256</v>
      </c>
      <c r="AC176" s="20" t="s">
        <v>152</v>
      </c>
      <c r="AD176" s="9" t="str">
        <f>IF(OR(Form_Responses34[[#This Row],[Total_monthly_fuel_expense 
]]&gt;10040,Form_Responses34[[#This Row],[Total_monthly_fuel_expense 
]]&lt;-4760),"Outlier","Normal")</f>
        <v>Normal</v>
      </c>
    </row>
    <row r="177" spans="1:30" x14ac:dyDescent="0.2">
      <c r="A177" s="20">
        <v>19</v>
      </c>
      <c r="B177" s="15" t="s">
        <v>42</v>
      </c>
      <c r="C177" s="12" t="s">
        <v>182</v>
      </c>
      <c r="D177" s="20">
        <v>3</v>
      </c>
      <c r="E177" s="20">
        <v>1</v>
      </c>
      <c r="F177" s="15" t="s">
        <v>100</v>
      </c>
      <c r="H177" s="15" t="s">
        <v>47</v>
      </c>
      <c r="K177" s="21"/>
      <c r="L177" s="21"/>
      <c r="M177" s="21"/>
      <c r="N177" s="20">
        <v>2</v>
      </c>
      <c r="O177" s="20">
        <v>7</v>
      </c>
      <c r="P177" s="20">
        <v>4</v>
      </c>
      <c r="Q177" s="21"/>
      <c r="R177" s="21"/>
      <c r="S177" s="21"/>
      <c r="T177" s="21"/>
      <c r="U177" s="21"/>
      <c r="V177" s="21"/>
      <c r="W177" s="20">
        <v>550</v>
      </c>
      <c r="X177" s="15" t="s">
        <v>252</v>
      </c>
      <c r="Y177" s="20">
        <v>5</v>
      </c>
      <c r="Z177" s="15" t="s">
        <v>285</v>
      </c>
      <c r="AA177" s="15" t="s">
        <v>85</v>
      </c>
      <c r="AB177" s="15" t="s">
        <v>335</v>
      </c>
      <c r="AC177" s="20" t="s">
        <v>257</v>
      </c>
      <c r="AD177" s="9" t="str">
        <f>IF(OR(Form_Responses34[[#This Row],[Total_monthly_fuel_expense 
]]&gt;10040,Form_Responses34[[#This Row],[Total_monthly_fuel_expense 
]]&lt;-4760),"Outlier","Normal")</f>
        <v>Normal</v>
      </c>
    </row>
    <row r="178" spans="1:30" x14ac:dyDescent="0.2">
      <c r="A178" s="20">
        <v>34</v>
      </c>
      <c r="B178" s="15" t="s">
        <v>73</v>
      </c>
      <c r="C178" s="12" t="s">
        <v>1890</v>
      </c>
      <c r="D178" s="20">
        <v>5</v>
      </c>
      <c r="E178" s="20">
        <v>2</v>
      </c>
      <c r="F178" s="15" t="s">
        <v>290</v>
      </c>
      <c r="G178" s="15" t="s">
        <v>47</v>
      </c>
      <c r="J178" s="15" t="s">
        <v>291</v>
      </c>
      <c r="K178" s="20">
        <v>9</v>
      </c>
      <c r="L178" s="20">
        <v>10</v>
      </c>
      <c r="M178" s="20">
        <v>7</v>
      </c>
      <c r="N178" s="21"/>
      <c r="O178" s="21"/>
      <c r="P178" s="21"/>
      <c r="Q178" s="21"/>
      <c r="R178" s="21"/>
      <c r="S178" s="21"/>
      <c r="T178" s="20">
        <v>6</v>
      </c>
      <c r="U178" s="20">
        <v>35</v>
      </c>
      <c r="V178" s="20">
        <v>55</v>
      </c>
      <c r="W178" s="20">
        <v>7000</v>
      </c>
      <c r="X178" s="15" t="s">
        <v>159</v>
      </c>
      <c r="Y178" s="20">
        <v>9</v>
      </c>
      <c r="Z178" s="15" t="s">
        <v>559</v>
      </c>
      <c r="AA178" s="15" t="s">
        <v>362</v>
      </c>
      <c r="AB178" s="15" t="s">
        <v>307</v>
      </c>
      <c r="AC178" s="20" t="s">
        <v>68</v>
      </c>
      <c r="AD178" s="9" t="str">
        <f>IF(OR(Form_Responses34[[#This Row],[Total_monthly_fuel_expense 
]]&gt;10040,Form_Responses34[[#This Row],[Total_monthly_fuel_expense 
]]&lt;-4760),"Outlier","Normal")</f>
        <v>Normal</v>
      </c>
    </row>
    <row r="179" spans="1:30" x14ac:dyDescent="0.2">
      <c r="A179" s="20">
        <v>28</v>
      </c>
      <c r="B179" s="15" t="s">
        <v>73</v>
      </c>
      <c r="C179" s="12" t="s">
        <v>1889</v>
      </c>
      <c r="D179" s="20">
        <v>4</v>
      </c>
      <c r="E179" s="20">
        <v>1</v>
      </c>
      <c r="F179" s="15" t="s">
        <v>46</v>
      </c>
      <c r="G179" s="15" t="s">
        <v>47</v>
      </c>
      <c r="K179" s="20">
        <v>3</v>
      </c>
      <c r="L179" s="20">
        <v>24</v>
      </c>
      <c r="M179" s="20">
        <v>13</v>
      </c>
      <c r="N179" s="21"/>
      <c r="O179" s="21"/>
      <c r="P179" s="21"/>
      <c r="Q179" s="21"/>
      <c r="R179" s="21"/>
      <c r="S179" s="21"/>
      <c r="T179" s="21"/>
      <c r="U179" s="21"/>
      <c r="V179" s="21"/>
      <c r="W179" s="20">
        <v>1600</v>
      </c>
      <c r="X179" s="15" t="s">
        <v>252</v>
      </c>
      <c r="Y179" s="20">
        <v>10</v>
      </c>
      <c r="Z179" s="15" t="s">
        <v>255</v>
      </c>
      <c r="AA179" s="15" t="s">
        <v>85</v>
      </c>
      <c r="AB179" s="15" t="s">
        <v>256</v>
      </c>
      <c r="AC179" s="20" t="s">
        <v>152</v>
      </c>
      <c r="AD179" s="9" t="str">
        <f>IF(OR(Form_Responses34[[#This Row],[Total_monthly_fuel_expense 
]]&gt;10040,Form_Responses34[[#This Row],[Total_monthly_fuel_expense 
]]&lt;-4760),"Outlier","Normal")</f>
        <v>Normal</v>
      </c>
    </row>
    <row r="180" spans="1:30" x14ac:dyDescent="0.2">
      <c r="A180" s="20">
        <v>22</v>
      </c>
      <c r="B180" s="15" t="s">
        <v>42</v>
      </c>
      <c r="C180" s="12" t="s">
        <v>182</v>
      </c>
      <c r="D180" s="20">
        <v>5</v>
      </c>
      <c r="E180" s="20">
        <v>1</v>
      </c>
      <c r="F180" s="15" t="s">
        <v>100</v>
      </c>
      <c r="H180" s="15" t="s">
        <v>47</v>
      </c>
      <c r="K180" s="21"/>
      <c r="L180" s="21"/>
      <c r="M180" s="21"/>
      <c r="N180" s="20">
        <v>4</v>
      </c>
      <c r="O180" s="20">
        <v>9</v>
      </c>
      <c r="P180" s="20">
        <v>5</v>
      </c>
      <c r="Q180" s="21"/>
      <c r="R180" s="21"/>
      <c r="S180" s="21"/>
      <c r="T180" s="21"/>
      <c r="U180" s="21"/>
      <c r="V180" s="21"/>
      <c r="W180" s="20">
        <v>600</v>
      </c>
      <c r="X180" s="15" t="s">
        <v>323</v>
      </c>
      <c r="Y180" s="20">
        <v>4</v>
      </c>
      <c r="Z180" s="15" t="s">
        <v>285</v>
      </c>
      <c r="AA180" s="15" t="s">
        <v>96</v>
      </c>
      <c r="AB180" s="15" t="s">
        <v>325</v>
      </c>
      <c r="AC180" s="20" t="s">
        <v>257</v>
      </c>
      <c r="AD180" s="9" t="str">
        <f>IF(OR(Form_Responses34[[#This Row],[Total_monthly_fuel_expense 
]]&gt;10040,Form_Responses34[[#This Row],[Total_monthly_fuel_expense 
]]&lt;-4760),"Outlier","Normal")</f>
        <v>Normal</v>
      </c>
    </row>
    <row r="181" spans="1:30" x14ac:dyDescent="0.2">
      <c r="A181" s="20">
        <v>31</v>
      </c>
      <c r="B181" s="15" t="s">
        <v>73</v>
      </c>
      <c r="C181" s="12" t="s">
        <v>1889</v>
      </c>
      <c r="D181" s="20">
        <v>6</v>
      </c>
      <c r="E181" s="20">
        <v>2</v>
      </c>
      <c r="F181" s="44" t="s">
        <v>1501</v>
      </c>
      <c r="G181" s="15" t="s">
        <v>47</v>
      </c>
      <c r="J181" s="15" t="s">
        <v>291</v>
      </c>
      <c r="K181" s="20">
        <v>6</v>
      </c>
      <c r="L181" s="20">
        <v>10</v>
      </c>
      <c r="M181" s="20">
        <v>7</v>
      </c>
      <c r="N181" s="21"/>
      <c r="O181" s="21"/>
      <c r="P181" s="21"/>
      <c r="Q181" s="21"/>
      <c r="R181" s="21"/>
      <c r="S181" s="21"/>
      <c r="T181" s="20">
        <v>8</v>
      </c>
      <c r="U181" s="20">
        <v>45</v>
      </c>
      <c r="V181" s="20">
        <v>70</v>
      </c>
      <c r="W181" s="20">
        <v>9000</v>
      </c>
      <c r="X181" s="15" t="s">
        <v>159</v>
      </c>
      <c r="Y181" s="20">
        <v>7</v>
      </c>
      <c r="Z181" s="15" t="s">
        <v>296</v>
      </c>
      <c r="AA181" s="15" t="s">
        <v>362</v>
      </c>
      <c r="AB181" s="15" t="s">
        <v>307</v>
      </c>
      <c r="AC181" s="20" t="s">
        <v>68</v>
      </c>
      <c r="AD181" s="9" t="str">
        <f>IF(OR(Form_Responses34[[#This Row],[Total_monthly_fuel_expense 
]]&gt;10040,Form_Responses34[[#This Row],[Total_monthly_fuel_expense 
]]&lt;-4760),"Outlier","Normal")</f>
        <v>Normal</v>
      </c>
    </row>
    <row r="182" spans="1:30" x14ac:dyDescent="0.2">
      <c r="A182" s="20">
        <v>39</v>
      </c>
      <c r="B182" s="15" t="s">
        <v>42</v>
      </c>
      <c r="C182" s="12" t="s">
        <v>1891</v>
      </c>
      <c r="D182" s="20">
        <v>3</v>
      </c>
      <c r="E182" s="20">
        <v>2</v>
      </c>
      <c r="F182" s="15" t="s">
        <v>269</v>
      </c>
      <c r="H182" s="15" t="s">
        <v>47</v>
      </c>
      <c r="I182" s="15" t="s">
        <v>291</v>
      </c>
      <c r="K182" s="21"/>
      <c r="L182" s="21"/>
      <c r="M182" s="21"/>
      <c r="N182" s="20">
        <v>3</v>
      </c>
      <c r="O182" s="20">
        <v>6</v>
      </c>
      <c r="P182" s="20">
        <v>4</v>
      </c>
      <c r="Q182" s="20">
        <v>5</v>
      </c>
      <c r="R182" s="20">
        <v>20</v>
      </c>
      <c r="S182" s="20">
        <v>28</v>
      </c>
      <c r="T182" s="21"/>
      <c r="U182" s="21"/>
      <c r="V182" s="21"/>
      <c r="W182" s="20">
        <v>5200</v>
      </c>
      <c r="X182" s="15" t="s">
        <v>252</v>
      </c>
      <c r="Y182" s="20">
        <v>9</v>
      </c>
      <c r="Z182" s="15" t="s">
        <v>255</v>
      </c>
      <c r="AA182" s="15" t="s">
        <v>85</v>
      </c>
      <c r="AB182" s="15" t="s">
        <v>335</v>
      </c>
      <c r="AC182" s="20" t="s">
        <v>257</v>
      </c>
      <c r="AD182" s="9" t="str">
        <f>IF(OR(Form_Responses34[[#This Row],[Total_monthly_fuel_expense 
]]&gt;10040,Form_Responses34[[#This Row],[Total_monthly_fuel_expense 
]]&lt;-4760),"Outlier","Normal")</f>
        <v>Normal</v>
      </c>
    </row>
    <row r="183" spans="1:30" x14ac:dyDescent="0.2">
      <c r="A183" s="20">
        <v>26</v>
      </c>
      <c r="B183" s="15" t="s">
        <v>73</v>
      </c>
      <c r="C183" s="12" t="s">
        <v>1890</v>
      </c>
      <c r="D183" s="20">
        <v>4</v>
      </c>
      <c r="E183" s="20">
        <v>1</v>
      </c>
      <c r="F183" s="15" t="s">
        <v>46</v>
      </c>
      <c r="G183" s="15" t="s">
        <v>47</v>
      </c>
      <c r="K183" s="20">
        <v>4</v>
      </c>
      <c r="L183" s="20">
        <v>26</v>
      </c>
      <c r="M183" s="20">
        <v>15</v>
      </c>
      <c r="N183" s="21"/>
      <c r="O183" s="21"/>
      <c r="P183" s="21"/>
      <c r="Q183" s="21"/>
      <c r="R183" s="21"/>
      <c r="S183" s="21"/>
      <c r="T183" s="21"/>
      <c r="U183" s="21"/>
      <c r="V183" s="21"/>
      <c r="W183" s="20">
        <v>1800</v>
      </c>
      <c r="X183" s="15" t="s">
        <v>360</v>
      </c>
      <c r="Y183" s="20">
        <v>11</v>
      </c>
      <c r="Z183" s="15" t="s">
        <v>255</v>
      </c>
      <c r="AA183" s="15" t="s">
        <v>277</v>
      </c>
      <c r="AB183" s="15" t="s">
        <v>256</v>
      </c>
      <c r="AC183" s="20" t="s">
        <v>152</v>
      </c>
      <c r="AD183" s="9" t="str">
        <f>IF(OR(Form_Responses34[[#This Row],[Total_monthly_fuel_expense 
]]&gt;10040,Form_Responses34[[#This Row],[Total_monthly_fuel_expense 
]]&lt;-4760),"Outlier","Normal")</f>
        <v>Normal</v>
      </c>
    </row>
    <row r="184" spans="1:30" x14ac:dyDescent="0.2">
      <c r="A184" s="20">
        <v>42</v>
      </c>
      <c r="B184" s="15" t="s">
        <v>73</v>
      </c>
      <c r="C184" s="12" t="s">
        <v>1888</v>
      </c>
      <c r="D184" s="20">
        <v>6</v>
      </c>
      <c r="E184" s="20">
        <v>3</v>
      </c>
      <c r="F184" s="15" t="s">
        <v>309</v>
      </c>
      <c r="G184" s="15" t="s">
        <v>47</v>
      </c>
      <c r="I184" s="15" t="s">
        <v>47</v>
      </c>
      <c r="J184" s="15" t="s">
        <v>291</v>
      </c>
      <c r="K184" s="20">
        <v>7</v>
      </c>
      <c r="L184" s="20">
        <v>16</v>
      </c>
      <c r="M184" s="20">
        <v>9</v>
      </c>
      <c r="N184" s="21"/>
      <c r="O184" s="21"/>
      <c r="P184" s="21"/>
      <c r="Q184" s="20">
        <v>2</v>
      </c>
      <c r="R184" s="20">
        <v>30</v>
      </c>
      <c r="S184" s="20">
        <v>32</v>
      </c>
      <c r="T184" s="20">
        <v>9</v>
      </c>
      <c r="U184" s="20">
        <v>50</v>
      </c>
      <c r="V184" s="20">
        <v>80</v>
      </c>
      <c r="W184" s="20">
        <v>14000</v>
      </c>
      <c r="X184" s="15" t="s">
        <v>276</v>
      </c>
      <c r="Y184" s="20">
        <v>12</v>
      </c>
      <c r="Z184" s="15" t="s">
        <v>559</v>
      </c>
      <c r="AA184" s="15" t="s">
        <v>362</v>
      </c>
      <c r="AB184" s="15" t="s">
        <v>307</v>
      </c>
      <c r="AC184" s="20" t="s">
        <v>257</v>
      </c>
      <c r="AD184" s="9" t="str">
        <f>IF(OR(Form_Responses34[[#This Row],[Total_monthly_fuel_expense 
]]&gt;10040,Form_Responses34[[#This Row],[Total_monthly_fuel_expense 
]]&lt;-4760),"Outlier","Normal")</f>
        <v>Outlier</v>
      </c>
    </row>
    <row r="185" spans="1:30" x14ac:dyDescent="0.2">
      <c r="A185" s="20">
        <v>18</v>
      </c>
      <c r="B185" s="15" t="s">
        <v>42</v>
      </c>
      <c r="C185" s="12" t="s">
        <v>182</v>
      </c>
      <c r="D185" s="20">
        <v>3</v>
      </c>
      <c r="E185" s="20">
        <v>1</v>
      </c>
      <c r="F185" s="15" t="s">
        <v>100</v>
      </c>
      <c r="H185" s="15" t="s">
        <v>47</v>
      </c>
      <c r="K185" s="21"/>
      <c r="L185" s="21"/>
      <c r="M185" s="21"/>
      <c r="N185" s="20">
        <v>1</v>
      </c>
      <c r="O185" s="20">
        <v>8</v>
      </c>
      <c r="P185" s="20">
        <v>4</v>
      </c>
      <c r="Q185" s="21"/>
      <c r="R185" s="21"/>
      <c r="S185" s="21"/>
      <c r="T185" s="21"/>
      <c r="U185" s="21"/>
      <c r="V185" s="21"/>
      <c r="W185" s="20">
        <v>500</v>
      </c>
      <c r="X185" s="15" t="s">
        <v>252</v>
      </c>
      <c r="Y185" s="20">
        <v>3</v>
      </c>
      <c r="Z185" s="15" t="s">
        <v>285</v>
      </c>
      <c r="AA185" s="15" t="s">
        <v>96</v>
      </c>
      <c r="AB185" s="15" t="s">
        <v>335</v>
      </c>
      <c r="AC185" s="20" t="s">
        <v>152</v>
      </c>
      <c r="AD185" s="9" t="str">
        <f>IF(OR(Form_Responses34[[#This Row],[Total_monthly_fuel_expense 
]]&gt;10040,Form_Responses34[[#This Row],[Total_monthly_fuel_expense 
]]&lt;-4760),"Outlier","Normal")</f>
        <v>Normal</v>
      </c>
    </row>
    <row r="186" spans="1:30" x14ac:dyDescent="0.2">
      <c r="A186" s="20">
        <v>30</v>
      </c>
      <c r="B186" s="15" t="s">
        <v>73</v>
      </c>
      <c r="C186" s="12" t="s">
        <v>182</v>
      </c>
      <c r="D186" s="20">
        <v>5</v>
      </c>
      <c r="E186" s="20">
        <v>1</v>
      </c>
      <c r="F186" s="15" t="s">
        <v>46</v>
      </c>
      <c r="G186" s="15" t="s">
        <v>47</v>
      </c>
      <c r="K186" s="20">
        <v>10</v>
      </c>
      <c r="L186" s="20">
        <v>12</v>
      </c>
      <c r="M186" s="20">
        <v>7</v>
      </c>
      <c r="N186" s="21"/>
      <c r="O186" s="21"/>
      <c r="P186" s="21"/>
      <c r="Q186" s="21"/>
      <c r="R186" s="21"/>
      <c r="S186" s="21"/>
      <c r="T186" s="21"/>
      <c r="U186" s="21"/>
      <c r="V186" s="21"/>
      <c r="W186" s="20">
        <v>850</v>
      </c>
      <c r="X186" s="15" t="s">
        <v>159</v>
      </c>
      <c r="Y186" s="20">
        <v>5</v>
      </c>
      <c r="Z186" s="15" t="s">
        <v>724</v>
      </c>
      <c r="AA186" s="15" t="s">
        <v>277</v>
      </c>
      <c r="AB186" s="15" t="s">
        <v>256</v>
      </c>
      <c r="AC186" s="20" t="s">
        <v>68</v>
      </c>
      <c r="AD186" s="9" t="str">
        <f>IF(OR(Form_Responses34[[#This Row],[Total_monthly_fuel_expense 
]]&gt;10040,Form_Responses34[[#This Row],[Total_monthly_fuel_expense 
]]&lt;-4760),"Outlier","Normal")</f>
        <v>Normal</v>
      </c>
    </row>
    <row r="187" spans="1:30" x14ac:dyDescent="0.2">
      <c r="A187" s="20">
        <v>21</v>
      </c>
      <c r="B187" s="15" t="s">
        <v>42</v>
      </c>
      <c r="C187" s="12" t="s">
        <v>182</v>
      </c>
      <c r="D187" s="20">
        <v>4</v>
      </c>
      <c r="E187" s="20">
        <v>1</v>
      </c>
      <c r="F187" s="15" t="s">
        <v>100</v>
      </c>
      <c r="H187" s="15" t="s">
        <v>47</v>
      </c>
      <c r="K187" s="21"/>
      <c r="L187" s="21"/>
      <c r="M187" s="21"/>
      <c r="N187" s="20">
        <v>3</v>
      </c>
      <c r="O187" s="20">
        <v>15</v>
      </c>
      <c r="P187" s="20">
        <v>4</v>
      </c>
      <c r="Q187" s="21"/>
      <c r="R187" s="21"/>
      <c r="S187" s="21"/>
      <c r="T187" s="21"/>
      <c r="U187" s="21"/>
      <c r="V187" s="21"/>
      <c r="W187" s="20">
        <v>450</v>
      </c>
      <c r="X187" s="15" t="s">
        <v>252</v>
      </c>
      <c r="Y187" s="20">
        <v>15</v>
      </c>
      <c r="Z187" s="15" t="s">
        <v>285</v>
      </c>
      <c r="AA187" s="15" t="s">
        <v>54</v>
      </c>
      <c r="AB187" s="15" t="s">
        <v>256</v>
      </c>
      <c r="AC187" s="20" t="s">
        <v>68</v>
      </c>
      <c r="AD187" s="9" t="str">
        <f>IF(OR(Form_Responses34[[#This Row],[Total_monthly_fuel_expense 
]]&gt;10040,Form_Responses34[[#This Row],[Total_monthly_fuel_expense 
]]&lt;-4760),"Outlier","Normal")</f>
        <v>Normal</v>
      </c>
    </row>
    <row r="188" spans="1:30" x14ac:dyDescent="0.2">
      <c r="A188" s="20">
        <v>25</v>
      </c>
      <c r="B188" s="15" t="s">
        <v>42</v>
      </c>
      <c r="C188" s="12" t="s">
        <v>1888</v>
      </c>
      <c r="D188" s="20">
        <v>4</v>
      </c>
      <c r="E188" s="20">
        <v>1</v>
      </c>
      <c r="F188" s="15" t="s">
        <v>100</v>
      </c>
      <c r="H188" s="15" t="s">
        <v>47</v>
      </c>
      <c r="K188" s="21"/>
      <c r="L188" s="21"/>
      <c r="M188" s="21"/>
      <c r="N188" s="20">
        <v>3</v>
      </c>
      <c r="O188" s="20">
        <v>12</v>
      </c>
      <c r="P188" s="20">
        <v>6</v>
      </c>
      <c r="Q188" s="21"/>
      <c r="R188" s="21"/>
      <c r="S188" s="21"/>
      <c r="T188" s="21"/>
      <c r="U188" s="21"/>
      <c r="V188" s="21"/>
      <c r="W188" s="20">
        <v>750</v>
      </c>
      <c r="X188" s="15" t="s">
        <v>323</v>
      </c>
      <c r="Y188" s="20">
        <v>6</v>
      </c>
      <c r="Z188" s="15" t="s">
        <v>255</v>
      </c>
      <c r="AA188" s="15" t="s">
        <v>85</v>
      </c>
      <c r="AB188" s="15" t="s">
        <v>335</v>
      </c>
      <c r="AC188" s="20" t="s">
        <v>152</v>
      </c>
      <c r="AD188" s="9" t="str">
        <f>IF(OR(Form_Responses34[[#This Row],[Total_monthly_fuel_expense 
]]&gt;10040,Form_Responses34[[#This Row],[Total_monthly_fuel_expense 
]]&lt;-4760),"Outlier","Normal")</f>
        <v>Normal</v>
      </c>
    </row>
    <row r="189" spans="1:30" x14ac:dyDescent="0.2">
      <c r="A189" s="20">
        <v>33</v>
      </c>
      <c r="B189" s="15" t="s">
        <v>73</v>
      </c>
      <c r="C189" s="12" t="s">
        <v>1889</v>
      </c>
      <c r="D189" s="20">
        <v>6</v>
      </c>
      <c r="E189" s="20">
        <v>2</v>
      </c>
      <c r="F189" s="15" t="s">
        <v>290</v>
      </c>
      <c r="G189" s="15" t="s">
        <v>47</v>
      </c>
      <c r="J189" s="15" t="s">
        <v>291</v>
      </c>
      <c r="K189" s="20">
        <v>5</v>
      </c>
      <c r="L189" s="20">
        <v>14</v>
      </c>
      <c r="M189" s="20">
        <v>9</v>
      </c>
      <c r="N189" s="21"/>
      <c r="O189" s="21"/>
      <c r="P189" s="21"/>
      <c r="Q189" s="21"/>
      <c r="R189" s="21"/>
      <c r="S189" s="21"/>
      <c r="T189" s="20">
        <v>11</v>
      </c>
      <c r="U189" s="20">
        <v>40</v>
      </c>
      <c r="V189" s="20">
        <v>62</v>
      </c>
      <c r="W189" s="20">
        <v>8200</v>
      </c>
      <c r="X189" s="15" t="s">
        <v>159</v>
      </c>
      <c r="Y189" s="20">
        <v>9</v>
      </c>
      <c r="Z189" s="15" t="s">
        <v>296</v>
      </c>
      <c r="AA189" s="15" t="s">
        <v>362</v>
      </c>
      <c r="AB189" s="15" t="s">
        <v>307</v>
      </c>
      <c r="AC189" s="20" t="s">
        <v>68</v>
      </c>
      <c r="AD189" s="9" t="str">
        <f>IF(OR(Form_Responses34[[#This Row],[Total_monthly_fuel_expense 
]]&gt;10040,Form_Responses34[[#This Row],[Total_monthly_fuel_expense 
]]&lt;-4760),"Outlier","Normal")</f>
        <v>Normal</v>
      </c>
    </row>
    <row r="190" spans="1:30" x14ac:dyDescent="0.2">
      <c r="A190" s="20">
        <v>21</v>
      </c>
      <c r="B190" s="15" t="s">
        <v>42</v>
      </c>
      <c r="C190" s="12" t="s">
        <v>182</v>
      </c>
      <c r="D190" s="20">
        <v>6</v>
      </c>
      <c r="E190" s="20">
        <v>1</v>
      </c>
      <c r="F190" s="15" t="s">
        <v>46</v>
      </c>
      <c r="G190" s="15" t="s">
        <v>47</v>
      </c>
      <c r="K190" s="20">
        <v>5</v>
      </c>
      <c r="L190" s="20">
        <v>7</v>
      </c>
      <c r="M190" s="20">
        <v>5</v>
      </c>
      <c r="N190" s="21"/>
      <c r="O190" s="21"/>
      <c r="P190" s="21"/>
      <c r="Q190" s="21"/>
      <c r="R190" s="21"/>
      <c r="S190" s="21"/>
      <c r="T190" s="21"/>
      <c r="U190" s="21"/>
      <c r="V190" s="21"/>
      <c r="W190" s="20">
        <v>1500</v>
      </c>
      <c r="X190" s="15" t="s">
        <v>252</v>
      </c>
      <c r="Y190" s="20">
        <v>7</v>
      </c>
      <c r="Z190" s="15" t="s">
        <v>285</v>
      </c>
      <c r="AA190" s="15" t="s">
        <v>85</v>
      </c>
      <c r="AB190" s="15" t="s">
        <v>256</v>
      </c>
      <c r="AC190" s="20" t="s">
        <v>68</v>
      </c>
      <c r="AD190" s="9" t="str">
        <f>IF(OR(Form_Responses34[[#This Row],[Total_monthly_fuel_expense 
]]&gt;10040,Form_Responses34[[#This Row],[Total_monthly_fuel_expense 
]]&lt;-4760),"Outlier","Normal")</f>
        <v>Normal</v>
      </c>
    </row>
    <row r="191" spans="1:30" x14ac:dyDescent="0.2">
      <c r="A191" s="20">
        <v>21</v>
      </c>
      <c r="B191" s="15" t="s">
        <v>73</v>
      </c>
      <c r="C191" s="12" t="s">
        <v>182</v>
      </c>
      <c r="D191" s="20">
        <v>4</v>
      </c>
      <c r="E191" s="20">
        <v>2</v>
      </c>
      <c r="F191" s="15" t="s">
        <v>61</v>
      </c>
      <c r="G191" s="15" t="s">
        <v>47</v>
      </c>
      <c r="H191" s="15" t="s">
        <v>47</v>
      </c>
      <c r="K191" s="20">
        <v>3</v>
      </c>
      <c r="L191" s="20">
        <v>40</v>
      </c>
      <c r="M191" s="20">
        <v>20</v>
      </c>
      <c r="N191" s="20">
        <v>5</v>
      </c>
      <c r="O191" s="20">
        <v>30</v>
      </c>
      <c r="P191" s="20">
        <v>11</v>
      </c>
      <c r="Q191" s="21"/>
      <c r="R191" s="21"/>
      <c r="S191" s="21"/>
      <c r="T191" s="21"/>
      <c r="U191" s="21"/>
      <c r="V191" s="21"/>
      <c r="W191" s="20">
        <v>3000</v>
      </c>
      <c r="X191" s="15" t="s">
        <v>252</v>
      </c>
      <c r="Y191" s="20">
        <v>7</v>
      </c>
      <c r="Z191" s="15" t="s">
        <v>285</v>
      </c>
      <c r="AA191" s="15" t="s">
        <v>277</v>
      </c>
      <c r="AB191" s="15" t="s">
        <v>256</v>
      </c>
      <c r="AC191" s="20" t="s">
        <v>257</v>
      </c>
      <c r="AD191" s="9" t="str">
        <f>IF(OR(Form_Responses34[[#This Row],[Total_monthly_fuel_expense 
]]&gt;10040,Form_Responses34[[#This Row],[Total_monthly_fuel_expense 
]]&lt;-4760),"Outlier","Normal")</f>
        <v>Normal</v>
      </c>
    </row>
    <row r="192" spans="1:30" x14ac:dyDescent="0.2">
      <c r="A192" s="20">
        <v>24</v>
      </c>
      <c r="B192" s="15" t="s">
        <v>42</v>
      </c>
      <c r="C192" s="12" t="s">
        <v>1888</v>
      </c>
      <c r="D192" s="20">
        <v>5</v>
      </c>
      <c r="E192" s="20">
        <v>3</v>
      </c>
      <c r="F192" s="15" t="s">
        <v>100</v>
      </c>
      <c r="H192" s="15" t="s">
        <v>47</v>
      </c>
      <c r="K192" s="21"/>
      <c r="L192" s="21"/>
      <c r="M192" s="21"/>
      <c r="N192" s="20">
        <v>1</v>
      </c>
      <c r="O192" s="20">
        <v>10</v>
      </c>
      <c r="P192" s="20">
        <v>10</v>
      </c>
      <c r="Q192" s="21"/>
      <c r="R192" s="21"/>
      <c r="S192" s="21"/>
      <c r="T192" s="21"/>
      <c r="U192" s="21"/>
      <c r="V192" s="21"/>
      <c r="W192" s="20">
        <v>500</v>
      </c>
      <c r="X192" s="15" t="s">
        <v>252</v>
      </c>
      <c r="Y192" s="20">
        <v>1</v>
      </c>
      <c r="Z192" s="15" t="s">
        <v>285</v>
      </c>
      <c r="AA192" s="15" t="s">
        <v>85</v>
      </c>
      <c r="AB192" s="15" t="s">
        <v>256</v>
      </c>
      <c r="AC192" s="20" t="s">
        <v>152</v>
      </c>
      <c r="AD192" s="9" t="str">
        <f>IF(OR(Form_Responses34[[#This Row],[Total_monthly_fuel_expense 
]]&gt;10040,Form_Responses34[[#This Row],[Total_monthly_fuel_expense 
]]&lt;-4760),"Outlier","Normal")</f>
        <v>Normal</v>
      </c>
    </row>
    <row r="193" spans="1:30" x14ac:dyDescent="0.2">
      <c r="A193" s="20">
        <v>25</v>
      </c>
      <c r="B193" s="15" t="s">
        <v>42</v>
      </c>
      <c r="C193" s="12" t="s">
        <v>182</v>
      </c>
      <c r="D193" s="20">
        <v>4</v>
      </c>
      <c r="E193" s="20">
        <v>2</v>
      </c>
      <c r="F193" s="15" t="s">
        <v>46</v>
      </c>
      <c r="G193" s="15" t="s">
        <v>47</v>
      </c>
      <c r="K193" s="20">
        <v>20</v>
      </c>
      <c r="L193" s="20">
        <v>20</v>
      </c>
      <c r="M193" s="20">
        <v>20</v>
      </c>
      <c r="N193" s="21"/>
      <c r="O193" s="21"/>
      <c r="P193" s="21"/>
      <c r="Q193" s="21"/>
      <c r="R193" s="21"/>
      <c r="S193" s="21"/>
      <c r="T193" s="21"/>
      <c r="U193" s="21"/>
      <c r="V193" s="21"/>
      <c r="W193" s="20">
        <v>20000</v>
      </c>
      <c r="X193" s="15" t="s">
        <v>252</v>
      </c>
      <c r="Y193" s="20">
        <v>10</v>
      </c>
      <c r="Z193" s="15" t="s">
        <v>285</v>
      </c>
      <c r="AA193" s="15" t="s">
        <v>54</v>
      </c>
      <c r="AB193" s="15" t="s">
        <v>265</v>
      </c>
      <c r="AC193" s="20" t="s">
        <v>152</v>
      </c>
      <c r="AD193" s="9" t="str">
        <f>IF(OR(Form_Responses34[[#This Row],[Total_monthly_fuel_expense 
]]&gt;10040,Form_Responses34[[#This Row],[Total_monthly_fuel_expense 
]]&lt;-4760),"Outlier","Normal")</f>
        <v>Outlier</v>
      </c>
    </row>
    <row r="194" spans="1:30" x14ac:dyDescent="0.2">
      <c r="A194" s="20">
        <v>21</v>
      </c>
      <c r="B194" s="15" t="s">
        <v>42</v>
      </c>
      <c r="C194" s="12" t="s">
        <v>182</v>
      </c>
      <c r="D194" s="20">
        <v>4</v>
      </c>
      <c r="E194" s="20">
        <v>2</v>
      </c>
      <c r="F194" s="15" t="s">
        <v>431</v>
      </c>
      <c r="I194" s="15" t="s">
        <v>291</v>
      </c>
      <c r="K194" s="21"/>
      <c r="L194" s="21"/>
      <c r="M194" s="21"/>
      <c r="N194" s="21"/>
      <c r="O194" s="21"/>
      <c r="P194" s="21"/>
      <c r="Q194" s="20">
        <v>5</v>
      </c>
      <c r="R194" s="21">
        <v>24</v>
      </c>
      <c r="S194" s="21">
        <v>24</v>
      </c>
      <c r="T194" s="21"/>
      <c r="U194" s="20"/>
      <c r="V194" s="20"/>
      <c r="W194" s="21">
        <v>850</v>
      </c>
      <c r="X194" s="15" t="s">
        <v>252</v>
      </c>
      <c r="Y194" s="20">
        <v>1</v>
      </c>
      <c r="Z194" s="15" t="s">
        <v>255</v>
      </c>
      <c r="AA194" s="15" t="s">
        <v>54</v>
      </c>
      <c r="AB194" s="15" t="s">
        <v>256</v>
      </c>
      <c r="AC194" s="20" t="s">
        <v>68</v>
      </c>
      <c r="AD194" s="9" t="str">
        <f>IF(OR(Form_Responses34[[#This Row],[Total_monthly_fuel_expense 
]]&gt;10040,Form_Responses34[[#This Row],[Total_monthly_fuel_expense 
]]&lt;-4760),"Outlier","Normal")</f>
        <v>Normal</v>
      </c>
    </row>
    <row r="195" spans="1:30" x14ac:dyDescent="0.2">
      <c r="A195" s="20">
        <v>25</v>
      </c>
      <c r="B195" s="15" t="s">
        <v>42</v>
      </c>
      <c r="C195" s="12" t="s">
        <v>1888</v>
      </c>
      <c r="D195" s="20">
        <v>5</v>
      </c>
      <c r="E195" s="20">
        <v>2</v>
      </c>
      <c r="F195" s="15" t="s">
        <v>100</v>
      </c>
      <c r="H195" s="15" t="s">
        <v>47</v>
      </c>
      <c r="K195" s="21"/>
      <c r="L195" s="21"/>
      <c r="M195" s="21"/>
      <c r="N195" s="20">
        <v>3</v>
      </c>
      <c r="O195" s="20">
        <v>10</v>
      </c>
      <c r="P195" s="20">
        <v>20</v>
      </c>
      <c r="Q195" s="21"/>
      <c r="R195" s="21"/>
      <c r="S195" s="21"/>
      <c r="T195" s="21"/>
      <c r="U195" s="21"/>
      <c r="V195" s="21"/>
      <c r="W195" s="21">
        <v>1000</v>
      </c>
      <c r="X195" s="15" t="s">
        <v>159</v>
      </c>
      <c r="Y195" s="20">
        <v>10</v>
      </c>
      <c r="Z195" s="15" t="s">
        <v>285</v>
      </c>
      <c r="AA195" s="15" t="s">
        <v>362</v>
      </c>
      <c r="AB195" s="15" t="s">
        <v>307</v>
      </c>
      <c r="AC195" s="20" t="s">
        <v>257</v>
      </c>
      <c r="AD195" s="9" t="str">
        <f>IF(OR(Form_Responses34[[#This Row],[Total_monthly_fuel_expense 
]]&gt;10040,Form_Responses34[[#This Row],[Total_monthly_fuel_expense 
]]&lt;-4760),"Outlier","Normal")</f>
        <v>Normal</v>
      </c>
    </row>
    <row r="196" spans="1:30" x14ac:dyDescent="0.2">
      <c r="A196" s="20">
        <v>35</v>
      </c>
      <c r="B196" s="15" t="s">
        <v>42</v>
      </c>
      <c r="C196" s="12" t="s">
        <v>155</v>
      </c>
      <c r="D196" s="20">
        <v>4</v>
      </c>
      <c r="E196" s="20">
        <v>2</v>
      </c>
      <c r="F196" s="15" t="s">
        <v>61</v>
      </c>
      <c r="G196" s="15" t="s">
        <v>47</v>
      </c>
      <c r="H196" s="15" t="s">
        <v>47</v>
      </c>
      <c r="K196" s="22">
        <v>6</v>
      </c>
      <c r="L196" s="20">
        <v>120</v>
      </c>
      <c r="M196" s="20">
        <v>90</v>
      </c>
      <c r="N196" s="20">
        <v>11</v>
      </c>
      <c r="O196" s="20">
        <v>1</v>
      </c>
      <c r="P196" s="20">
        <v>15</v>
      </c>
      <c r="Q196" s="21"/>
      <c r="R196" s="21"/>
      <c r="S196" s="21"/>
      <c r="T196" s="21"/>
      <c r="U196" s="21"/>
      <c r="V196" s="21"/>
      <c r="W196" s="20">
        <v>10000</v>
      </c>
      <c r="X196" s="15" t="s">
        <v>323</v>
      </c>
      <c r="Y196" s="23">
        <v>6</v>
      </c>
      <c r="Z196" s="15" t="s">
        <v>255</v>
      </c>
      <c r="AA196" s="15" t="s">
        <v>362</v>
      </c>
      <c r="AB196" s="15" t="s">
        <v>307</v>
      </c>
      <c r="AC196" s="20" t="s">
        <v>257</v>
      </c>
      <c r="AD196" s="9" t="str">
        <f>IF(OR(Form_Responses34[[#This Row],[Total_monthly_fuel_expense 
]]&gt;10040,Form_Responses34[[#This Row],[Total_monthly_fuel_expense 
]]&lt;-4760),"Outlier","Normal")</f>
        <v>Normal</v>
      </c>
    </row>
    <row r="197" spans="1:30" x14ac:dyDescent="0.2">
      <c r="A197" s="20">
        <v>21</v>
      </c>
      <c r="B197" s="15" t="s">
        <v>42</v>
      </c>
      <c r="C197" s="12" t="s">
        <v>182</v>
      </c>
      <c r="D197" s="20">
        <v>4</v>
      </c>
      <c r="E197" s="20">
        <v>1</v>
      </c>
      <c r="F197" s="15" t="s">
        <v>46</v>
      </c>
      <c r="G197" s="15" t="s">
        <v>47</v>
      </c>
      <c r="K197" s="20">
        <v>3</v>
      </c>
      <c r="L197" s="20">
        <v>10</v>
      </c>
      <c r="M197" s="20">
        <v>10</v>
      </c>
      <c r="N197" s="21"/>
      <c r="O197" s="21"/>
      <c r="P197" s="21"/>
      <c r="Q197" s="21"/>
      <c r="R197" s="21"/>
      <c r="S197" s="21"/>
      <c r="T197" s="21"/>
      <c r="U197" s="21"/>
      <c r="V197" s="21"/>
      <c r="W197" s="20">
        <v>1000</v>
      </c>
      <c r="X197" s="15" t="s">
        <v>252</v>
      </c>
      <c r="Y197" s="20">
        <v>10</v>
      </c>
      <c r="Z197" s="15" t="s">
        <v>296</v>
      </c>
      <c r="AA197" s="15" t="s">
        <v>54</v>
      </c>
      <c r="AB197" s="15" t="s">
        <v>256</v>
      </c>
      <c r="AC197" s="20" t="s">
        <v>68</v>
      </c>
      <c r="AD197" s="9" t="str">
        <f>IF(OR(Form_Responses34[[#This Row],[Total_monthly_fuel_expense 
]]&gt;10040,Form_Responses34[[#This Row],[Total_monthly_fuel_expense 
]]&lt;-4760),"Outlier","Normal")</f>
        <v>Normal</v>
      </c>
    </row>
    <row r="198" spans="1:30" x14ac:dyDescent="0.2">
      <c r="A198" s="20">
        <v>21</v>
      </c>
      <c r="B198" s="15" t="s">
        <v>73</v>
      </c>
      <c r="C198" s="12" t="s">
        <v>182</v>
      </c>
      <c r="D198" s="20">
        <v>5</v>
      </c>
      <c r="E198" s="20">
        <v>2</v>
      </c>
      <c r="F198" s="15" t="s">
        <v>61</v>
      </c>
      <c r="G198" s="15" t="s">
        <v>47</v>
      </c>
      <c r="H198" s="15" t="s">
        <v>47</v>
      </c>
      <c r="K198" s="20">
        <v>11</v>
      </c>
      <c r="L198" s="20">
        <v>15</v>
      </c>
      <c r="M198" s="20">
        <v>30</v>
      </c>
      <c r="N198" s="20">
        <v>5</v>
      </c>
      <c r="O198" s="20">
        <v>5</v>
      </c>
      <c r="P198" s="20">
        <v>19</v>
      </c>
      <c r="Q198" s="21"/>
      <c r="R198" s="21"/>
      <c r="S198" s="21"/>
      <c r="T198" s="21"/>
      <c r="U198" s="21"/>
      <c r="V198" s="21"/>
      <c r="W198" s="20">
        <v>5500</v>
      </c>
      <c r="X198" s="15" t="s">
        <v>252</v>
      </c>
      <c r="Y198" s="20">
        <v>15</v>
      </c>
      <c r="Z198" s="15" t="s">
        <v>296</v>
      </c>
      <c r="AA198" s="15" t="s">
        <v>96</v>
      </c>
      <c r="AB198" s="15" t="s">
        <v>256</v>
      </c>
      <c r="AC198" s="20" t="s">
        <v>68</v>
      </c>
      <c r="AD198" s="9" t="str">
        <f>IF(OR(Form_Responses34[[#This Row],[Total_monthly_fuel_expense 
]]&gt;10040,Form_Responses34[[#This Row],[Total_monthly_fuel_expense 
]]&lt;-4760),"Outlier","Normal")</f>
        <v>Normal</v>
      </c>
    </row>
    <row r="199" spans="1:30" x14ac:dyDescent="0.2">
      <c r="A199" s="20">
        <v>21</v>
      </c>
      <c r="B199" s="15" t="s">
        <v>42</v>
      </c>
      <c r="C199" s="12" t="s">
        <v>182</v>
      </c>
      <c r="D199" s="20">
        <v>3</v>
      </c>
      <c r="E199" s="20">
        <v>1</v>
      </c>
      <c r="F199" s="15" t="s">
        <v>100</v>
      </c>
      <c r="H199" s="15" t="s">
        <v>47</v>
      </c>
      <c r="K199" s="21"/>
      <c r="L199" s="21"/>
      <c r="M199" s="21"/>
      <c r="N199" s="20">
        <v>10</v>
      </c>
      <c r="O199" s="20">
        <v>8</v>
      </c>
      <c r="P199" s="20">
        <v>4</v>
      </c>
      <c r="Q199" s="21"/>
      <c r="R199" s="21"/>
      <c r="S199" s="21"/>
      <c r="T199" s="21"/>
      <c r="U199" s="21"/>
      <c r="V199" s="21"/>
      <c r="W199" s="20">
        <v>400</v>
      </c>
      <c r="X199" s="15" t="s">
        <v>159</v>
      </c>
      <c r="Y199" s="20">
        <v>4</v>
      </c>
      <c r="Z199" s="15" t="s">
        <v>306</v>
      </c>
      <c r="AA199" s="15" t="s">
        <v>85</v>
      </c>
      <c r="AB199" s="15" t="s">
        <v>256</v>
      </c>
      <c r="AC199" s="20" t="s">
        <v>152</v>
      </c>
      <c r="AD199" s="9" t="str">
        <f>IF(OR(Form_Responses34[[#This Row],[Total_monthly_fuel_expense 
]]&gt;10040,Form_Responses34[[#This Row],[Total_monthly_fuel_expense 
]]&lt;-4760),"Outlier","Normal")</f>
        <v>Normal</v>
      </c>
    </row>
    <row r="200" spans="1:30" x14ac:dyDescent="0.2">
      <c r="A200" s="20">
        <v>21</v>
      </c>
      <c r="B200" s="15" t="s">
        <v>42</v>
      </c>
      <c r="C200" s="12" t="s">
        <v>182</v>
      </c>
      <c r="D200" s="20">
        <v>3</v>
      </c>
      <c r="E200" s="20">
        <v>3</v>
      </c>
      <c r="F200" s="15" t="s">
        <v>390</v>
      </c>
      <c r="G200" s="15" t="s">
        <v>47</v>
      </c>
      <c r="H200" s="15" t="s">
        <v>47</v>
      </c>
      <c r="I200" s="15" t="s">
        <v>291</v>
      </c>
      <c r="K200" s="20">
        <v>10</v>
      </c>
      <c r="L200" s="20">
        <v>4</v>
      </c>
      <c r="M200" s="20">
        <v>30</v>
      </c>
      <c r="N200" s="20">
        <v>4</v>
      </c>
      <c r="O200" s="20">
        <v>25</v>
      </c>
      <c r="P200" s="20">
        <v>15</v>
      </c>
      <c r="Q200" s="20">
        <v>8</v>
      </c>
      <c r="R200" s="20">
        <v>15</v>
      </c>
      <c r="S200" s="20">
        <v>45</v>
      </c>
      <c r="T200" s="21"/>
      <c r="U200" s="21"/>
      <c r="V200" s="21"/>
      <c r="W200" s="20">
        <v>7000</v>
      </c>
      <c r="X200" s="15" t="s">
        <v>252</v>
      </c>
      <c r="Y200" s="20">
        <v>22</v>
      </c>
      <c r="Z200" s="15" t="s">
        <v>285</v>
      </c>
      <c r="AA200" s="15" t="s">
        <v>54</v>
      </c>
      <c r="AB200" s="15" t="s">
        <v>256</v>
      </c>
      <c r="AC200" s="20" t="s">
        <v>68</v>
      </c>
      <c r="AD200" s="9" t="str">
        <f>IF(OR(Form_Responses34[[#This Row],[Total_monthly_fuel_expense 
]]&gt;10040,Form_Responses34[[#This Row],[Total_monthly_fuel_expense 
]]&lt;-4760),"Outlier","Normal")</f>
        <v>Normal</v>
      </c>
    </row>
    <row r="201" spans="1:30" x14ac:dyDescent="0.2">
      <c r="A201" s="20">
        <v>21</v>
      </c>
      <c r="B201" s="15" t="s">
        <v>42</v>
      </c>
      <c r="C201" s="12" t="s">
        <v>182</v>
      </c>
      <c r="D201" s="20">
        <v>6</v>
      </c>
      <c r="E201" s="20">
        <v>1</v>
      </c>
      <c r="F201" s="15" t="s">
        <v>46</v>
      </c>
      <c r="G201" s="15" t="s">
        <v>47</v>
      </c>
      <c r="K201" s="21">
        <v>6</v>
      </c>
      <c r="L201" s="21">
        <v>12</v>
      </c>
      <c r="M201" s="21">
        <v>8</v>
      </c>
      <c r="N201" s="21"/>
      <c r="O201" s="21"/>
      <c r="P201" s="21"/>
      <c r="Q201" s="21"/>
      <c r="R201" s="21"/>
      <c r="S201" s="21"/>
      <c r="T201" s="21"/>
      <c r="U201" s="21"/>
      <c r="V201" s="21"/>
      <c r="W201" s="21">
        <v>850</v>
      </c>
      <c r="X201" s="15" t="s">
        <v>252</v>
      </c>
      <c r="Y201" s="21">
        <v>6</v>
      </c>
      <c r="Z201" s="44" t="s">
        <v>51</v>
      </c>
      <c r="AA201" s="45" t="s">
        <v>96</v>
      </c>
      <c r="AB201" s="15" t="s">
        <v>256</v>
      </c>
      <c r="AC201" s="20" t="s">
        <v>152</v>
      </c>
      <c r="AD201" s="9" t="str">
        <f>IF(OR(Form_Responses34[[#This Row],[Total_monthly_fuel_expense 
]]&gt;10040,Form_Responses34[[#This Row],[Total_monthly_fuel_expense 
]]&lt;-4760),"Outlier","Normal")</f>
        <v>Normal</v>
      </c>
    </row>
    <row r="202" spans="1:30" x14ac:dyDescent="0.2">
      <c r="A202" s="20">
        <v>22</v>
      </c>
      <c r="B202" s="15" t="s">
        <v>73</v>
      </c>
      <c r="C202" s="12" t="s">
        <v>182</v>
      </c>
      <c r="D202" s="20">
        <v>4</v>
      </c>
      <c r="E202" s="20">
        <v>3</v>
      </c>
      <c r="F202" s="15" t="s">
        <v>390</v>
      </c>
      <c r="G202" s="15" t="s">
        <v>47</v>
      </c>
      <c r="H202" s="15" t="s">
        <v>47</v>
      </c>
      <c r="I202" s="15" t="s">
        <v>47</v>
      </c>
      <c r="K202" s="20">
        <v>1</v>
      </c>
      <c r="L202" s="20">
        <v>50</v>
      </c>
      <c r="M202" s="20">
        <v>30</v>
      </c>
      <c r="N202" s="20">
        <v>1</v>
      </c>
      <c r="O202" s="20">
        <v>50</v>
      </c>
      <c r="P202" s="20">
        <v>30</v>
      </c>
      <c r="Q202" s="20">
        <v>6</v>
      </c>
      <c r="R202" s="20">
        <v>10</v>
      </c>
      <c r="S202" s="20">
        <v>15</v>
      </c>
      <c r="T202" s="20"/>
      <c r="U202" s="20"/>
      <c r="V202" s="20"/>
      <c r="W202" s="20">
        <v>7500</v>
      </c>
      <c r="X202" s="15" t="s">
        <v>159</v>
      </c>
      <c r="Y202" s="20">
        <v>15</v>
      </c>
      <c r="Z202" s="15" t="s">
        <v>255</v>
      </c>
      <c r="AA202" s="15" t="s">
        <v>54</v>
      </c>
      <c r="AB202" s="15" t="s">
        <v>265</v>
      </c>
      <c r="AC202" s="20" t="s">
        <v>152</v>
      </c>
      <c r="AD202" s="9" t="str">
        <f>IF(OR(Form_Responses34[[#This Row],[Total_monthly_fuel_expense 
]]&gt;10040,Form_Responses34[[#This Row],[Total_monthly_fuel_expense 
]]&lt;-4760),"Outlier","Normal")</f>
        <v>Normal</v>
      </c>
    </row>
    <row r="203" spans="1:30" x14ac:dyDescent="0.2">
      <c r="A203" s="20">
        <v>21</v>
      </c>
      <c r="B203" s="15" t="s">
        <v>73</v>
      </c>
      <c r="C203" s="12" t="s">
        <v>1890</v>
      </c>
      <c r="D203" s="20">
        <v>5</v>
      </c>
      <c r="E203" s="20">
        <v>1</v>
      </c>
      <c r="F203" s="15" t="s">
        <v>100</v>
      </c>
      <c r="G203" s="15"/>
      <c r="H203" s="45" t="s">
        <v>47</v>
      </c>
      <c r="K203" s="20"/>
      <c r="L203" s="20"/>
      <c r="M203" s="20"/>
      <c r="N203" s="20">
        <v>4</v>
      </c>
      <c r="O203" s="20">
        <v>12</v>
      </c>
      <c r="P203" s="20">
        <v>12</v>
      </c>
      <c r="Q203" s="21"/>
      <c r="R203" s="21"/>
      <c r="S203" s="21"/>
      <c r="T203" s="21"/>
      <c r="U203" s="21"/>
      <c r="V203" s="21"/>
      <c r="W203" s="21">
        <v>750</v>
      </c>
      <c r="X203" s="15" t="s">
        <v>252</v>
      </c>
      <c r="Y203" s="21">
        <v>6</v>
      </c>
      <c r="Z203" s="44" t="s">
        <v>51</v>
      </c>
      <c r="AA203" s="45" t="s">
        <v>362</v>
      </c>
      <c r="AB203" s="15" t="s">
        <v>307</v>
      </c>
      <c r="AC203" s="21" t="s">
        <v>152</v>
      </c>
      <c r="AD203" s="9" t="str">
        <f>IF(OR(Form_Responses34[[#This Row],[Total_monthly_fuel_expense 
]]&gt;10040,Form_Responses34[[#This Row],[Total_monthly_fuel_expense 
]]&lt;-4760),"Outlier","Normal")</f>
        <v>Normal</v>
      </c>
    </row>
    <row r="204" spans="1:30" x14ac:dyDescent="0.2">
      <c r="A204" s="20">
        <v>25</v>
      </c>
      <c r="B204" s="15" t="s">
        <v>42</v>
      </c>
      <c r="C204" s="12" t="s">
        <v>1888</v>
      </c>
      <c r="D204" s="20">
        <v>5</v>
      </c>
      <c r="E204" s="20">
        <v>1</v>
      </c>
      <c r="F204" s="15" t="s">
        <v>46</v>
      </c>
      <c r="G204" s="15" t="s">
        <v>47</v>
      </c>
      <c r="K204" s="20">
        <v>9</v>
      </c>
      <c r="L204" s="20">
        <v>14</v>
      </c>
      <c r="M204" s="20">
        <v>15</v>
      </c>
      <c r="N204" s="21"/>
      <c r="O204" s="21"/>
      <c r="P204" s="21"/>
      <c r="Q204" s="21"/>
      <c r="R204" s="21"/>
      <c r="S204" s="21"/>
      <c r="T204" s="21"/>
      <c r="U204" s="21"/>
      <c r="V204" s="21"/>
      <c r="W204" s="20">
        <v>2000</v>
      </c>
      <c r="X204" s="15" t="s">
        <v>159</v>
      </c>
      <c r="Y204" s="20">
        <v>5</v>
      </c>
      <c r="Z204" s="15" t="s">
        <v>724</v>
      </c>
      <c r="AA204" s="15" t="s">
        <v>85</v>
      </c>
      <c r="AB204" s="15" t="s">
        <v>1037</v>
      </c>
      <c r="AC204" s="20" t="s">
        <v>152</v>
      </c>
      <c r="AD204" s="9" t="str">
        <f>IF(OR(Form_Responses34[[#This Row],[Total_monthly_fuel_expense 
]]&gt;10040,Form_Responses34[[#This Row],[Total_monthly_fuel_expense 
]]&lt;-4760),"Outlier","Normal")</f>
        <v>Normal</v>
      </c>
    </row>
    <row r="205" spans="1:30" x14ac:dyDescent="0.2">
      <c r="A205" s="20">
        <v>36</v>
      </c>
      <c r="B205" s="15" t="s">
        <v>42</v>
      </c>
      <c r="C205" s="12" t="s">
        <v>1888</v>
      </c>
      <c r="D205" s="20">
        <v>4</v>
      </c>
      <c r="E205" s="20">
        <v>2</v>
      </c>
      <c r="F205" s="15" t="s">
        <v>61</v>
      </c>
      <c r="G205" s="15" t="s">
        <v>47</v>
      </c>
      <c r="H205" s="15" t="s">
        <v>47</v>
      </c>
      <c r="I205" s="15"/>
      <c r="J205" s="15"/>
      <c r="K205" s="20">
        <v>5</v>
      </c>
      <c r="L205" s="20">
        <v>12</v>
      </c>
      <c r="M205" s="20">
        <v>30</v>
      </c>
      <c r="N205" s="20">
        <v>3</v>
      </c>
      <c r="O205" s="20">
        <v>10</v>
      </c>
      <c r="P205" s="20">
        <v>15</v>
      </c>
      <c r="Q205" s="21"/>
      <c r="R205" s="21"/>
      <c r="S205" s="21"/>
      <c r="T205" s="21"/>
      <c r="U205" s="21"/>
      <c r="V205" s="21"/>
      <c r="W205" s="20">
        <v>4000</v>
      </c>
      <c r="X205" s="15" t="s">
        <v>252</v>
      </c>
      <c r="Y205" s="20">
        <v>3</v>
      </c>
      <c r="Z205" s="15" t="s">
        <v>344</v>
      </c>
      <c r="AA205" s="15" t="s">
        <v>362</v>
      </c>
      <c r="AB205" s="15" t="s">
        <v>307</v>
      </c>
      <c r="AC205" s="20" t="s">
        <v>152</v>
      </c>
      <c r="AD205" s="9" t="str">
        <f>IF(OR(Form_Responses34[[#This Row],[Total_monthly_fuel_expense 
]]&gt;10040,Form_Responses34[[#This Row],[Total_monthly_fuel_expense 
]]&lt;-4760),"Outlier","Normal")</f>
        <v>Normal</v>
      </c>
    </row>
    <row r="206" spans="1:30" x14ac:dyDescent="0.2">
      <c r="A206" s="20">
        <v>39</v>
      </c>
      <c r="B206" s="15" t="s">
        <v>73</v>
      </c>
      <c r="C206" s="12" t="s">
        <v>1891</v>
      </c>
      <c r="D206" s="20">
        <v>5</v>
      </c>
      <c r="E206" s="20">
        <v>2</v>
      </c>
      <c r="F206" s="15" t="s">
        <v>61</v>
      </c>
      <c r="G206" s="15" t="s">
        <v>47</v>
      </c>
      <c r="H206" s="15" t="s">
        <v>47</v>
      </c>
      <c r="K206" s="20">
        <v>38</v>
      </c>
      <c r="L206" s="20">
        <v>5</v>
      </c>
      <c r="M206" s="20">
        <v>5</v>
      </c>
      <c r="N206" s="20">
        <v>14</v>
      </c>
      <c r="O206" s="20">
        <v>1</v>
      </c>
      <c r="P206" s="20">
        <v>2</v>
      </c>
      <c r="Q206" s="21"/>
      <c r="R206" s="21"/>
      <c r="S206" s="21"/>
      <c r="T206" s="21"/>
      <c r="U206" s="21"/>
      <c r="V206" s="21"/>
      <c r="W206" s="21">
        <v>1000</v>
      </c>
      <c r="X206" s="15" t="s">
        <v>252</v>
      </c>
      <c r="Y206" s="20">
        <v>2</v>
      </c>
      <c r="Z206" s="15" t="s">
        <v>285</v>
      </c>
      <c r="AA206" s="15" t="s">
        <v>96</v>
      </c>
      <c r="AB206" s="15" t="s">
        <v>256</v>
      </c>
      <c r="AC206" s="20" t="s">
        <v>68</v>
      </c>
      <c r="AD206" s="9" t="str">
        <f>IF(OR(Form_Responses34[[#This Row],[Total_monthly_fuel_expense 
]]&gt;10040,Form_Responses34[[#This Row],[Total_monthly_fuel_expense 
]]&lt;-4760),"Outlier","Normal")</f>
        <v>Normal</v>
      </c>
    </row>
    <row r="207" spans="1:30" x14ac:dyDescent="0.2">
      <c r="A207" s="20">
        <v>21</v>
      </c>
      <c r="B207" s="15" t="s">
        <v>42</v>
      </c>
      <c r="C207" s="12" t="s">
        <v>1889</v>
      </c>
      <c r="D207" s="20">
        <v>4</v>
      </c>
      <c r="E207" s="20">
        <v>2</v>
      </c>
      <c r="F207" s="15" t="s">
        <v>61</v>
      </c>
      <c r="G207" s="15" t="s">
        <v>47</v>
      </c>
      <c r="H207" s="15" t="s">
        <v>47</v>
      </c>
      <c r="K207" s="20">
        <v>20</v>
      </c>
      <c r="L207" s="20">
        <v>1</v>
      </c>
      <c r="M207" s="20">
        <v>5</v>
      </c>
      <c r="N207" s="20">
        <v>25</v>
      </c>
      <c r="O207" s="20">
        <v>5</v>
      </c>
      <c r="P207" s="20">
        <v>10</v>
      </c>
      <c r="Q207" s="21"/>
      <c r="R207" s="21"/>
      <c r="S207" s="21"/>
      <c r="T207" s="21"/>
      <c r="U207" s="21"/>
      <c r="V207" s="21"/>
      <c r="W207" s="21">
        <v>1000</v>
      </c>
      <c r="X207" s="15" t="s">
        <v>252</v>
      </c>
      <c r="Y207" s="20">
        <v>1</v>
      </c>
      <c r="Z207" s="15" t="s">
        <v>306</v>
      </c>
      <c r="AA207" s="15" t="s">
        <v>96</v>
      </c>
      <c r="AB207" s="15" t="s">
        <v>265</v>
      </c>
      <c r="AC207" s="20" t="s">
        <v>68</v>
      </c>
      <c r="AD207" s="9" t="str">
        <f>IF(OR(Form_Responses34[[#This Row],[Total_monthly_fuel_expense 
]]&gt;10040,Form_Responses34[[#This Row],[Total_monthly_fuel_expense 
]]&lt;-4760),"Outlier","Normal")</f>
        <v>Normal</v>
      </c>
    </row>
    <row r="208" spans="1:30" x14ac:dyDescent="0.2">
      <c r="A208" s="20">
        <v>20</v>
      </c>
      <c r="B208" s="15" t="s">
        <v>42</v>
      </c>
      <c r="C208" s="12" t="s">
        <v>1889</v>
      </c>
      <c r="D208" s="20">
        <v>5</v>
      </c>
      <c r="E208" s="20">
        <v>1</v>
      </c>
      <c r="F208" s="15" t="s">
        <v>46</v>
      </c>
      <c r="G208" s="15" t="s">
        <v>47</v>
      </c>
      <c r="K208" s="20">
        <v>35</v>
      </c>
      <c r="L208" s="20">
        <v>20</v>
      </c>
      <c r="M208" s="20">
        <v>10</v>
      </c>
      <c r="N208" s="21"/>
      <c r="O208" s="21"/>
      <c r="P208" s="21"/>
      <c r="Q208" s="21"/>
      <c r="R208" s="21"/>
      <c r="S208" s="21"/>
      <c r="T208" s="21"/>
      <c r="U208" s="21"/>
      <c r="V208" s="21"/>
      <c r="W208" s="21">
        <v>1000</v>
      </c>
      <c r="X208" s="15" t="s">
        <v>252</v>
      </c>
      <c r="Y208" s="20">
        <v>7</v>
      </c>
      <c r="Z208" s="15" t="s">
        <v>724</v>
      </c>
      <c r="AA208" s="15" t="s">
        <v>362</v>
      </c>
      <c r="AB208" s="15" t="s">
        <v>307</v>
      </c>
      <c r="AC208" s="20" t="s">
        <v>68</v>
      </c>
      <c r="AD208" s="9" t="str">
        <f>IF(OR(Form_Responses34[[#This Row],[Total_monthly_fuel_expense 
]]&gt;10040,Form_Responses34[[#This Row],[Total_monthly_fuel_expense 
]]&lt;-4760),"Outlier","Normal")</f>
        <v>Normal</v>
      </c>
    </row>
    <row r="209" spans="1:30" x14ac:dyDescent="0.2">
      <c r="A209" s="20">
        <v>20</v>
      </c>
      <c r="B209" s="15" t="s">
        <v>42</v>
      </c>
      <c r="C209" s="12" t="s">
        <v>1888</v>
      </c>
      <c r="D209" s="20">
        <v>10</v>
      </c>
      <c r="E209" s="20">
        <v>3</v>
      </c>
      <c r="F209" s="15" t="s">
        <v>61</v>
      </c>
      <c r="G209" s="15" t="s">
        <v>47</v>
      </c>
      <c r="H209" s="45" t="s">
        <v>47</v>
      </c>
      <c r="K209" s="20">
        <v>25</v>
      </c>
      <c r="L209" s="20">
        <v>50</v>
      </c>
      <c r="M209" s="21">
        <v>8</v>
      </c>
      <c r="N209" s="21">
        <v>3</v>
      </c>
      <c r="O209" s="21">
        <v>8</v>
      </c>
      <c r="P209" s="21">
        <v>6</v>
      </c>
      <c r="Q209" s="21"/>
      <c r="R209" s="21"/>
      <c r="S209" s="21"/>
      <c r="T209" s="21"/>
      <c r="U209" s="21"/>
      <c r="V209" s="21"/>
      <c r="W209" s="21">
        <v>1500</v>
      </c>
      <c r="X209" s="15" t="s">
        <v>252</v>
      </c>
      <c r="Y209" s="20">
        <v>35</v>
      </c>
      <c r="Z209" s="44" t="s">
        <v>51</v>
      </c>
      <c r="AA209" s="45" t="s">
        <v>96</v>
      </c>
      <c r="AB209" s="15" t="s">
        <v>410</v>
      </c>
      <c r="AC209" s="20" t="s">
        <v>68</v>
      </c>
      <c r="AD209" s="9" t="str">
        <f>IF(OR(Form_Responses34[[#This Row],[Total_monthly_fuel_expense 
]]&gt;10040,Form_Responses34[[#This Row],[Total_monthly_fuel_expense 
]]&lt;-4760),"Outlier","Normal")</f>
        <v>Normal</v>
      </c>
    </row>
    <row r="210" spans="1:30" x14ac:dyDescent="0.2">
      <c r="A210" s="20">
        <v>21</v>
      </c>
      <c r="B210" s="15" t="s">
        <v>42</v>
      </c>
      <c r="C210" s="12" t="s">
        <v>182</v>
      </c>
      <c r="D210" s="20">
        <v>5</v>
      </c>
      <c r="E210" s="20">
        <v>2</v>
      </c>
      <c r="F210" s="15" t="s">
        <v>46</v>
      </c>
      <c r="G210" s="15" t="s">
        <v>47</v>
      </c>
      <c r="K210" s="20">
        <v>5</v>
      </c>
      <c r="L210" s="20">
        <v>25</v>
      </c>
      <c r="M210" s="20">
        <v>53</v>
      </c>
      <c r="N210" s="20"/>
      <c r="O210" s="20"/>
      <c r="P210" s="20"/>
      <c r="Q210" s="21"/>
      <c r="R210" s="21"/>
      <c r="S210" s="21"/>
      <c r="T210" s="21"/>
      <c r="U210" s="21"/>
      <c r="V210" s="21"/>
      <c r="W210" s="20">
        <v>5000</v>
      </c>
      <c r="X210" s="15" t="s">
        <v>857</v>
      </c>
      <c r="Y210" s="21">
        <v>6</v>
      </c>
      <c r="Z210" s="15" t="s">
        <v>724</v>
      </c>
      <c r="AA210" s="15" t="s">
        <v>362</v>
      </c>
      <c r="AB210" s="15" t="s">
        <v>307</v>
      </c>
      <c r="AC210" s="20" t="s">
        <v>257</v>
      </c>
      <c r="AD210" s="9" t="str">
        <f>IF(OR(Form_Responses34[[#This Row],[Total_monthly_fuel_expense 
]]&gt;10040,Form_Responses34[[#This Row],[Total_monthly_fuel_expense 
]]&lt;-4760),"Outlier","Normal")</f>
        <v>Normal</v>
      </c>
    </row>
    <row r="211" spans="1:30" x14ac:dyDescent="0.2">
      <c r="A211" s="20">
        <v>21</v>
      </c>
      <c r="B211" s="15" t="s">
        <v>42</v>
      </c>
      <c r="C211" s="12" t="s">
        <v>182</v>
      </c>
      <c r="D211" s="20">
        <v>4</v>
      </c>
      <c r="E211" s="20">
        <v>1</v>
      </c>
      <c r="F211" s="15" t="s">
        <v>46</v>
      </c>
      <c r="G211" s="15" t="s">
        <v>47</v>
      </c>
      <c r="K211" s="20">
        <v>4</v>
      </c>
      <c r="L211" s="20">
        <v>10</v>
      </c>
      <c r="M211" s="20">
        <v>10</v>
      </c>
      <c r="N211" s="21"/>
      <c r="O211" s="21"/>
      <c r="P211" s="21"/>
      <c r="Q211" s="21"/>
      <c r="R211" s="21"/>
      <c r="S211" s="21"/>
      <c r="T211" s="21"/>
      <c r="U211" s="21"/>
      <c r="V211" s="21"/>
      <c r="W211" s="20">
        <v>1000</v>
      </c>
      <c r="X211" s="15" t="s">
        <v>252</v>
      </c>
      <c r="Y211" s="20">
        <v>10</v>
      </c>
      <c r="Z211" s="15" t="s">
        <v>724</v>
      </c>
      <c r="AA211" s="15" t="s">
        <v>54</v>
      </c>
      <c r="AB211" s="15" t="s">
        <v>256</v>
      </c>
      <c r="AC211" s="20" t="s">
        <v>152</v>
      </c>
      <c r="AD211" s="9" t="str">
        <f>IF(OR(Form_Responses34[[#This Row],[Total_monthly_fuel_expense 
]]&gt;10040,Form_Responses34[[#This Row],[Total_monthly_fuel_expense 
]]&lt;-4760),"Outlier","Normal")</f>
        <v>Normal</v>
      </c>
    </row>
    <row r="212" spans="1:30" x14ac:dyDescent="0.2">
      <c r="A212" s="20">
        <v>21</v>
      </c>
      <c r="B212" s="15" t="s">
        <v>42</v>
      </c>
      <c r="C212" s="12" t="s">
        <v>182</v>
      </c>
      <c r="D212" s="20">
        <v>4</v>
      </c>
      <c r="E212" s="20">
        <v>2</v>
      </c>
      <c r="F212" s="15" t="s">
        <v>46</v>
      </c>
      <c r="G212" s="15" t="s">
        <v>47</v>
      </c>
      <c r="K212" s="20">
        <v>3</v>
      </c>
      <c r="L212" s="20">
        <v>15</v>
      </c>
      <c r="M212" s="20">
        <v>30</v>
      </c>
      <c r="N212" s="21"/>
      <c r="O212" s="21"/>
      <c r="P212" s="21"/>
      <c r="Q212" s="21"/>
      <c r="R212" s="21"/>
      <c r="S212" s="21"/>
      <c r="T212" s="21"/>
      <c r="U212" s="21"/>
      <c r="V212" s="21"/>
      <c r="W212" s="21">
        <v>1000</v>
      </c>
      <c r="X212" s="15" t="s">
        <v>252</v>
      </c>
      <c r="Y212" s="21">
        <v>6</v>
      </c>
      <c r="Z212" s="44" t="s">
        <v>51</v>
      </c>
      <c r="AA212" s="45" t="s">
        <v>362</v>
      </c>
      <c r="AB212" s="15" t="s">
        <v>307</v>
      </c>
      <c r="AC212" s="21" t="s">
        <v>68</v>
      </c>
      <c r="AD212" s="9" t="str">
        <f>IF(OR(Form_Responses34[[#This Row],[Total_monthly_fuel_expense 
]]&gt;10040,Form_Responses34[[#This Row],[Total_monthly_fuel_expense 
]]&lt;-4760),"Outlier","Normal")</f>
        <v>Normal</v>
      </c>
    </row>
    <row r="213" spans="1:30" x14ac:dyDescent="0.2">
      <c r="A213" s="20">
        <v>22</v>
      </c>
      <c r="B213" s="15" t="s">
        <v>42</v>
      </c>
      <c r="C213" s="12" t="s">
        <v>182</v>
      </c>
      <c r="D213" s="20">
        <v>6</v>
      </c>
      <c r="E213" s="20">
        <v>2</v>
      </c>
      <c r="F213" s="15" t="s">
        <v>61</v>
      </c>
      <c r="G213" s="15" t="s">
        <v>47</v>
      </c>
      <c r="H213" s="15" t="s">
        <v>47</v>
      </c>
      <c r="K213" s="20">
        <v>1</v>
      </c>
      <c r="L213" s="20">
        <v>22</v>
      </c>
      <c r="M213" s="20">
        <v>30</v>
      </c>
      <c r="N213" s="20">
        <v>1</v>
      </c>
      <c r="O213" s="20">
        <v>22</v>
      </c>
      <c r="P213" s="20">
        <v>30</v>
      </c>
      <c r="Q213" s="21"/>
      <c r="R213" s="21"/>
      <c r="S213" s="21"/>
      <c r="T213" s="21"/>
      <c r="U213" s="21"/>
      <c r="V213" s="21"/>
      <c r="W213" s="21">
        <v>1500</v>
      </c>
      <c r="X213" s="15" t="s">
        <v>252</v>
      </c>
      <c r="Y213" s="21">
        <v>6</v>
      </c>
      <c r="Z213" s="44" t="s">
        <v>51</v>
      </c>
      <c r="AA213" s="45" t="s">
        <v>362</v>
      </c>
      <c r="AB213" s="15" t="s">
        <v>307</v>
      </c>
      <c r="AC213" s="21" t="s">
        <v>68</v>
      </c>
      <c r="AD213" s="9" t="str">
        <f>IF(OR(Form_Responses34[[#This Row],[Total_monthly_fuel_expense 
]]&gt;10040,Form_Responses34[[#This Row],[Total_monthly_fuel_expense 
]]&lt;-4760),"Outlier","Normal")</f>
        <v>Normal</v>
      </c>
    </row>
    <row r="214" spans="1:30" x14ac:dyDescent="0.2">
      <c r="A214" s="20">
        <v>22</v>
      </c>
      <c r="B214" s="15" t="s">
        <v>42</v>
      </c>
      <c r="C214" s="12" t="s">
        <v>182</v>
      </c>
      <c r="D214" s="20">
        <v>4</v>
      </c>
      <c r="E214" s="20">
        <v>2</v>
      </c>
      <c r="F214" s="15" t="s">
        <v>46</v>
      </c>
      <c r="G214" s="15" t="s">
        <v>47</v>
      </c>
      <c r="H214" s="15"/>
      <c r="K214" s="20">
        <v>15</v>
      </c>
      <c r="L214" s="20">
        <v>18</v>
      </c>
      <c r="M214" s="20">
        <v>30</v>
      </c>
      <c r="N214" s="20"/>
      <c r="O214" s="20"/>
      <c r="P214" s="20"/>
      <c r="Q214" s="20"/>
      <c r="R214" s="20"/>
      <c r="S214" s="20"/>
      <c r="T214" s="21"/>
      <c r="U214" s="21"/>
      <c r="V214" s="21"/>
      <c r="W214" s="21">
        <v>550</v>
      </c>
      <c r="X214" s="15" t="s">
        <v>252</v>
      </c>
      <c r="Y214" s="21">
        <v>6</v>
      </c>
      <c r="Z214" s="44" t="s">
        <v>51</v>
      </c>
      <c r="AA214" s="45" t="s">
        <v>362</v>
      </c>
      <c r="AB214" s="15" t="s">
        <v>307</v>
      </c>
      <c r="AC214" s="21" t="s">
        <v>68</v>
      </c>
      <c r="AD214" s="9" t="str">
        <f>IF(OR(Form_Responses34[[#This Row],[Total_monthly_fuel_expense 
]]&gt;10040,Form_Responses34[[#This Row],[Total_monthly_fuel_expense 
]]&lt;-4760),"Outlier","Normal")</f>
        <v>Normal</v>
      </c>
    </row>
    <row r="215" spans="1:30" x14ac:dyDescent="0.2">
      <c r="A215" s="20">
        <v>21</v>
      </c>
      <c r="B215" s="15" t="s">
        <v>73</v>
      </c>
      <c r="C215" s="12" t="s">
        <v>182</v>
      </c>
      <c r="D215" s="20">
        <v>6</v>
      </c>
      <c r="E215" s="20">
        <v>1</v>
      </c>
      <c r="F215" s="15" t="s">
        <v>46</v>
      </c>
      <c r="G215" s="15" t="s">
        <v>47</v>
      </c>
      <c r="K215" s="20">
        <v>30</v>
      </c>
      <c r="L215" s="20">
        <v>18</v>
      </c>
      <c r="M215" s="20">
        <v>20</v>
      </c>
      <c r="N215" s="20"/>
      <c r="O215" s="20"/>
      <c r="P215" s="20"/>
      <c r="Q215" s="21"/>
      <c r="R215" s="21"/>
      <c r="S215" s="21"/>
      <c r="T215" s="21"/>
      <c r="U215" s="21"/>
      <c r="V215" s="21"/>
      <c r="W215" s="21">
        <v>1000</v>
      </c>
      <c r="X215" s="15" t="s">
        <v>252</v>
      </c>
      <c r="Y215" s="21">
        <v>6</v>
      </c>
      <c r="Z215" s="44" t="s">
        <v>51</v>
      </c>
      <c r="AA215" s="45" t="s">
        <v>362</v>
      </c>
      <c r="AB215" s="15" t="s">
        <v>307</v>
      </c>
      <c r="AC215" s="21" t="s">
        <v>68</v>
      </c>
      <c r="AD215" s="9" t="str">
        <f>IF(OR(Form_Responses34[[#This Row],[Total_monthly_fuel_expense 
]]&gt;10040,Form_Responses34[[#This Row],[Total_monthly_fuel_expense 
]]&lt;-4760),"Outlier","Normal")</f>
        <v>Normal</v>
      </c>
    </row>
    <row r="216" spans="1:30" x14ac:dyDescent="0.2">
      <c r="A216" s="20">
        <v>21</v>
      </c>
      <c r="B216" s="15" t="s">
        <v>42</v>
      </c>
      <c r="C216" s="12" t="s">
        <v>1889</v>
      </c>
      <c r="D216" s="20">
        <v>4</v>
      </c>
      <c r="E216" s="20">
        <v>2</v>
      </c>
      <c r="F216" s="15" t="s">
        <v>431</v>
      </c>
      <c r="I216" s="15" t="s">
        <v>291</v>
      </c>
      <c r="K216" s="21"/>
      <c r="L216" s="20"/>
      <c r="M216" s="21"/>
      <c r="N216" s="21"/>
      <c r="O216" s="21"/>
      <c r="P216" s="21"/>
      <c r="Q216" s="20">
        <v>5</v>
      </c>
      <c r="R216" s="20">
        <v>10</v>
      </c>
      <c r="S216" s="20">
        <v>5</v>
      </c>
      <c r="T216" s="21"/>
      <c r="U216" s="21"/>
      <c r="V216" s="21"/>
      <c r="W216" s="21">
        <v>950</v>
      </c>
      <c r="X216" s="15" t="s">
        <v>252</v>
      </c>
      <c r="Y216" s="20">
        <v>5</v>
      </c>
      <c r="Z216" s="15" t="s">
        <v>559</v>
      </c>
      <c r="AA216" s="15" t="s">
        <v>54</v>
      </c>
      <c r="AB216" s="15" t="s">
        <v>1063</v>
      </c>
      <c r="AC216" s="20" t="s">
        <v>68</v>
      </c>
      <c r="AD216" s="9" t="str">
        <f>IF(OR(Form_Responses34[[#This Row],[Total_monthly_fuel_expense 
]]&gt;10040,Form_Responses34[[#This Row],[Total_monthly_fuel_expense 
]]&lt;-4760),"Outlier","Normal")</f>
        <v>Normal</v>
      </c>
    </row>
    <row r="217" spans="1:30" x14ac:dyDescent="0.2">
      <c r="A217" s="20">
        <v>21</v>
      </c>
      <c r="B217" s="15" t="s">
        <v>42</v>
      </c>
      <c r="C217" s="12" t="s">
        <v>1888</v>
      </c>
      <c r="D217" s="20">
        <v>4</v>
      </c>
      <c r="E217" s="20">
        <v>1</v>
      </c>
      <c r="F217" s="15" t="s">
        <v>46</v>
      </c>
      <c r="G217" s="15" t="s">
        <v>47</v>
      </c>
      <c r="H217" s="15"/>
      <c r="I217" s="15"/>
      <c r="K217" s="21">
        <v>6</v>
      </c>
      <c r="L217" s="21">
        <v>12</v>
      </c>
      <c r="M217" s="21">
        <v>8</v>
      </c>
      <c r="N217" s="21"/>
      <c r="O217" s="21"/>
      <c r="P217" s="21"/>
      <c r="Q217" s="21"/>
      <c r="R217" s="21"/>
      <c r="S217" s="21"/>
      <c r="T217" s="21"/>
      <c r="U217" s="21"/>
      <c r="V217" s="21"/>
      <c r="W217" s="21">
        <v>550</v>
      </c>
      <c r="X217" s="15" t="s">
        <v>159</v>
      </c>
      <c r="Y217" s="20">
        <v>40</v>
      </c>
      <c r="Z217" s="15" t="s">
        <v>724</v>
      </c>
      <c r="AA217" s="15" t="s">
        <v>54</v>
      </c>
      <c r="AB217" s="15" t="s">
        <v>256</v>
      </c>
      <c r="AC217" s="20" t="s">
        <v>257</v>
      </c>
      <c r="AD217" s="9" t="str">
        <f>IF(OR(Form_Responses34[[#This Row],[Total_monthly_fuel_expense 
]]&gt;10040,Form_Responses34[[#This Row],[Total_monthly_fuel_expense 
]]&lt;-4760),"Outlier","Normal")</f>
        <v>Normal</v>
      </c>
    </row>
    <row r="218" spans="1:30" x14ac:dyDescent="0.2">
      <c r="A218" s="20">
        <v>28</v>
      </c>
      <c r="B218" s="15" t="s">
        <v>73</v>
      </c>
      <c r="C218" s="12" t="s">
        <v>1889</v>
      </c>
      <c r="D218" s="20">
        <v>4</v>
      </c>
      <c r="E218" s="20">
        <v>2</v>
      </c>
      <c r="F218" s="15" t="s">
        <v>246</v>
      </c>
      <c r="G218" s="15" t="s">
        <v>47</v>
      </c>
      <c r="I218" s="15" t="s">
        <v>47</v>
      </c>
      <c r="K218" s="20">
        <v>3</v>
      </c>
      <c r="L218" s="20">
        <v>15</v>
      </c>
      <c r="M218" s="20">
        <v>3.5</v>
      </c>
      <c r="N218" s="21"/>
      <c r="O218" s="21"/>
      <c r="P218" s="21"/>
      <c r="Q218" s="20">
        <v>7</v>
      </c>
      <c r="R218" s="20">
        <v>20</v>
      </c>
      <c r="S218" s="20">
        <v>25</v>
      </c>
      <c r="T218" s="21"/>
      <c r="U218" s="21"/>
      <c r="V218" s="21"/>
      <c r="W218" s="20">
        <v>6000</v>
      </c>
      <c r="X218" s="15" t="s">
        <v>252</v>
      </c>
      <c r="Y218" s="20">
        <v>10</v>
      </c>
      <c r="Z218" s="15" t="s">
        <v>255</v>
      </c>
      <c r="AA218" s="15" t="s">
        <v>85</v>
      </c>
      <c r="AB218" s="15" t="s">
        <v>256</v>
      </c>
      <c r="AC218" s="20" t="s">
        <v>257</v>
      </c>
      <c r="AD218" s="9" t="str">
        <f>IF(OR(Form_Responses34[[#This Row],[Total_monthly_fuel_expense 
]]&gt;10040,Form_Responses34[[#This Row],[Total_monthly_fuel_expense 
]]&lt;-4760),"Outlier","Normal")</f>
        <v>Normal</v>
      </c>
    </row>
    <row r="219" spans="1:30" x14ac:dyDescent="0.2">
      <c r="A219" s="20">
        <v>42</v>
      </c>
      <c r="B219" s="15" t="s">
        <v>42</v>
      </c>
      <c r="C219" s="12" t="s">
        <v>1890</v>
      </c>
      <c r="D219" s="20">
        <v>5</v>
      </c>
      <c r="E219" s="20">
        <v>1</v>
      </c>
      <c r="F219" s="15" t="s">
        <v>100</v>
      </c>
      <c r="H219" s="15" t="s">
        <v>47</v>
      </c>
      <c r="K219" s="21"/>
      <c r="L219" s="21"/>
      <c r="M219" s="21"/>
      <c r="N219" s="20">
        <v>5</v>
      </c>
      <c r="O219" s="20">
        <v>14</v>
      </c>
      <c r="P219" s="20">
        <v>15</v>
      </c>
      <c r="Q219" s="21"/>
      <c r="R219" s="21"/>
      <c r="S219" s="21"/>
      <c r="T219" s="21"/>
      <c r="U219" s="21"/>
      <c r="V219" s="21"/>
      <c r="W219" s="20">
        <v>1800</v>
      </c>
      <c r="X219" s="15" t="s">
        <v>159</v>
      </c>
      <c r="Y219" s="20">
        <v>7</v>
      </c>
      <c r="Z219" s="15" t="s">
        <v>255</v>
      </c>
      <c r="AA219" s="15" t="s">
        <v>362</v>
      </c>
      <c r="AB219" s="15" t="s">
        <v>307</v>
      </c>
      <c r="AC219" s="20" t="s">
        <v>68</v>
      </c>
      <c r="AD219" s="9" t="str">
        <f>IF(OR(Form_Responses34[[#This Row],[Total_monthly_fuel_expense 
]]&gt;10040,Form_Responses34[[#This Row],[Total_monthly_fuel_expense 
]]&lt;-4760),"Outlier","Normal")</f>
        <v>Normal</v>
      </c>
    </row>
    <row r="220" spans="1:30" x14ac:dyDescent="0.2">
      <c r="A220" s="20">
        <v>19</v>
      </c>
      <c r="B220" s="15" t="s">
        <v>73</v>
      </c>
      <c r="C220" s="12" t="s">
        <v>182</v>
      </c>
      <c r="D220" s="20">
        <v>6</v>
      </c>
      <c r="E220" s="20">
        <v>1</v>
      </c>
      <c r="F220" s="15" t="s">
        <v>46</v>
      </c>
      <c r="G220" s="15" t="s">
        <v>47</v>
      </c>
      <c r="K220" s="20">
        <v>6</v>
      </c>
      <c r="L220" s="20">
        <v>8</v>
      </c>
      <c r="M220" s="20">
        <v>4</v>
      </c>
      <c r="N220" s="21"/>
      <c r="O220" s="21"/>
      <c r="P220" s="21"/>
      <c r="Q220" s="21"/>
      <c r="R220" s="21"/>
      <c r="S220" s="21"/>
      <c r="T220" s="21"/>
      <c r="U220" s="21"/>
      <c r="V220" s="21"/>
      <c r="W220" s="20">
        <v>400</v>
      </c>
      <c r="X220" s="15" t="s">
        <v>857</v>
      </c>
      <c r="Y220" s="20">
        <v>4</v>
      </c>
      <c r="Z220" s="15" t="s">
        <v>285</v>
      </c>
      <c r="AA220" s="15" t="s">
        <v>362</v>
      </c>
      <c r="AB220" s="15" t="s">
        <v>307</v>
      </c>
      <c r="AC220" s="20" t="s">
        <v>68</v>
      </c>
      <c r="AD220" s="9" t="str">
        <f>IF(OR(Form_Responses34[[#This Row],[Total_monthly_fuel_expense 
]]&gt;10040,Form_Responses34[[#This Row],[Total_monthly_fuel_expense 
]]&lt;-4760),"Outlier","Normal")</f>
        <v>Normal</v>
      </c>
    </row>
    <row r="221" spans="1:30" x14ac:dyDescent="0.2">
      <c r="A221" s="20">
        <v>33</v>
      </c>
      <c r="B221" s="15" t="s">
        <v>42</v>
      </c>
      <c r="C221" s="12" t="s">
        <v>1889</v>
      </c>
      <c r="D221" s="20">
        <v>5</v>
      </c>
      <c r="E221" s="20">
        <v>3</v>
      </c>
      <c r="F221" s="15" t="s">
        <v>435</v>
      </c>
      <c r="G221" s="15" t="s">
        <v>47</v>
      </c>
      <c r="I221" s="15" t="s">
        <v>47</v>
      </c>
      <c r="K221" s="20">
        <v>2</v>
      </c>
      <c r="L221" s="20">
        <v>12</v>
      </c>
      <c r="M221" s="20">
        <v>3.5</v>
      </c>
      <c r="N221" s="21"/>
      <c r="O221" s="21"/>
      <c r="P221" s="21"/>
      <c r="Q221" s="20">
        <v>4</v>
      </c>
      <c r="R221" s="20">
        <v>25</v>
      </c>
      <c r="S221" s="20">
        <v>30</v>
      </c>
      <c r="T221" s="21"/>
      <c r="U221" s="21"/>
      <c r="V221" s="21"/>
      <c r="W221" s="20">
        <v>4500</v>
      </c>
      <c r="X221" s="15" t="s">
        <v>323</v>
      </c>
      <c r="Y221" s="20">
        <v>12</v>
      </c>
      <c r="Z221" s="15" t="s">
        <v>255</v>
      </c>
      <c r="AA221" s="15" t="s">
        <v>277</v>
      </c>
      <c r="AB221" s="15" t="s">
        <v>256</v>
      </c>
      <c r="AC221" s="20" t="s">
        <v>68</v>
      </c>
      <c r="AD221" s="9" t="str">
        <f>IF(OR(Form_Responses34[[#This Row],[Total_monthly_fuel_expense 
]]&gt;10040,Form_Responses34[[#This Row],[Total_monthly_fuel_expense 
]]&lt;-4760),"Outlier","Normal")</f>
        <v>Normal</v>
      </c>
    </row>
    <row r="222" spans="1:30" x14ac:dyDescent="0.2">
      <c r="A222" s="20">
        <v>28</v>
      </c>
      <c r="B222" s="15" t="s">
        <v>73</v>
      </c>
      <c r="C222" s="12" t="s">
        <v>1889</v>
      </c>
      <c r="D222" s="20">
        <v>4</v>
      </c>
      <c r="E222" s="20">
        <v>2</v>
      </c>
      <c r="F222" s="15" t="s">
        <v>246</v>
      </c>
      <c r="G222" s="15" t="s">
        <v>47</v>
      </c>
      <c r="I222" s="15" t="s">
        <v>291</v>
      </c>
      <c r="K222" s="20">
        <v>5</v>
      </c>
      <c r="L222" s="20">
        <v>18</v>
      </c>
      <c r="M222" s="20">
        <v>10</v>
      </c>
      <c r="N222" s="21"/>
      <c r="O222" s="21"/>
      <c r="P222" s="21"/>
      <c r="Q222" s="20">
        <v>3</v>
      </c>
      <c r="R222" s="20">
        <v>25</v>
      </c>
      <c r="S222" s="20">
        <v>35</v>
      </c>
      <c r="T222" s="21"/>
      <c r="U222" s="21"/>
      <c r="V222" s="21"/>
      <c r="W222" s="20">
        <v>4500</v>
      </c>
      <c r="X222" s="15" t="s">
        <v>252</v>
      </c>
      <c r="Y222" s="20">
        <v>12</v>
      </c>
      <c r="Z222" s="15" t="s">
        <v>296</v>
      </c>
      <c r="AA222" s="15" t="s">
        <v>85</v>
      </c>
      <c r="AB222" s="15" t="s">
        <v>256</v>
      </c>
      <c r="AC222" s="20" t="s">
        <v>257</v>
      </c>
      <c r="AD222" s="9" t="str">
        <f>IF(OR(Form_Responses34[[#This Row],[Total_monthly_fuel_expense 
]]&gt;10040,Form_Responses34[[#This Row],[Total_monthly_fuel_expense 
]]&lt;-4760),"Outlier","Normal")</f>
        <v>Normal</v>
      </c>
    </row>
    <row r="223" spans="1:30" x14ac:dyDescent="0.2">
      <c r="A223" s="20">
        <v>32</v>
      </c>
      <c r="B223" s="15" t="s">
        <v>42</v>
      </c>
      <c r="C223" s="12" t="s">
        <v>1890</v>
      </c>
      <c r="D223" s="20">
        <v>3</v>
      </c>
      <c r="E223" s="20">
        <v>1</v>
      </c>
      <c r="F223" s="15" t="s">
        <v>100</v>
      </c>
      <c r="H223" s="15" t="s">
        <v>47</v>
      </c>
      <c r="K223" s="21"/>
      <c r="L223" s="21"/>
      <c r="M223" s="21"/>
      <c r="N223" s="20">
        <v>2</v>
      </c>
      <c r="O223" s="20">
        <v>14</v>
      </c>
      <c r="P223" s="20">
        <v>8</v>
      </c>
      <c r="Q223" s="21"/>
      <c r="R223" s="21"/>
      <c r="S223" s="21"/>
      <c r="T223" s="21"/>
      <c r="U223" s="21"/>
      <c r="V223" s="21"/>
      <c r="W223" s="20">
        <v>900</v>
      </c>
      <c r="X223" s="15" t="s">
        <v>159</v>
      </c>
      <c r="Y223" s="20">
        <v>7</v>
      </c>
      <c r="Z223" s="15" t="s">
        <v>255</v>
      </c>
      <c r="AA223" s="15" t="s">
        <v>85</v>
      </c>
      <c r="AB223" s="15" t="s">
        <v>256</v>
      </c>
      <c r="AC223" s="20" t="s">
        <v>68</v>
      </c>
      <c r="AD223" s="9" t="str">
        <f>IF(OR(Form_Responses34[[#This Row],[Total_monthly_fuel_expense 
]]&gt;10040,Form_Responses34[[#This Row],[Total_monthly_fuel_expense 
]]&lt;-4760),"Outlier","Normal")</f>
        <v>Normal</v>
      </c>
    </row>
    <row r="224" spans="1:30" x14ac:dyDescent="0.2">
      <c r="A224" s="20">
        <v>35</v>
      </c>
      <c r="B224" s="15" t="s">
        <v>73</v>
      </c>
      <c r="C224" s="12" t="s">
        <v>155</v>
      </c>
      <c r="D224" s="20">
        <v>4</v>
      </c>
      <c r="E224" s="20">
        <v>3</v>
      </c>
      <c r="F224" s="15" t="s">
        <v>309</v>
      </c>
      <c r="G224" s="15" t="s">
        <v>47</v>
      </c>
      <c r="I224" s="15" t="s">
        <v>291</v>
      </c>
      <c r="J224" s="15" t="s">
        <v>291</v>
      </c>
      <c r="K224" s="20">
        <v>6</v>
      </c>
      <c r="L224" s="20">
        <v>12</v>
      </c>
      <c r="M224" s="20">
        <v>7</v>
      </c>
      <c r="N224" s="21"/>
      <c r="O224" s="21"/>
      <c r="P224" s="21"/>
      <c r="Q224" s="20">
        <v>4</v>
      </c>
      <c r="R224" s="20">
        <v>30</v>
      </c>
      <c r="S224" s="20">
        <v>40</v>
      </c>
      <c r="T224" s="20">
        <v>8</v>
      </c>
      <c r="U224" s="20">
        <v>75</v>
      </c>
      <c r="V224" s="20">
        <v>1</v>
      </c>
      <c r="W224" s="20">
        <v>14000</v>
      </c>
      <c r="X224" s="15" t="s">
        <v>159</v>
      </c>
      <c r="Y224" s="21">
        <v>6</v>
      </c>
      <c r="Z224" s="44" t="s">
        <v>51</v>
      </c>
      <c r="AA224" s="45" t="s">
        <v>362</v>
      </c>
      <c r="AB224" s="15" t="s">
        <v>307</v>
      </c>
      <c r="AC224" s="21" t="s">
        <v>257</v>
      </c>
      <c r="AD224" s="9" t="str">
        <f>IF(OR(Form_Responses34[[#This Row],[Total_monthly_fuel_expense 
]]&gt;10040,Form_Responses34[[#This Row],[Total_monthly_fuel_expense 
]]&lt;-4760),"Outlier","Normal")</f>
        <v>Outlier</v>
      </c>
    </row>
    <row r="225" spans="1:30" x14ac:dyDescent="0.2">
      <c r="A225" s="20">
        <v>22</v>
      </c>
      <c r="B225" s="15" t="s">
        <v>42</v>
      </c>
      <c r="C225" s="12" t="s">
        <v>182</v>
      </c>
      <c r="D225" s="20">
        <v>5</v>
      </c>
      <c r="E225" s="20">
        <v>1</v>
      </c>
      <c r="F225" s="15" t="s">
        <v>46</v>
      </c>
      <c r="G225" s="15" t="s">
        <v>47</v>
      </c>
      <c r="K225" s="20">
        <v>3</v>
      </c>
      <c r="L225" s="20">
        <v>10</v>
      </c>
      <c r="M225" s="20">
        <v>7</v>
      </c>
      <c r="N225" s="21"/>
      <c r="O225" s="21"/>
      <c r="P225" s="21"/>
      <c r="Q225" s="21"/>
      <c r="R225" s="21"/>
      <c r="S225" s="21"/>
      <c r="T225" s="21"/>
      <c r="U225" s="21"/>
      <c r="V225" s="21"/>
      <c r="W225" s="20">
        <v>750</v>
      </c>
      <c r="X225" s="15" t="s">
        <v>252</v>
      </c>
      <c r="Y225" s="20">
        <v>5</v>
      </c>
      <c r="Z225" s="15" t="s">
        <v>285</v>
      </c>
      <c r="AA225" s="15" t="s">
        <v>96</v>
      </c>
      <c r="AB225" s="15" t="s">
        <v>335</v>
      </c>
      <c r="AC225" s="20" t="s">
        <v>68</v>
      </c>
      <c r="AD225" s="9" t="str">
        <f>IF(OR(Form_Responses34[[#This Row],[Total_monthly_fuel_expense 
]]&gt;10040,Form_Responses34[[#This Row],[Total_monthly_fuel_expense 
]]&lt;-4760),"Outlier","Normal")</f>
        <v>Normal</v>
      </c>
    </row>
    <row r="226" spans="1:30" x14ac:dyDescent="0.2">
      <c r="A226" s="20">
        <v>46</v>
      </c>
      <c r="B226" s="15" t="s">
        <v>73</v>
      </c>
      <c r="C226" s="12" t="s">
        <v>1890</v>
      </c>
      <c r="D226" s="20">
        <v>6</v>
      </c>
      <c r="E226" s="20">
        <v>2</v>
      </c>
      <c r="F226" s="15" t="s">
        <v>290</v>
      </c>
      <c r="G226" s="15" t="s">
        <v>47</v>
      </c>
      <c r="I226" s="15"/>
      <c r="J226" s="45" t="s">
        <v>291</v>
      </c>
      <c r="K226" s="20">
        <v>10</v>
      </c>
      <c r="L226" s="20">
        <v>4</v>
      </c>
      <c r="M226" s="20">
        <v>3</v>
      </c>
      <c r="N226" s="21"/>
      <c r="O226" s="21"/>
      <c r="P226" s="21"/>
      <c r="Q226" s="20"/>
      <c r="R226" s="20"/>
      <c r="S226" s="20"/>
      <c r="T226" s="21">
        <v>12</v>
      </c>
      <c r="U226" s="21">
        <v>45</v>
      </c>
      <c r="V226" s="21">
        <v>70</v>
      </c>
      <c r="W226" s="20">
        <v>7000</v>
      </c>
      <c r="X226" s="15" t="s">
        <v>857</v>
      </c>
      <c r="Y226" s="20">
        <v>20</v>
      </c>
      <c r="Z226" s="15" t="s">
        <v>255</v>
      </c>
      <c r="AA226" s="15" t="s">
        <v>362</v>
      </c>
      <c r="AB226" s="15" t="s">
        <v>307</v>
      </c>
      <c r="AC226" s="20" t="s">
        <v>68</v>
      </c>
      <c r="AD226" s="9" t="str">
        <f>IF(OR(Form_Responses34[[#This Row],[Total_monthly_fuel_expense 
]]&gt;10040,Form_Responses34[[#This Row],[Total_monthly_fuel_expense 
]]&lt;-4760),"Outlier","Normal")</f>
        <v>Normal</v>
      </c>
    </row>
    <row r="227" spans="1:30" x14ac:dyDescent="0.2">
      <c r="A227" s="20">
        <v>24</v>
      </c>
      <c r="B227" s="15" t="s">
        <v>42</v>
      </c>
      <c r="C227" s="12" t="s">
        <v>1889</v>
      </c>
      <c r="D227" s="20">
        <v>3</v>
      </c>
      <c r="E227" s="20">
        <v>1</v>
      </c>
      <c r="F227" s="15" t="s">
        <v>100</v>
      </c>
      <c r="H227" s="15" t="s">
        <v>47</v>
      </c>
      <c r="K227" s="21"/>
      <c r="L227" s="21"/>
      <c r="M227" s="21"/>
      <c r="N227" s="20">
        <v>1</v>
      </c>
      <c r="O227" s="20">
        <v>20</v>
      </c>
      <c r="P227" s="20">
        <v>9</v>
      </c>
      <c r="Q227" s="21"/>
      <c r="R227" s="21"/>
      <c r="S227" s="21"/>
      <c r="T227" s="21"/>
      <c r="U227" s="21"/>
      <c r="V227" s="21"/>
      <c r="W227" s="20">
        <v>1200</v>
      </c>
      <c r="X227" s="15" t="s">
        <v>276</v>
      </c>
      <c r="Y227" s="20">
        <v>6</v>
      </c>
      <c r="Z227" s="15" t="s">
        <v>255</v>
      </c>
      <c r="AA227" s="15" t="s">
        <v>96</v>
      </c>
      <c r="AB227" s="15" t="s">
        <v>325</v>
      </c>
      <c r="AC227" s="20" t="s">
        <v>152</v>
      </c>
      <c r="AD227" s="9" t="str">
        <f>IF(OR(Form_Responses34[[#This Row],[Total_monthly_fuel_expense 
]]&gt;10040,Form_Responses34[[#This Row],[Total_monthly_fuel_expense 
]]&lt;-4760),"Outlier","Normal")</f>
        <v>Normal</v>
      </c>
    </row>
    <row r="228" spans="1:30" x14ac:dyDescent="0.2">
      <c r="A228" s="20">
        <v>29</v>
      </c>
      <c r="B228" s="15" t="s">
        <v>73</v>
      </c>
      <c r="C228" s="12" t="s">
        <v>155</v>
      </c>
      <c r="D228" s="20">
        <v>4</v>
      </c>
      <c r="E228" s="20">
        <v>3</v>
      </c>
      <c r="F228" s="15" t="s">
        <v>309</v>
      </c>
      <c r="G228" s="15" t="s">
        <v>47</v>
      </c>
      <c r="I228" s="15" t="s">
        <v>291</v>
      </c>
      <c r="J228" s="15" t="s">
        <v>291</v>
      </c>
      <c r="K228" s="20">
        <v>4</v>
      </c>
      <c r="L228" s="20">
        <v>15</v>
      </c>
      <c r="M228" s="20">
        <v>8</v>
      </c>
      <c r="N228" s="21"/>
      <c r="O228" s="21"/>
      <c r="P228" s="21"/>
      <c r="Q228" s="20">
        <v>7</v>
      </c>
      <c r="R228" s="20">
        <v>35</v>
      </c>
      <c r="S228" s="20">
        <v>38</v>
      </c>
      <c r="T228" s="20">
        <v>5</v>
      </c>
      <c r="U228" s="20">
        <v>50</v>
      </c>
      <c r="V228" s="20">
        <v>85</v>
      </c>
      <c r="W228" s="20">
        <v>12500</v>
      </c>
      <c r="X228" s="15" t="s">
        <v>252</v>
      </c>
      <c r="Y228" s="20">
        <v>14</v>
      </c>
      <c r="Z228" s="15" t="s">
        <v>559</v>
      </c>
      <c r="AA228" s="15" t="s">
        <v>362</v>
      </c>
      <c r="AB228" s="15" t="s">
        <v>307</v>
      </c>
      <c r="AC228" s="20" t="s">
        <v>68</v>
      </c>
      <c r="AD228" s="9" t="str">
        <f>IF(OR(Form_Responses34[[#This Row],[Total_monthly_fuel_expense 
]]&gt;10040,Form_Responses34[[#This Row],[Total_monthly_fuel_expense 
]]&lt;-4760),"Outlier","Normal")</f>
        <v>Outlier</v>
      </c>
    </row>
    <row r="229" spans="1:30" x14ac:dyDescent="0.2">
      <c r="A229" s="20">
        <v>30</v>
      </c>
      <c r="B229" s="15" t="s">
        <v>42</v>
      </c>
      <c r="C229" s="12" t="s">
        <v>1888</v>
      </c>
      <c r="D229" s="20">
        <v>5</v>
      </c>
      <c r="E229" s="20">
        <v>1</v>
      </c>
      <c r="F229" s="15" t="s">
        <v>431</v>
      </c>
      <c r="I229" s="15" t="s">
        <v>47</v>
      </c>
      <c r="K229" s="21"/>
      <c r="L229" s="21"/>
      <c r="M229" s="21"/>
      <c r="N229" s="21"/>
      <c r="O229" s="21"/>
      <c r="P229" s="21"/>
      <c r="Q229" s="20">
        <v>3</v>
      </c>
      <c r="R229" s="20">
        <v>8</v>
      </c>
      <c r="S229" s="20">
        <v>20</v>
      </c>
      <c r="T229" s="21"/>
      <c r="U229" s="21"/>
      <c r="V229" s="21"/>
      <c r="W229" s="20">
        <v>3000</v>
      </c>
      <c r="X229" s="15" t="s">
        <v>252</v>
      </c>
      <c r="Y229" s="20">
        <v>3</v>
      </c>
      <c r="Z229" s="15" t="s">
        <v>344</v>
      </c>
      <c r="AA229" s="15" t="s">
        <v>277</v>
      </c>
      <c r="AB229" s="15" t="s">
        <v>325</v>
      </c>
      <c r="AC229" s="20" t="s">
        <v>68</v>
      </c>
      <c r="AD229" s="9" t="str">
        <f>IF(OR(Form_Responses34[[#This Row],[Total_monthly_fuel_expense 
]]&gt;10040,Form_Responses34[[#This Row],[Total_monthly_fuel_expense 
]]&lt;-4760),"Outlier","Normal")</f>
        <v>Normal</v>
      </c>
    </row>
    <row r="230" spans="1:30" x14ac:dyDescent="0.2">
      <c r="A230" s="20">
        <v>37</v>
      </c>
      <c r="B230" s="15" t="s">
        <v>73</v>
      </c>
      <c r="C230" s="12" t="s">
        <v>1889</v>
      </c>
      <c r="D230" s="20">
        <v>5</v>
      </c>
      <c r="E230" s="20">
        <v>2</v>
      </c>
      <c r="F230" s="15" t="s">
        <v>290</v>
      </c>
      <c r="G230" s="15" t="s">
        <v>47</v>
      </c>
      <c r="J230" s="15" t="s">
        <v>291</v>
      </c>
      <c r="K230" s="20">
        <v>8</v>
      </c>
      <c r="L230" s="20">
        <v>10</v>
      </c>
      <c r="M230" s="20">
        <v>5</v>
      </c>
      <c r="N230" s="21"/>
      <c r="O230" s="21"/>
      <c r="P230" s="21"/>
      <c r="Q230" s="21"/>
      <c r="R230" s="21"/>
      <c r="S230" s="21"/>
      <c r="T230" s="20">
        <v>11</v>
      </c>
      <c r="U230" s="20">
        <v>40</v>
      </c>
      <c r="V230" s="20">
        <v>75</v>
      </c>
      <c r="W230" s="20">
        <v>8000</v>
      </c>
      <c r="X230" s="15" t="s">
        <v>323</v>
      </c>
      <c r="Y230" s="20">
        <v>10</v>
      </c>
      <c r="Z230" s="15" t="s">
        <v>296</v>
      </c>
      <c r="AA230" s="15" t="s">
        <v>85</v>
      </c>
      <c r="AB230" s="15" t="s">
        <v>325</v>
      </c>
      <c r="AC230" s="20" t="s">
        <v>152</v>
      </c>
      <c r="AD230" s="9" t="str">
        <f>IF(OR(Form_Responses34[[#This Row],[Total_monthly_fuel_expense 
]]&gt;10040,Form_Responses34[[#This Row],[Total_monthly_fuel_expense 
]]&lt;-4760),"Outlier","Normal")</f>
        <v>Normal</v>
      </c>
    </row>
    <row r="231" spans="1:30" x14ac:dyDescent="0.2">
      <c r="A231" s="20">
        <v>23</v>
      </c>
      <c r="B231" s="15" t="s">
        <v>42</v>
      </c>
      <c r="C231" s="12" t="s">
        <v>182</v>
      </c>
      <c r="D231" s="20">
        <v>3</v>
      </c>
      <c r="E231" s="20">
        <v>1</v>
      </c>
      <c r="F231" s="15" t="s">
        <v>100</v>
      </c>
      <c r="H231" s="15" t="s">
        <v>47</v>
      </c>
      <c r="K231" s="21"/>
      <c r="L231" s="21"/>
      <c r="M231" s="21"/>
      <c r="N231" s="20">
        <v>3</v>
      </c>
      <c r="O231" s="20">
        <v>12</v>
      </c>
      <c r="P231" s="20">
        <v>7</v>
      </c>
      <c r="Q231" s="21"/>
      <c r="R231" s="21"/>
      <c r="S231" s="21"/>
      <c r="T231" s="21"/>
      <c r="U231" s="21"/>
      <c r="V231" s="21"/>
      <c r="W231" s="20">
        <v>900</v>
      </c>
      <c r="X231" s="15" t="s">
        <v>159</v>
      </c>
      <c r="Y231" s="20">
        <v>4</v>
      </c>
      <c r="Z231" s="15" t="s">
        <v>285</v>
      </c>
      <c r="AA231" s="15" t="s">
        <v>277</v>
      </c>
      <c r="AB231" s="15" t="s">
        <v>256</v>
      </c>
      <c r="AC231" s="20" t="s">
        <v>152</v>
      </c>
      <c r="AD231" s="9" t="str">
        <f>IF(OR(Form_Responses34[[#This Row],[Total_monthly_fuel_expense 
]]&gt;10040,Form_Responses34[[#This Row],[Total_monthly_fuel_expense 
]]&lt;-4760),"Outlier","Normal")</f>
        <v>Normal</v>
      </c>
    </row>
    <row r="232" spans="1:30" x14ac:dyDescent="0.2">
      <c r="A232" s="20">
        <v>25</v>
      </c>
      <c r="B232" s="15" t="s">
        <v>73</v>
      </c>
      <c r="C232" s="12" t="s">
        <v>1889</v>
      </c>
      <c r="D232" s="20">
        <v>4</v>
      </c>
      <c r="E232" s="20">
        <v>1</v>
      </c>
      <c r="F232" s="15" t="s">
        <v>46</v>
      </c>
      <c r="G232" s="15" t="s">
        <v>47</v>
      </c>
      <c r="K232" s="20">
        <v>3</v>
      </c>
      <c r="L232" s="20">
        <v>22</v>
      </c>
      <c r="M232" s="20">
        <v>12</v>
      </c>
      <c r="N232" s="21"/>
      <c r="O232" s="21"/>
      <c r="P232" s="21"/>
      <c r="Q232" s="21"/>
      <c r="R232" s="21"/>
      <c r="S232" s="21"/>
      <c r="T232" s="21"/>
      <c r="U232" s="21"/>
      <c r="V232" s="21"/>
      <c r="W232" s="20">
        <v>1400</v>
      </c>
      <c r="X232" s="15" t="s">
        <v>252</v>
      </c>
      <c r="Y232" s="20">
        <v>11</v>
      </c>
      <c r="Z232" s="15" t="s">
        <v>255</v>
      </c>
      <c r="AA232" s="15" t="s">
        <v>85</v>
      </c>
      <c r="AB232" s="15" t="s">
        <v>256</v>
      </c>
      <c r="AC232" s="20" t="s">
        <v>257</v>
      </c>
      <c r="AD232" s="9" t="str">
        <f>IF(OR(Form_Responses34[[#This Row],[Total_monthly_fuel_expense 
]]&gt;10040,Form_Responses34[[#This Row],[Total_monthly_fuel_expense 
]]&lt;-4760),"Outlier","Normal")</f>
        <v>Normal</v>
      </c>
    </row>
    <row r="233" spans="1:30" x14ac:dyDescent="0.2">
      <c r="A233" s="20">
        <v>23</v>
      </c>
      <c r="B233" s="15" t="s">
        <v>42</v>
      </c>
      <c r="C233" s="12" t="s">
        <v>182</v>
      </c>
      <c r="D233" s="20">
        <v>4</v>
      </c>
      <c r="E233" s="20">
        <v>1</v>
      </c>
      <c r="F233" s="15" t="s">
        <v>100</v>
      </c>
      <c r="H233" s="15" t="s">
        <v>47</v>
      </c>
      <c r="K233" s="21"/>
      <c r="L233" s="21"/>
      <c r="M233" s="21"/>
      <c r="N233" s="20">
        <v>2</v>
      </c>
      <c r="O233" s="20">
        <v>9</v>
      </c>
      <c r="P233" s="20">
        <v>5</v>
      </c>
      <c r="Q233" s="21"/>
      <c r="R233" s="21"/>
      <c r="S233" s="21"/>
      <c r="T233" s="21"/>
      <c r="U233" s="21"/>
      <c r="V233" s="21"/>
      <c r="W233" s="20">
        <v>600</v>
      </c>
      <c r="X233" s="15" t="s">
        <v>323</v>
      </c>
      <c r="Y233" s="20">
        <v>5</v>
      </c>
      <c r="Z233" s="15" t="s">
        <v>285</v>
      </c>
      <c r="AA233" s="15" t="s">
        <v>277</v>
      </c>
      <c r="AB233" s="15" t="s">
        <v>256</v>
      </c>
      <c r="AC233" s="20" t="s">
        <v>68</v>
      </c>
      <c r="AD233" s="9" t="str">
        <f>IF(OR(Form_Responses34[[#This Row],[Total_monthly_fuel_expense 
]]&gt;10040,Form_Responses34[[#This Row],[Total_monthly_fuel_expense 
]]&lt;-4760),"Outlier","Normal")</f>
        <v>Normal</v>
      </c>
    </row>
    <row r="234" spans="1:30" x14ac:dyDescent="0.2">
      <c r="A234" s="20">
        <v>29</v>
      </c>
      <c r="B234" s="15" t="s">
        <v>73</v>
      </c>
      <c r="C234" s="12" t="s">
        <v>1889</v>
      </c>
      <c r="D234" s="20">
        <v>6</v>
      </c>
      <c r="E234" s="20">
        <v>2</v>
      </c>
      <c r="F234" s="15" t="s">
        <v>290</v>
      </c>
      <c r="G234" s="15" t="s">
        <v>47</v>
      </c>
      <c r="J234" s="15" t="s">
        <v>291</v>
      </c>
      <c r="K234" s="20">
        <v>9</v>
      </c>
      <c r="L234" s="20">
        <v>10</v>
      </c>
      <c r="M234" s="20">
        <v>6</v>
      </c>
      <c r="N234" s="21"/>
      <c r="O234" s="21"/>
      <c r="P234" s="21"/>
      <c r="Q234" s="21"/>
      <c r="R234" s="21"/>
      <c r="S234" s="21"/>
      <c r="T234" s="20">
        <v>11</v>
      </c>
      <c r="U234" s="20">
        <v>35</v>
      </c>
      <c r="V234" s="20">
        <v>65</v>
      </c>
      <c r="W234" s="20">
        <v>7800</v>
      </c>
      <c r="X234" s="15" t="s">
        <v>159</v>
      </c>
      <c r="Y234" s="20">
        <v>8</v>
      </c>
      <c r="Z234" s="15" t="s">
        <v>296</v>
      </c>
      <c r="AA234" s="15" t="s">
        <v>85</v>
      </c>
      <c r="AB234" s="15" t="s">
        <v>256</v>
      </c>
      <c r="AC234" s="20" t="s">
        <v>68</v>
      </c>
      <c r="AD234" s="9" t="str">
        <f>IF(OR(Form_Responses34[[#This Row],[Total_monthly_fuel_expense 
]]&gt;10040,Form_Responses34[[#This Row],[Total_monthly_fuel_expense 
]]&lt;-4760),"Outlier","Normal")</f>
        <v>Normal</v>
      </c>
    </row>
    <row r="235" spans="1:30" x14ac:dyDescent="0.2">
      <c r="A235" s="20">
        <v>32</v>
      </c>
      <c r="B235" s="15" t="s">
        <v>42</v>
      </c>
      <c r="C235" s="12" t="s">
        <v>1890</v>
      </c>
      <c r="D235" s="20">
        <v>2</v>
      </c>
      <c r="E235" s="20">
        <v>1</v>
      </c>
      <c r="F235" s="15" t="s">
        <v>431</v>
      </c>
      <c r="I235" s="15" t="s">
        <v>47</v>
      </c>
      <c r="K235" s="20"/>
      <c r="L235" s="20"/>
      <c r="M235" s="20"/>
      <c r="N235" s="21"/>
      <c r="O235" s="21"/>
      <c r="P235" s="21"/>
      <c r="Q235" s="21">
        <v>5</v>
      </c>
      <c r="R235" s="21">
        <v>24</v>
      </c>
      <c r="S235" s="21">
        <v>24</v>
      </c>
      <c r="T235" s="21"/>
      <c r="U235" s="21"/>
      <c r="V235" s="21"/>
      <c r="W235" s="20">
        <v>3200</v>
      </c>
      <c r="X235" s="15" t="s">
        <v>276</v>
      </c>
      <c r="Y235" s="20">
        <v>9</v>
      </c>
      <c r="Z235" s="15" t="s">
        <v>255</v>
      </c>
      <c r="AA235" s="15" t="s">
        <v>96</v>
      </c>
      <c r="AB235" s="15" t="s">
        <v>335</v>
      </c>
      <c r="AC235" s="20" t="s">
        <v>152</v>
      </c>
      <c r="AD235" s="9" t="str">
        <f>IF(OR(Form_Responses34[[#This Row],[Total_monthly_fuel_expense 
]]&gt;10040,Form_Responses34[[#This Row],[Total_monthly_fuel_expense 
]]&lt;-4760),"Outlier","Normal")</f>
        <v>Normal</v>
      </c>
    </row>
    <row r="236" spans="1:30" x14ac:dyDescent="0.2">
      <c r="A236" s="20">
        <v>35</v>
      </c>
      <c r="B236" s="15" t="s">
        <v>73</v>
      </c>
      <c r="C236" s="12" t="s">
        <v>155</v>
      </c>
      <c r="D236" s="20">
        <v>5</v>
      </c>
      <c r="E236" s="20">
        <v>3</v>
      </c>
      <c r="F236" s="15" t="s">
        <v>309</v>
      </c>
      <c r="G236" s="15" t="s">
        <v>47</v>
      </c>
      <c r="I236" s="15" t="s">
        <v>291</v>
      </c>
      <c r="J236" s="15" t="s">
        <v>291</v>
      </c>
      <c r="K236" s="20">
        <v>7</v>
      </c>
      <c r="L236" s="20">
        <v>14</v>
      </c>
      <c r="M236" s="20">
        <v>8</v>
      </c>
      <c r="N236" s="21"/>
      <c r="O236" s="21"/>
      <c r="P236" s="21"/>
      <c r="Q236" s="20">
        <v>5</v>
      </c>
      <c r="R236" s="20">
        <v>30</v>
      </c>
      <c r="S236" s="20">
        <v>28</v>
      </c>
      <c r="T236" s="20">
        <v>10</v>
      </c>
      <c r="U236" s="20">
        <v>60</v>
      </c>
      <c r="V236" s="20">
        <v>95</v>
      </c>
      <c r="W236" s="20">
        <v>13200</v>
      </c>
      <c r="X236" s="15" t="s">
        <v>252</v>
      </c>
      <c r="Y236" s="20">
        <v>13</v>
      </c>
      <c r="Z236" s="15" t="s">
        <v>559</v>
      </c>
      <c r="AA236" s="15" t="s">
        <v>362</v>
      </c>
      <c r="AB236" s="15" t="s">
        <v>307</v>
      </c>
      <c r="AC236" s="20" t="s">
        <v>68</v>
      </c>
      <c r="AD236" s="9" t="str">
        <f>IF(OR(Form_Responses34[[#This Row],[Total_monthly_fuel_expense 
]]&gt;10040,Form_Responses34[[#This Row],[Total_monthly_fuel_expense 
]]&lt;-4760),"Outlier","Normal")</f>
        <v>Outlier</v>
      </c>
    </row>
    <row r="237" spans="1:30" x14ac:dyDescent="0.2">
      <c r="A237" s="20">
        <v>27</v>
      </c>
      <c r="B237" s="15" t="s">
        <v>42</v>
      </c>
      <c r="C237" s="12" t="s">
        <v>1888</v>
      </c>
      <c r="D237" s="20">
        <v>4</v>
      </c>
      <c r="E237" s="20">
        <v>1</v>
      </c>
      <c r="F237" s="15" t="s">
        <v>100</v>
      </c>
      <c r="H237" s="15" t="s">
        <v>47</v>
      </c>
      <c r="K237" s="21"/>
      <c r="L237" s="21"/>
      <c r="M237" s="21"/>
      <c r="N237" s="20">
        <v>3</v>
      </c>
      <c r="O237" s="20">
        <v>6</v>
      </c>
      <c r="P237" s="20">
        <v>4</v>
      </c>
      <c r="Q237" s="21"/>
      <c r="R237" s="21"/>
      <c r="S237" s="21"/>
      <c r="T237" s="21"/>
      <c r="U237" s="21"/>
      <c r="V237" s="21"/>
      <c r="W237" s="20">
        <v>500</v>
      </c>
      <c r="X237" s="15" t="s">
        <v>159</v>
      </c>
      <c r="Y237" s="20">
        <v>3</v>
      </c>
      <c r="Z237" s="15" t="s">
        <v>306</v>
      </c>
      <c r="AA237" s="15" t="s">
        <v>277</v>
      </c>
      <c r="AB237" s="15" t="s">
        <v>325</v>
      </c>
      <c r="AC237" s="20" t="s">
        <v>152</v>
      </c>
      <c r="AD237" s="9" t="str">
        <f>IF(OR(Form_Responses34[[#This Row],[Total_monthly_fuel_expense 
]]&gt;10040,Form_Responses34[[#This Row],[Total_monthly_fuel_expense 
]]&lt;-4760),"Outlier","Normal")</f>
        <v>Normal</v>
      </c>
    </row>
    <row r="238" spans="1:30" x14ac:dyDescent="0.2">
      <c r="A238" s="20">
        <v>33</v>
      </c>
      <c r="B238" s="15" t="s">
        <v>73</v>
      </c>
      <c r="C238" s="12" t="s">
        <v>1889</v>
      </c>
      <c r="D238" s="20">
        <v>4</v>
      </c>
      <c r="E238" s="20">
        <v>2</v>
      </c>
      <c r="F238" s="15" t="s">
        <v>246</v>
      </c>
      <c r="G238" s="15" t="s">
        <v>47</v>
      </c>
      <c r="I238" s="15" t="s">
        <v>47</v>
      </c>
      <c r="K238" s="20">
        <v>6</v>
      </c>
      <c r="L238" s="20">
        <v>8</v>
      </c>
      <c r="M238" s="20">
        <v>5</v>
      </c>
      <c r="N238" s="21"/>
      <c r="O238" s="21"/>
      <c r="P238" s="21"/>
      <c r="Q238" s="20">
        <v>4</v>
      </c>
      <c r="R238" s="20">
        <v>22</v>
      </c>
      <c r="S238" s="20">
        <v>20</v>
      </c>
      <c r="T238" s="21"/>
      <c r="U238" s="21"/>
      <c r="V238" s="21"/>
      <c r="W238" s="20">
        <v>3800</v>
      </c>
      <c r="X238" s="15" t="s">
        <v>323</v>
      </c>
      <c r="Y238" s="20">
        <v>14</v>
      </c>
      <c r="Z238" s="15" t="s">
        <v>255</v>
      </c>
      <c r="AA238" s="15" t="s">
        <v>85</v>
      </c>
      <c r="AB238" s="15" t="s">
        <v>256</v>
      </c>
      <c r="AC238" s="20" t="s">
        <v>68</v>
      </c>
      <c r="AD238" s="9" t="str">
        <f>IF(OR(Form_Responses34[[#This Row],[Total_monthly_fuel_expense 
]]&gt;10040,Form_Responses34[[#This Row],[Total_monthly_fuel_expense 
]]&lt;-4760),"Outlier","Normal")</f>
        <v>Normal</v>
      </c>
    </row>
    <row r="239" spans="1:30" x14ac:dyDescent="0.2">
      <c r="A239" s="20">
        <v>21</v>
      </c>
      <c r="B239" s="15" t="s">
        <v>42</v>
      </c>
      <c r="C239" s="12" t="s">
        <v>182</v>
      </c>
      <c r="D239" s="20">
        <v>5</v>
      </c>
      <c r="E239" s="20">
        <v>1</v>
      </c>
      <c r="F239" s="15" t="s">
        <v>46</v>
      </c>
      <c r="G239" s="15" t="s">
        <v>47</v>
      </c>
      <c r="K239" s="20">
        <v>2</v>
      </c>
      <c r="L239" s="20">
        <v>12</v>
      </c>
      <c r="M239" s="20">
        <v>7</v>
      </c>
      <c r="N239" s="21"/>
      <c r="O239" s="21"/>
      <c r="P239" s="21"/>
      <c r="Q239" s="21"/>
      <c r="R239" s="21"/>
      <c r="S239" s="21"/>
      <c r="T239" s="21"/>
      <c r="U239" s="21"/>
      <c r="V239" s="21"/>
      <c r="W239" s="20">
        <v>850</v>
      </c>
      <c r="X239" s="15" t="s">
        <v>360</v>
      </c>
      <c r="Y239" s="20">
        <v>6</v>
      </c>
      <c r="Z239" s="15" t="s">
        <v>285</v>
      </c>
      <c r="AA239" s="15" t="s">
        <v>96</v>
      </c>
      <c r="AB239" s="15" t="s">
        <v>256</v>
      </c>
      <c r="AC239" s="20" t="s">
        <v>152</v>
      </c>
      <c r="AD239" s="9" t="str">
        <f>IF(OR(Form_Responses34[[#This Row],[Total_monthly_fuel_expense 
]]&gt;10040,Form_Responses34[[#This Row],[Total_monthly_fuel_expense 
]]&lt;-4760),"Outlier","Normal")</f>
        <v>Normal</v>
      </c>
    </row>
    <row r="240" spans="1:30" x14ac:dyDescent="0.2">
      <c r="A240" s="20">
        <v>46</v>
      </c>
      <c r="B240" s="15" t="s">
        <v>73</v>
      </c>
      <c r="C240" s="12" t="s">
        <v>1889</v>
      </c>
      <c r="D240" s="20">
        <v>6</v>
      </c>
      <c r="E240" s="20">
        <v>2</v>
      </c>
      <c r="F240" s="15" t="s">
        <v>290</v>
      </c>
      <c r="G240" s="15" t="s">
        <v>47</v>
      </c>
      <c r="J240" s="15" t="s">
        <v>291</v>
      </c>
      <c r="K240" s="20">
        <v>11</v>
      </c>
      <c r="L240" s="20">
        <v>6</v>
      </c>
      <c r="M240" s="20">
        <v>4</v>
      </c>
      <c r="N240" s="21"/>
      <c r="O240" s="21"/>
      <c r="P240" s="21"/>
      <c r="Q240" s="21"/>
      <c r="R240" s="21"/>
      <c r="S240" s="21"/>
      <c r="T240" s="20">
        <v>15</v>
      </c>
      <c r="U240" s="20">
        <v>25</v>
      </c>
      <c r="V240" s="20">
        <v>55</v>
      </c>
      <c r="W240" s="20">
        <v>6700</v>
      </c>
      <c r="X240" s="15" t="s">
        <v>323</v>
      </c>
      <c r="Y240" s="20">
        <v>5</v>
      </c>
      <c r="Z240" s="15" t="s">
        <v>296</v>
      </c>
      <c r="AA240" s="15" t="s">
        <v>85</v>
      </c>
      <c r="AB240" s="15" t="s">
        <v>410</v>
      </c>
      <c r="AC240" s="20" t="s">
        <v>68</v>
      </c>
      <c r="AD240" s="9" t="str">
        <f>IF(OR(Form_Responses34[[#This Row],[Total_monthly_fuel_expense 
]]&gt;10040,Form_Responses34[[#This Row],[Total_monthly_fuel_expense 
]]&lt;-4760),"Outlier","Normal")</f>
        <v>Normal</v>
      </c>
    </row>
    <row r="241" spans="1:30" x14ac:dyDescent="0.2">
      <c r="A241" s="20">
        <v>28</v>
      </c>
      <c r="B241" s="15" t="s">
        <v>73</v>
      </c>
      <c r="C241" s="12" t="s">
        <v>1889</v>
      </c>
      <c r="D241" s="20">
        <v>3</v>
      </c>
      <c r="E241" s="20">
        <v>1</v>
      </c>
      <c r="F241" s="15" t="s">
        <v>431</v>
      </c>
      <c r="I241" s="15" t="s">
        <v>47</v>
      </c>
      <c r="K241" s="21"/>
      <c r="L241" s="21"/>
      <c r="M241" s="21"/>
      <c r="N241" s="21"/>
      <c r="O241" s="21"/>
      <c r="P241" s="21"/>
      <c r="Q241" s="20">
        <v>3</v>
      </c>
      <c r="R241" s="20">
        <v>35</v>
      </c>
      <c r="S241" s="20">
        <v>32</v>
      </c>
      <c r="T241" s="21"/>
      <c r="U241" s="21"/>
      <c r="V241" s="21"/>
      <c r="W241" s="20">
        <v>4600</v>
      </c>
      <c r="X241" s="15" t="s">
        <v>276</v>
      </c>
      <c r="Y241" s="20">
        <v>16</v>
      </c>
      <c r="Z241" s="15" t="s">
        <v>255</v>
      </c>
      <c r="AA241" s="15" t="s">
        <v>362</v>
      </c>
      <c r="AB241" s="15" t="s">
        <v>307</v>
      </c>
      <c r="AC241" s="20" t="s">
        <v>68</v>
      </c>
      <c r="AD241" s="9" t="str">
        <f>IF(OR(Form_Responses34[[#This Row],[Total_monthly_fuel_expense 
]]&gt;10040,Form_Responses34[[#This Row],[Total_monthly_fuel_expense 
]]&lt;-4760),"Outlier","Normal")</f>
        <v>Normal</v>
      </c>
    </row>
    <row r="242" spans="1:30" x14ac:dyDescent="0.2">
      <c r="A242" s="20">
        <v>30</v>
      </c>
      <c r="B242" s="15" t="s">
        <v>73</v>
      </c>
      <c r="C242" s="12" t="s">
        <v>1889</v>
      </c>
      <c r="D242" s="20">
        <v>5</v>
      </c>
      <c r="E242" s="20">
        <v>1</v>
      </c>
      <c r="F242" s="15" t="s">
        <v>46</v>
      </c>
      <c r="G242" s="15" t="s">
        <v>47</v>
      </c>
      <c r="K242" s="20">
        <v>5</v>
      </c>
      <c r="L242" s="20">
        <v>18</v>
      </c>
      <c r="M242" s="20">
        <v>10</v>
      </c>
      <c r="N242" s="21"/>
      <c r="O242" s="21"/>
      <c r="P242" s="21"/>
      <c r="Q242" s="21"/>
      <c r="R242" s="21"/>
      <c r="S242" s="21"/>
      <c r="T242" s="21"/>
      <c r="U242" s="21"/>
      <c r="V242" s="21"/>
      <c r="W242" s="20">
        <v>1300</v>
      </c>
      <c r="X242" s="15" t="s">
        <v>159</v>
      </c>
      <c r="Y242" s="20">
        <v>9</v>
      </c>
      <c r="Z242" s="15" t="s">
        <v>255</v>
      </c>
      <c r="AA242" s="15" t="s">
        <v>362</v>
      </c>
      <c r="AB242" s="15" t="s">
        <v>307</v>
      </c>
      <c r="AC242" s="20" t="s">
        <v>68</v>
      </c>
      <c r="AD242" s="9" t="str">
        <f>IF(OR(Form_Responses34[[#This Row],[Total_monthly_fuel_expense 
]]&gt;10040,Form_Responses34[[#This Row],[Total_monthly_fuel_expense 
]]&lt;-4760),"Outlier","Normal")</f>
        <v>Normal</v>
      </c>
    </row>
    <row r="243" spans="1:30" x14ac:dyDescent="0.2">
      <c r="A243" s="20">
        <v>26</v>
      </c>
      <c r="B243" s="15" t="s">
        <v>42</v>
      </c>
      <c r="C243" s="12" t="s">
        <v>1889</v>
      </c>
      <c r="D243" s="20">
        <v>3</v>
      </c>
      <c r="E243" s="20">
        <v>1</v>
      </c>
      <c r="F243" s="15" t="s">
        <v>100</v>
      </c>
      <c r="H243" s="15" t="s">
        <v>47</v>
      </c>
      <c r="K243" s="21"/>
      <c r="L243" s="21"/>
      <c r="M243" s="21"/>
      <c r="N243" s="20">
        <v>2</v>
      </c>
      <c r="O243" s="20">
        <v>10</v>
      </c>
      <c r="P243" s="20">
        <v>7</v>
      </c>
      <c r="Q243" s="21"/>
      <c r="R243" s="21"/>
      <c r="S243" s="21"/>
      <c r="T243" s="21"/>
      <c r="U243" s="21"/>
      <c r="V243" s="21"/>
      <c r="W243" s="20">
        <v>750</v>
      </c>
      <c r="X243" s="15" t="s">
        <v>360</v>
      </c>
      <c r="Y243" s="20">
        <v>7</v>
      </c>
      <c r="Z243" s="15" t="s">
        <v>255</v>
      </c>
      <c r="AA243" s="15" t="s">
        <v>277</v>
      </c>
      <c r="AB243" s="15" t="s">
        <v>1095</v>
      </c>
      <c r="AC243" s="20" t="s">
        <v>152</v>
      </c>
      <c r="AD243" s="9" t="str">
        <f>IF(OR(Form_Responses34[[#This Row],[Total_monthly_fuel_expense 
]]&gt;10040,Form_Responses34[[#This Row],[Total_monthly_fuel_expense 
]]&lt;-4760),"Outlier","Normal")</f>
        <v>Normal</v>
      </c>
    </row>
    <row r="244" spans="1:30" x14ac:dyDescent="0.2">
      <c r="A244" s="20">
        <v>38</v>
      </c>
      <c r="B244" s="15" t="s">
        <v>73</v>
      </c>
      <c r="C244" s="12" t="s">
        <v>1891</v>
      </c>
      <c r="D244" s="20">
        <v>5</v>
      </c>
      <c r="E244" s="20">
        <v>2</v>
      </c>
      <c r="F244" s="15" t="s">
        <v>246</v>
      </c>
      <c r="G244" s="15" t="s">
        <v>47</v>
      </c>
      <c r="I244" s="15" t="s">
        <v>47</v>
      </c>
      <c r="K244" s="20">
        <v>8</v>
      </c>
      <c r="L244" s="20">
        <v>12</v>
      </c>
      <c r="M244" s="20">
        <v>7</v>
      </c>
      <c r="N244" s="21"/>
      <c r="O244" s="21"/>
      <c r="P244" s="21"/>
      <c r="Q244" s="20">
        <v>6</v>
      </c>
      <c r="R244" s="20">
        <v>20</v>
      </c>
      <c r="S244" s="20">
        <v>22</v>
      </c>
      <c r="T244" s="21"/>
      <c r="U244" s="21"/>
      <c r="V244" s="21"/>
      <c r="W244" s="20">
        <v>3900</v>
      </c>
      <c r="X244" s="15" t="s">
        <v>159</v>
      </c>
      <c r="Y244" s="20">
        <v>12</v>
      </c>
      <c r="Z244" s="15" t="s">
        <v>559</v>
      </c>
      <c r="AA244" s="15" t="s">
        <v>362</v>
      </c>
      <c r="AB244" s="15" t="s">
        <v>307</v>
      </c>
      <c r="AC244" s="20" t="s">
        <v>68</v>
      </c>
      <c r="AD244" s="9" t="str">
        <f>IF(OR(Form_Responses34[[#This Row],[Total_monthly_fuel_expense 
]]&gt;10040,Form_Responses34[[#This Row],[Total_monthly_fuel_expense 
]]&lt;-4760),"Outlier","Normal")</f>
        <v>Normal</v>
      </c>
    </row>
    <row r="245" spans="1:30" x14ac:dyDescent="0.2">
      <c r="A245" s="20">
        <v>22</v>
      </c>
      <c r="B245" s="15" t="s">
        <v>42</v>
      </c>
      <c r="C245" s="12" t="s">
        <v>182</v>
      </c>
      <c r="D245" s="20">
        <v>4</v>
      </c>
      <c r="E245" s="20">
        <v>1</v>
      </c>
      <c r="F245" s="15" t="s">
        <v>46</v>
      </c>
      <c r="G245" s="15" t="s">
        <v>47</v>
      </c>
      <c r="K245" s="20">
        <v>1</v>
      </c>
      <c r="L245" s="20">
        <v>14</v>
      </c>
      <c r="M245" s="20">
        <v>8</v>
      </c>
      <c r="N245" s="21"/>
      <c r="O245" s="21"/>
      <c r="P245" s="21"/>
      <c r="Q245" s="21"/>
      <c r="R245" s="21"/>
      <c r="S245" s="21"/>
      <c r="T245" s="21"/>
      <c r="U245" s="21"/>
      <c r="V245" s="21"/>
      <c r="W245" s="20">
        <v>1000</v>
      </c>
      <c r="X245" s="15" t="s">
        <v>360</v>
      </c>
      <c r="Y245" s="20">
        <v>7</v>
      </c>
      <c r="Z245" s="15" t="s">
        <v>285</v>
      </c>
      <c r="AA245" s="15" t="s">
        <v>277</v>
      </c>
      <c r="AB245" s="15" t="s">
        <v>256</v>
      </c>
      <c r="AC245" s="20" t="s">
        <v>68</v>
      </c>
      <c r="AD245" s="9" t="str">
        <f>IF(OR(Form_Responses34[[#This Row],[Total_monthly_fuel_expense 
]]&gt;10040,Form_Responses34[[#This Row],[Total_monthly_fuel_expense 
]]&lt;-4760),"Outlier","Normal")</f>
        <v>Normal</v>
      </c>
    </row>
    <row r="246" spans="1:30" x14ac:dyDescent="0.2">
      <c r="A246" s="20">
        <v>45</v>
      </c>
      <c r="B246" s="15" t="s">
        <v>73</v>
      </c>
      <c r="C246" s="12" t="s">
        <v>1890</v>
      </c>
      <c r="D246" s="20">
        <v>6</v>
      </c>
      <c r="E246" s="20">
        <v>2</v>
      </c>
      <c r="F246" s="15" t="s">
        <v>290</v>
      </c>
      <c r="G246" s="15" t="s">
        <v>47</v>
      </c>
      <c r="J246" s="15" t="s">
        <v>291</v>
      </c>
      <c r="K246" s="20">
        <v>8</v>
      </c>
      <c r="L246" s="20">
        <v>10</v>
      </c>
      <c r="M246" s="20">
        <v>5</v>
      </c>
      <c r="N246" s="21"/>
      <c r="O246" s="21"/>
      <c r="P246" s="21"/>
      <c r="Q246" s="21"/>
      <c r="R246" s="21"/>
      <c r="S246" s="21"/>
      <c r="T246" s="20">
        <v>12</v>
      </c>
      <c r="U246" s="20">
        <v>40</v>
      </c>
      <c r="V246" s="20">
        <v>70</v>
      </c>
      <c r="W246" s="20">
        <v>8500</v>
      </c>
      <c r="X246" s="15" t="s">
        <v>323</v>
      </c>
      <c r="Y246" s="20">
        <v>6</v>
      </c>
      <c r="Z246" s="15" t="s">
        <v>296</v>
      </c>
      <c r="AA246" s="15" t="s">
        <v>362</v>
      </c>
      <c r="AB246" s="15" t="s">
        <v>307</v>
      </c>
      <c r="AC246" s="20" t="s">
        <v>68</v>
      </c>
      <c r="AD246" s="9" t="str">
        <f>IF(OR(Form_Responses34[[#This Row],[Total_monthly_fuel_expense 
]]&gt;10040,Form_Responses34[[#This Row],[Total_monthly_fuel_expense 
]]&lt;-4760),"Outlier","Normal")</f>
        <v>Normal</v>
      </c>
    </row>
    <row r="247" spans="1:30" x14ac:dyDescent="0.2">
      <c r="A247" s="20">
        <v>31</v>
      </c>
      <c r="B247" s="15" t="s">
        <v>73</v>
      </c>
      <c r="C247" s="12" t="s">
        <v>1890</v>
      </c>
      <c r="D247" s="20">
        <v>6</v>
      </c>
      <c r="E247" s="20">
        <v>1</v>
      </c>
      <c r="F247" s="15" t="s">
        <v>431</v>
      </c>
      <c r="I247" s="15" t="s">
        <v>47</v>
      </c>
      <c r="K247" s="21"/>
      <c r="L247" s="21"/>
      <c r="M247" s="21"/>
      <c r="N247" s="21"/>
      <c r="O247" s="21"/>
      <c r="P247" s="21"/>
      <c r="Q247" s="20">
        <v>5</v>
      </c>
      <c r="R247" s="20">
        <v>25</v>
      </c>
      <c r="S247" s="20">
        <v>24</v>
      </c>
      <c r="T247" s="21"/>
      <c r="U247" s="21"/>
      <c r="V247" s="21"/>
      <c r="W247" s="20">
        <v>3600</v>
      </c>
      <c r="X247" s="15" t="s">
        <v>252</v>
      </c>
      <c r="Y247" s="20">
        <v>12</v>
      </c>
      <c r="Z247" s="15" t="s">
        <v>255</v>
      </c>
      <c r="AA247" s="15" t="s">
        <v>85</v>
      </c>
      <c r="AB247" s="15" t="s">
        <v>256</v>
      </c>
      <c r="AC247" s="20" t="s">
        <v>68</v>
      </c>
      <c r="AD247" s="9" t="str">
        <f>IF(OR(Form_Responses34[[#This Row],[Total_monthly_fuel_expense 
]]&gt;10040,Form_Responses34[[#This Row],[Total_monthly_fuel_expense 
]]&lt;-4760),"Outlier","Normal")</f>
        <v>Normal</v>
      </c>
    </row>
    <row r="248" spans="1:30" x14ac:dyDescent="0.2">
      <c r="A248" s="20">
        <v>28</v>
      </c>
      <c r="B248" s="15" t="s">
        <v>42</v>
      </c>
      <c r="C248" s="12" t="s">
        <v>1888</v>
      </c>
      <c r="D248" s="20">
        <v>4</v>
      </c>
      <c r="E248" s="20">
        <v>1</v>
      </c>
      <c r="F248" s="15" t="s">
        <v>100</v>
      </c>
      <c r="H248" s="15" t="s">
        <v>47</v>
      </c>
      <c r="K248" s="21"/>
      <c r="L248" s="21"/>
      <c r="M248" s="21"/>
      <c r="N248" s="20">
        <v>4</v>
      </c>
      <c r="O248" s="20">
        <v>7</v>
      </c>
      <c r="P248" s="20">
        <v>4</v>
      </c>
      <c r="Q248" s="21"/>
      <c r="R248" s="21"/>
      <c r="S248" s="21"/>
      <c r="T248" s="21"/>
      <c r="U248" s="21"/>
      <c r="V248" s="21"/>
      <c r="W248" s="20">
        <v>400</v>
      </c>
      <c r="X248" s="15" t="s">
        <v>159</v>
      </c>
      <c r="Y248" s="20">
        <v>3</v>
      </c>
      <c r="Z248" s="15" t="s">
        <v>344</v>
      </c>
      <c r="AA248" s="15" t="s">
        <v>277</v>
      </c>
      <c r="AB248" s="15" t="s">
        <v>335</v>
      </c>
      <c r="AC248" s="20" t="s">
        <v>152</v>
      </c>
      <c r="AD248" s="9" t="str">
        <f>IF(OR(Form_Responses34[[#This Row],[Total_monthly_fuel_expense 
]]&gt;10040,Form_Responses34[[#This Row],[Total_monthly_fuel_expense 
]]&lt;-4760),"Outlier","Normal")</f>
        <v>Normal</v>
      </c>
    </row>
    <row r="249" spans="1:30" x14ac:dyDescent="0.2">
      <c r="A249" s="20">
        <v>32</v>
      </c>
      <c r="B249" s="15" t="s">
        <v>73</v>
      </c>
      <c r="C249" s="12" t="s">
        <v>1889</v>
      </c>
      <c r="D249" s="20">
        <v>3</v>
      </c>
      <c r="E249" s="20">
        <v>2</v>
      </c>
      <c r="F249" s="15" t="s">
        <v>1102</v>
      </c>
      <c r="G249" s="15" t="s">
        <v>47</v>
      </c>
      <c r="K249" s="20">
        <v>6</v>
      </c>
      <c r="L249" s="20">
        <v>10</v>
      </c>
      <c r="M249" s="20">
        <v>6</v>
      </c>
      <c r="N249" s="21"/>
      <c r="O249" s="21"/>
      <c r="P249" s="21"/>
      <c r="Q249" s="21"/>
      <c r="R249" s="21"/>
      <c r="S249" s="21"/>
      <c r="T249" s="21"/>
      <c r="U249" s="21"/>
      <c r="V249" s="21"/>
      <c r="W249" s="20">
        <v>1600</v>
      </c>
      <c r="X249" s="15" t="s">
        <v>252</v>
      </c>
      <c r="Y249" s="20">
        <v>10</v>
      </c>
      <c r="Z249" s="15" t="s">
        <v>255</v>
      </c>
      <c r="AA249" s="15" t="s">
        <v>85</v>
      </c>
      <c r="AB249" s="15" t="s">
        <v>325</v>
      </c>
      <c r="AC249" s="20" t="s">
        <v>152</v>
      </c>
      <c r="AD249" s="9" t="str">
        <f>IF(OR(Form_Responses34[[#This Row],[Total_monthly_fuel_expense 
]]&gt;10040,Form_Responses34[[#This Row],[Total_monthly_fuel_expense 
]]&lt;-4760),"Outlier","Normal")</f>
        <v>Normal</v>
      </c>
    </row>
    <row r="250" spans="1:30" x14ac:dyDescent="0.2">
      <c r="A250" s="20">
        <v>50</v>
      </c>
      <c r="B250" s="15" t="s">
        <v>73</v>
      </c>
      <c r="C250" s="12" t="s">
        <v>1890</v>
      </c>
      <c r="D250" s="20">
        <v>5</v>
      </c>
      <c r="E250" s="20">
        <v>3</v>
      </c>
      <c r="F250" s="15" t="s">
        <v>309</v>
      </c>
      <c r="G250" s="15" t="s">
        <v>47</v>
      </c>
      <c r="I250" s="15" t="s">
        <v>291</v>
      </c>
      <c r="J250" s="15" t="s">
        <v>291</v>
      </c>
      <c r="K250" s="20">
        <v>9</v>
      </c>
      <c r="L250" s="20">
        <v>6</v>
      </c>
      <c r="M250" s="20">
        <v>4</v>
      </c>
      <c r="N250" s="21"/>
      <c r="O250" s="21"/>
      <c r="P250" s="21"/>
      <c r="Q250" s="20">
        <v>7</v>
      </c>
      <c r="R250" s="20">
        <v>18</v>
      </c>
      <c r="S250" s="20">
        <v>20</v>
      </c>
      <c r="T250" s="20">
        <v>14</v>
      </c>
      <c r="U250" s="20">
        <v>55</v>
      </c>
      <c r="V250" s="20">
        <v>85</v>
      </c>
      <c r="W250" s="20">
        <v>1200</v>
      </c>
      <c r="X250" s="15" t="s">
        <v>323</v>
      </c>
      <c r="Y250" s="20">
        <v>15</v>
      </c>
      <c r="Z250" s="15" t="s">
        <v>559</v>
      </c>
      <c r="AA250" s="15" t="s">
        <v>362</v>
      </c>
      <c r="AB250" s="15" t="s">
        <v>307</v>
      </c>
      <c r="AC250" s="20" t="s">
        <v>68</v>
      </c>
      <c r="AD250" s="9" t="str">
        <f>IF(OR(Form_Responses34[[#This Row],[Total_monthly_fuel_expense 
]]&gt;10040,Form_Responses34[[#This Row],[Total_monthly_fuel_expense 
]]&lt;-4760),"Outlier","Normal")</f>
        <v>Normal</v>
      </c>
    </row>
    <row r="251" spans="1:30" x14ac:dyDescent="0.2">
      <c r="A251" s="20">
        <v>28</v>
      </c>
      <c r="B251" s="15" t="s">
        <v>42</v>
      </c>
      <c r="C251" s="12" t="s">
        <v>1889</v>
      </c>
      <c r="D251" s="20">
        <v>4</v>
      </c>
      <c r="E251" s="20">
        <v>1</v>
      </c>
      <c r="F251" s="15" t="s">
        <v>431</v>
      </c>
      <c r="I251" s="15" t="s">
        <v>47</v>
      </c>
      <c r="K251" s="21"/>
      <c r="L251" s="21"/>
      <c r="M251" s="21"/>
      <c r="N251" s="21"/>
      <c r="O251" s="21"/>
      <c r="P251" s="21"/>
      <c r="Q251" s="20">
        <v>2</v>
      </c>
      <c r="R251" s="20">
        <v>39</v>
      </c>
      <c r="S251" s="20">
        <v>26</v>
      </c>
      <c r="T251" s="21"/>
      <c r="U251" s="21"/>
      <c r="V251" s="21"/>
      <c r="W251" s="20">
        <v>3900</v>
      </c>
      <c r="X251" s="15" t="s">
        <v>276</v>
      </c>
      <c r="Y251" s="20">
        <v>14</v>
      </c>
      <c r="Z251" s="15" t="s">
        <v>255</v>
      </c>
      <c r="AA251" s="15" t="s">
        <v>96</v>
      </c>
      <c r="AB251" s="15" t="s">
        <v>256</v>
      </c>
      <c r="AC251" s="20" t="s">
        <v>257</v>
      </c>
      <c r="AD251" s="9" t="str">
        <f>IF(OR(Form_Responses34[[#This Row],[Total_monthly_fuel_expense 
]]&gt;10040,Form_Responses34[[#This Row],[Total_monthly_fuel_expense 
]]&lt;-4760),"Outlier","Normal")</f>
        <v>Normal</v>
      </c>
    </row>
    <row r="252" spans="1:30" x14ac:dyDescent="0.2">
      <c r="A252" s="20">
        <v>29</v>
      </c>
      <c r="B252" s="15" t="s">
        <v>73</v>
      </c>
      <c r="C252" s="12" t="s">
        <v>1889</v>
      </c>
      <c r="D252" s="20">
        <v>4</v>
      </c>
      <c r="E252" s="20">
        <v>1</v>
      </c>
      <c r="F252" s="15" t="s">
        <v>46</v>
      </c>
      <c r="G252" s="15" t="s">
        <v>47</v>
      </c>
      <c r="K252" s="20">
        <v>4</v>
      </c>
      <c r="L252" s="20">
        <v>20</v>
      </c>
      <c r="M252" s="20">
        <v>11</v>
      </c>
      <c r="N252" s="21"/>
      <c r="O252" s="21"/>
      <c r="P252" s="21"/>
      <c r="Q252" s="21"/>
      <c r="R252" s="21"/>
      <c r="S252" s="21"/>
      <c r="T252" s="21"/>
      <c r="U252" s="21"/>
      <c r="V252" s="21"/>
      <c r="W252" s="20">
        <v>1450</v>
      </c>
      <c r="X252" s="15" t="s">
        <v>360</v>
      </c>
      <c r="Y252" s="20">
        <v>10</v>
      </c>
      <c r="Z252" s="15" t="s">
        <v>255</v>
      </c>
      <c r="AA252" s="45" t="s">
        <v>54</v>
      </c>
      <c r="AB252" s="15" t="s">
        <v>467</v>
      </c>
      <c r="AC252" s="20" t="s">
        <v>257</v>
      </c>
      <c r="AD252" s="9" t="str">
        <f>IF(OR(Form_Responses34[[#This Row],[Total_monthly_fuel_expense 
]]&gt;10040,Form_Responses34[[#This Row],[Total_monthly_fuel_expense 
]]&lt;-4760),"Outlier","Normal")</f>
        <v>Normal</v>
      </c>
    </row>
    <row r="253" spans="1:30" x14ac:dyDescent="0.2">
      <c r="A253" s="20">
        <v>34</v>
      </c>
      <c r="B253" s="15" t="s">
        <v>42</v>
      </c>
      <c r="C253" s="12" t="s">
        <v>1888</v>
      </c>
      <c r="D253" s="20">
        <v>5</v>
      </c>
      <c r="E253" s="20">
        <v>1</v>
      </c>
      <c r="F253" s="15" t="s">
        <v>100</v>
      </c>
      <c r="H253" s="15" t="s">
        <v>47</v>
      </c>
      <c r="K253" s="21"/>
      <c r="L253" s="21"/>
      <c r="M253" s="21"/>
      <c r="N253" s="20">
        <v>5</v>
      </c>
      <c r="O253" s="20">
        <v>4</v>
      </c>
      <c r="P253" s="20">
        <v>6</v>
      </c>
      <c r="Q253" s="21"/>
      <c r="R253" s="21"/>
      <c r="S253" s="21"/>
      <c r="T253" s="21"/>
      <c r="U253" s="21"/>
      <c r="V253" s="21"/>
      <c r="W253" s="20">
        <v>500</v>
      </c>
      <c r="X253" s="15" t="s">
        <v>276</v>
      </c>
      <c r="Y253" s="20">
        <v>3</v>
      </c>
      <c r="Z253" s="15" t="s">
        <v>306</v>
      </c>
      <c r="AA253" s="15" t="s">
        <v>85</v>
      </c>
      <c r="AB253" s="15" t="s">
        <v>325</v>
      </c>
      <c r="AC253" s="20" t="s">
        <v>68</v>
      </c>
      <c r="AD253" s="9" t="str">
        <f>IF(OR(Form_Responses34[[#This Row],[Total_monthly_fuel_expense 
]]&gt;10040,Form_Responses34[[#This Row],[Total_monthly_fuel_expense 
]]&lt;-4760),"Outlier","Normal")</f>
        <v>Normal</v>
      </c>
    </row>
    <row r="254" spans="1:30" x14ac:dyDescent="0.2">
      <c r="A254" s="20">
        <v>41</v>
      </c>
      <c r="B254" s="15" t="s">
        <v>73</v>
      </c>
      <c r="C254" s="12" t="s">
        <v>1890</v>
      </c>
      <c r="D254" s="20">
        <v>6</v>
      </c>
      <c r="E254" s="20">
        <v>2</v>
      </c>
      <c r="F254" s="15" t="s">
        <v>290</v>
      </c>
      <c r="G254" s="15" t="s">
        <v>47</v>
      </c>
      <c r="J254" s="15" t="s">
        <v>291</v>
      </c>
      <c r="K254" s="20">
        <v>10</v>
      </c>
      <c r="L254" s="20">
        <v>7</v>
      </c>
      <c r="M254" s="20">
        <v>4</v>
      </c>
      <c r="N254" s="21"/>
      <c r="O254" s="21"/>
      <c r="P254" s="21"/>
      <c r="Q254" s="21"/>
      <c r="R254" s="21"/>
      <c r="S254" s="21"/>
      <c r="T254" s="20">
        <v>13</v>
      </c>
      <c r="U254" s="20">
        <v>45</v>
      </c>
      <c r="V254" s="20">
        <v>75</v>
      </c>
      <c r="W254" s="20">
        <v>9000</v>
      </c>
      <c r="X254" s="15" t="s">
        <v>252</v>
      </c>
      <c r="Y254" s="20">
        <v>6</v>
      </c>
      <c r="Z254" s="15" t="s">
        <v>296</v>
      </c>
      <c r="AA254" s="15" t="s">
        <v>362</v>
      </c>
      <c r="AB254" s="15" t="s">
        <v>307</v>
      </c>
      <c r="AC254" s="20" t="s">
        <v>257</v>
      </c>
      <c r="AD254" s="9" t="str">
        <f>IF(OR(Form_Responses34[[#This Row],[Total_monthly_fuel_expense 
]]&gt;10040,Form_Responses34[[#This Row],[Total_monthly_fuel_expense 
]]&lt;-4760),"Outlier","Normal")</f>
        <v>Normal</v>
      </c>
    </row>
    <row r="255" spans="1:30" x14ac:dyDescent="0.2">
      <c r="A255" s="20">
        <v>26</v>
      </c>
      <c r="B255" s="15" t="s">
        <v>73</v>
      </c>
      <c r="C255" s="12" t="s">
        <v>1889</v>
      </c>
      <c r="D255" s="20">
        <v>4</v>
      </c>
      <c r="E255" s="20">
        <v>1</v>
      </c>
      <c r="F255" s="15" t="s">
        <v>431</v>
      </c>
      <c r="I255" s="15" t="s">
        <v>47</v>
      </c>
      <c r="K255" s="21"/>
      <c r="L255" s="21"/>
      <c r="M255" s="21"/>
      <c r="N255" s="21"/>
      <c r="O255" s="21"/>
      <c r="P255" s="21"/>
      <c r="Q255" s="20">
        <v>3</v>
      </c>
      <c r="R255" s="20">
        <v>32</v>
      </c>
      <c r="S255" s="20">
        <v>30</v>
      </c>
      <c r="T255" s="21"/>
      <c r="U255" s="21"/>
      <c r="V255" s="21"/>
      <c r="W255" s="20">
        <v>4500</v>
      </c>
      <c r="X255" s="15" t="s">
        <v>857</v>
      </c>
      <c r="Y255" s="20">
        <v>14</v>
      </c>
      <c r="Z255" s="15" t="s">
        <v>255</v>
      </c>
      <c r="AA255" s="15" t="s">
        <v>362</v>
      </c>
      <c r="AB255" s="15" t="s">
        <v>307</v>
      </c>
      <c r="AC255" s="20" t="s">
        <v>68</v>
      </c>
      <c r="AD255" s="9" t="str">
        <f>IF(OR(Form_Responses34[[#This Row],[Total_monthly_fuel_expense 
]]&gt;10040,Form_Responses34[[#This Row],[Total_monthly_fuel_expense 
]]&lt;-4760),"Outlier","Normal")</f>
        <v>Normal</v>
      </c>
    </row>
    <row r="256" spans="1:30" x14ac:dyDescent="0.2">
      <c r="A256" s="20">
        <v>29</v>
      </c>
      <c r="B256" s="15" t="s">
        <v>42</v>
      </c>
      <c r="C256" s="12" t="s">
        <v>1889</v>
      </c>
      <c r="D256" s="20">
        <v>5</v>
      </c>
      <c r="E256" s="20">
        <v>1</v>
      </c>
      <c r="F256" s="15" t="s">
        <v>46</v>
      </c>
      <c r="G256" s="15" t="s">
        <v>47</v>
      </c>
      <c r="K256" s="20">
        <v>12</v>
      </c>
      <c r="L256" s="20">
        <v>6</v>
      </c>
      <c r="M256" s="20">
        <v>4</v>
      </c>
      <c r="N256" s="21"/>
      <c r="O256" s="21"/>
      <c r="P256" s="21"/>
      <c r="Q256" s="21"/>
      <c r="R256" s="21"/>
      <c r="S256" s="21"/>
      <c r="T256" s="21"/>
      <c r="U256" s="21"/>
      <c r="V256" s="21"/>
      <c r="W256" s="20">
        <v>500</v>
      </c>
      <c r="X256" s="15" t="s">
        <v>276</v>
      </c>
      <c r="Y256" s="20">
        <v>4</v>
      </c>
      <c r="Z256" s="15" t="s">
        <v>296</v>
      </c>
      <c r="AA256" s="15" t="s">
        <v>85</v>
      </c>
      <c r="AB256" s="15" t="s">
        <v>325</v>
      </c>
      <c r="AC256" s="20" t="s">
        <v>257</v>
      </c>
      <c r="AD256" s="9" t="str">
        <f>IF(OR(Form_Responses34[[#This Row],[Total_monthly_fuel_expense 
]]&gt;10040,Form_Responses34[[#This Row],[Total_monthly_fuel_expense 
]]&lt;-4760),"Outlier","Normal")</f>
        <v>Normal</v>
      </c>
    </row>
    <row r="257" spans="1:30" x14ac:dyDescent="0.2">
      <c r="A257" s="20">
        <v>30</v>
      </c>
      <c r="B257" s="15" t="s">
        <v>73</v>
      </c>
      <c r="C257" s="12" t="s">
        <v>1889</v>
      </c>
      <c r="D257" s="20">
        <v>4</v>
      </c>
      <c r="E257" s="20">
        <v>2</v>
      </c>
      <c r="F257" s="15" t="s">
        <v>246</v>
      </c>
      <c r="G257" s="15" t="s">
        <v>47</v>
      </c>
      <c r="I257" s="15" t="s">
        <v>47</v>
      </c>
      <c r="K257" s="20">
        <v>7</v>
      </c>
      <c r="L257" s="20">
        <v>10</v>
      </c>
      <c r="M257" s="20">
        <v>6</v>
      </c>
      <c r="N257" s="21"/>
      <c r="O257" s="21"/>
      <c r="P257" s="21"/>
      <c r="Q257" s="20">
        <v>5</v>
      </c>
      <c r="R257" s="20">
        <v>24</v>
      </c>
      <c r="S257" s="20">
        <v>22</v>
      </c>
      <c r="T257" s="21"/>
      <c r="U257" s="21"/>
      <c r="V257" s="21"/>
      <c r="W257" s="20">
        <v>4200</v>
      </c>
      <c r="X257" s="15" t="s">
        <v>252</v>
      </c>
      <c r="Y257" s="20">
        <v>12</v>
      </c>
      <c r="Z257" s="15" t="s">
        <v>255</v>
      </c>
      <c r="AA257" s="15" t="s">
        <v>277</v>
      </c>
      <c r="AB257" s="15" t="s">
        <v>467</v>
      </c>
      <c r="AC257" s="20" t="s">
        <v>152</v>
      </c>
      <c r="AD257" s="9" t="str">
        <f>IF(OR(Form_Responses34[[#This Row],[Total_monthly_fuel_expense 
]]&gt;10040,Form_Responses34[[#This Row],[Total_monthly_fuel_expense 
]]&lt;-4760),"Outlier","Normal")</f>
        <v>Normal</v>
      </c>
    </row>
    <row r="258" spans="1:30" x14ac:dyDescent="0.2">
      <c r="A258" s="20">
        <v>31</v>
      </c>
      <c r="B258" s="15" t="s">
        <v>42</v>
      </c>
      <c r="C258" s="12" t="s">
        <v>1889</v>
      </c>
      <c r="D258" s="20">
        <v>3</v>
      </c>
      <c r="E258" s="20">
        <v>1</v>
      </c>
      <c r="F258" s="15" t="s">
        <v>100</v>
      </c>
      <c r="H258" s="15" t="s">
        <v>47</v>
      </c>
      <c r="K258" s="21"/>
      <c r="L258" s="21"/>
      <c r="M258" s="21"/>
      <c r="N258" s="20">
        <v>3</v>
      </c>
      <c r="O258" s="20">
        <v>8</v>
      </c>
      <c r="P258" s="20">
        <v>5</v>
      </c>
      <c r="Q258" s="21"/>
      <c r="R258" s="21"/>
      <c r="S258" s="21"/>
      <c r="T258" s="21"/>
      <c r="U258" s="21"/>
      <c r="V258" s="21"/>
      <c r="W258" s="20">
        <v>650</v>
      </c>
      <c r="X258" s="15" t="s">
        <v>276</v>
      </c>
      <c r="Y258" s="20">
        <v>6</v>
      </c>
      <c r="Z258" s="15" t="s">
        <v>255</v>
      </c>
      <c r="AA258" s="15" t="s">
        <v>85</v>
      </c>
      <c r="AB258" s="15" t="s">
        <v>325</v>
      </c>
      <c r="AC258" s="20" t="s">
        <v>68</v>
      </c>
      <c r="AD258" s="9" t="str">
        <f>IF(OR(Form_Responses34[[#This Row],[Total_monthly_fuel_expense 
]]&gt;10040,Form_Responses34[[#This Row],[Total_monthly_fuel_expense 
]]&lt;-4760),"Outlier","Normal")</f>
        <v>Normal</v>
      </c>
    </row>
    <row r="259" spans="1:30" x14ac:dyDescent="0.2">
      <c r="A259" s="20">
        <v>54</v>
      </c>
      <c r="B259" s="15" t="s">
        <v>73</v>
      </c>
      <c r="C259" s="12" t="s">
        <v>155</v>
      </c>
      <c r="D259" s="20">
        <v>6</v>
      </c>
      <c r="E259" s="20">
        <v>3</v>
      </c>
      <c r="F259" s="15" t="s">
        <v>309</v>
      </c>
      <c r="G259" s="15" t="s">
        <v>47</v>
      </c>
      <c r="I259" s="15" t="s">
        <v>47</v>
      </c>
      <c r="J259" s="15" t="s">
        <v>291</v>
      </c>
      <c r="K259" s="20">
        <v>10</v>
      </c>
      <c r="L259" s="20">
        <v>5</v>
      </c>
      <c r="M259" s="20">
        <v>3</v>
      </c>
      <c r="N259" s="21"/>
      <c r="O259" s="21"/>
      <c r="P259" s="21"/>
      <c r="Q259" s="20">
        <v>8</v>
      </c>
      <c r="R259" s="20">
        <v>20</v>
      </c>
      <c r="S259" s="20">
        <v>22</v>
      </c>
      <c r="T259" s="20">
        <v>15</v>
      </c>
      <c r="U259" s="20">
        <v>60</v>
      </c>
      <c r="V259" s="20">
        <v>90</v>
      </c>
      <c r="W259" s="20">
        <v>13800</v>
      </c>
      <c r="X259" s="15" t="s">
        <v>159</v>
      </c>
      <c r="Y259" s="20">
        <v>18</v>
      </c>
      <c r="Z259" s="15" t="s">
        <v>255</v>
      </c>
      <c r="AA259" s="15" t="s">
        <v>362</v>
      </c>
      <c r="AB259" s="15" t="s">
        <v>307</v>
      </c>
      <c r="AC259" s="20" t="s">
        <v>68</v>
      </c>
      <c r="AD259" s="9" t="str">
        <f>IF(OR(Form_Responses34[[#This Row],[Total_monthly_fuel_expense 
]]&gt;10040,Form_Responses34[[#This Row],[Total_monthly_fuel_expense 
]]&lt;-4760),"Outlier","Normal")</f>
        <v>Outlier</v>
      </c>
    </row>
    <row r="260" spans="1:30" x14ac:dyDescent="0.2">
      <c r="A260" s="20">
        <v>23</v>
      </c>
      <c r="B260" s="15" t="s">
        <v>42</v>
      </c>
      <c r="C260" s="12" t="s">
        <v>182</v>
      </c>
      <c r="D260" s="20">
        <v>3</v>
      </c>
      <c r="E260" s="20">
        <v>1</v>
      </c>
      <c r="F260" s="15" t="s">
        <v>46</v>
      </c>
      <c r="G260" s="15" t="s">
        <v>47</v>
      </c>
      <c r="K260" s="20">
        <v>2</v>
      </c>
      <c r="L260" s="20">
        <v>16</v>
      </c>
      <c r="M260" s="20">
        <v>9</v>
      </c>
      <c r="N260" s="21"/>
      <c r="O260" s="21"/>
      <c r="P260" s="21"/>
      <c r="Q260" s="21"/>
      <c r="R260" s="21"/>
      <c r="S260" s="21"/>
      <c r="T260" s="21"/>
      <c r="U260" s="21"/>
      <c r="V260" s="21"/>
      <c r="W260" s="20">
        <v>1100</v>
      </c>
      <c r="X260" s="15" t="s">
        <v>252</v>
      </c>
      <c r="Y260" s="20">
        <v>5</v>
      </c>
      <c r="Z260" s="15" t="s">
        <v>285</v>
      </c>
      <c r="AA260" s="15" t="s">
        <v>277</v>
      </c>
      <c r="AB260" s="15" t="s">
        <v>256</v>
      </c>
      <c r="AC260" s="20" t="s">
        <v>68</v>
      </c>
      <c r="AD260" s="9" t="str">
        <f>IF(OR(Form_Responses34[[#This Row],[Total_monthly_fuel_expense 
]]&gt;10040,Form_Responses34[[#This Row],[Total_monthly_fuel_expense 
]]&lt;-4760),"Outlier","Normal")</f>
        <v>Normal</v>
      </c>
    </row>
    <row r="261" spans="1:30" x14ac:dyDescent="0.2">
      <c r="A261" s="20">
        <v>44</v>
      </c>
      <c r="B261" s="15" t="s">
        <v>73</v>
      </c>
      <c r="C261" s="12" t="s">
        <v>1890</v>
      </c>
      <c r="D261" s="20">
        <v>5</v>
      </c>
      <c r="E261" s="20">
        <v>2</v>
      </c>
      <c r="F261" s="15" t="s">
        <v>290</v>
      </c>
      <c r="G261" s="15" t="s">
        <v>47</v>
      </c>
      <c r="J261" s="15" t="s">
        <v>291</v>
      </c>
      <c r="K261" s="20">
        <v>9</v>
      </c>
      <c r="L261" s="20">
        <v>8</v>
      </c>
      <c r="M261" s="20">
        <v>5</v>
      </c>
      <c r="N261" s="21"/>
      <c r="O261" s="21"/>
      <c r="P261" s="21"/>
      <c r="Q261" s="21"/>
      <c r="R261" s="21"/>
      <c r="S261" s="21"/>
      <c r="T261" s="20">
        <v>14</v>
      </c>
      <c r="U261" s="20">
        <v>50</v>
      </c>
      <c r="V261" s="20">
        <v>88</v>
      </c>
      <c r="W261" s="20">
        <v>10200</v>
      </c>
      <c r="X261" s="15" t="s">
        <v>252</v>
      </c>
      <c r="Y261" s="20">
        <v>7</v>
      </c>
      <c r="Z261" s="15" t="s">
        <v>296</v>
      </c>
      <c r="AA261" s="15" t="s">
        <v>362</v>
      </c>
      <c r="AB261" s="15" t="s">
        <v>307</v>
      </c>
      <c r="AC261" s="20" t="s">
        <v>257</v>
      </c>
      <c r="AD261" s="9" t="str">
        <f>IF(OR(Form_Responses34[[#This Row],[Total_monthly_fuel_expense 
]]&gt;10040,Form_Responses34[[#This Row],[Total_monthly_fuel_expense 
]]&lt;-4760),"Outlier","Normal")</f>
        <v>Outlier</v>
      </c>
    </row>
    <row r="262" spans="1:30" x14ac:dyDescent="0.2">
      <c r="A262" s="20">
        <v>29</v>
      </c>
      <c r="B262" s="15" t="s">
        <v>73</v>
      </c>
      <c r="C262" s="12" t="s">
        <v>1889</v>
      </c>
      <c r="D262" s="20">
        <v>4</v>
      </c>
      <c r="E262" s="20">
        <v>1</v>
      </c>
      <c r="F262" s="15" t="s">
        <v>46</v>
      </c>
      <c r="G262" s="15" t="s">
        <v>47</v>
      </c>
      <c r="K262" s="20">
        <v>6</v>
      </c>
      <c r="L262" s="20">
        <v>16</v>
      </c>
      <c r="M262" s="20">
        <v>9</v>
      </c>
      <c r="N262" s="21"/>
      <c r="O262" s="21"/>
      <c r="P262" s="21"/>
      <c r="Q262" s="21"/>
      <c r="R262" s="21"/>
      <c r="S262" s="21"/>
      <c r="T262" s="21"/>
      <c r="U262" s="21"/>
      <c r="V262" s="21"/>
      <c r="W262" s="20">
        <v>1150</v>
      </c>
      <c r="X262" s="15" t="s">
        <v>276</v>
      </c>
      <c r="Y262" s="20">
        <v>8</v>
      </c>
      <c r="Z262" s="15" t="s">
        <v>255</v>
      </c>
      <c r="AA262" s="15" t="s">
        <v>96</v>
      </c>
      <c r="AB262" s="15" t="s">
        <v>467</v>
      </c>
      <c r="AC262" s="20" t="s">
        <v>68</v>
      </c>
      <c r="AD262" s="9" t="str">
        <f>IF(OR(Form_Responses34[[#This Row],[Total_monthly_fuel_expense 
]]&gt;10040,Form_Responses34[[#This Row],[Total_monthly_fuel_expense 
]]&lt;-4760),"Outlier","Normal")</f>
        <v>Normal</v>
      </c>
    </row>
    <row r="263" spans="1:30" x14ac:dyDescent="0.2">
      <c r="A263" s="20">
        <v>27</v>
      </c>
      <c r="B263" s="15" t="s">
        <v>42</v>
      </c>
      <c r="C263" s="12" t="s">
        <v>1889</v>
      </c>
      <c r="D263" s="20">
        <v>3</v>
      </c>
      <c r="E263" s="20">
        <v>1</v>
      </c>
      <c r="F263" s="15" t="s">
        <v>100</v>
      </c>
      <c r="G263" s="15"/>
      <c r="H263" s="45" t="s">
        <v>47</v>
      </c>
      <c r="K263" s="21"/>
      <c r="L263" s="21"/>
      <c r="M263" s="21"/>
      <c r="N263" s="20">
        <v>3</v>
      </c>
      <c r="O263" s="20">
        <v>9</v>
      </c>
      <c r="P263" s="20">
        <v>5</v>
      </c>
      <c r="Q263" s="21"/>
      <c r="R263" s="21"/>
      <c r="S263" s="21"/>
      <c r="T263" s="21"/>
      <c r="U263" s="21"/>
      <c r="V263" s="21"/>
      <c r="W263" s="20">
        <v>650</v>
      </c>
      <c r="X263" s="15" t="s">
        <v>276</v>
      </c>
      <c r="Y263" s="20">
        <v>6</v>
      </c>
      <c r="Z263" s="15" t="s">
        <v>255</v>
      </c>
      <c r="AA263" s="15" t="s">
        <v>96</v>
      </c>
      <c r="AB263" s="15" t="s">
        <v>335</v>
      </c>
      <c r="AC263" s="20" t="s">
        <v>68</v>
      </c>
      <c r="AD263" s="9" t="str">
        <f>IF(OR(Form_Responses34[[#This Row],[Total_monthly_fuel_expense 
]]&gt;10040,Form_Responses34[[#This Row],[Total_monthly_fuel_expense 
]]&lt;-4760),"Outlier","Normal")</f>
        <v>Normal</v>
      </c>
    </row>
    <row r="264" spans="1:30" x14ac:dyDescent="0.2">
      <c r="A264" s="20">
        <v>52</v>
      </c>
      <c r="B264" s="15" t="s">
        <v>73</v>
      </c>
      <c r="C264" s="12" t="s">
        <v>1891</v>
      </c>
      <c r="D264" s="20">
        <v>4</v>
      </c>
      <c r="E264" s="20">
        <v>3</v>
      </c>
      <c r="F264" s="15" t="s">
        <v>309</v>
      </c>
      <c r="G264" s="15" t="s">
        <v>47</v>
      </c>
      <c r="I264" s="15" t="s">
        <v>47</v>
      </c>
      <c r="J264" s="15" t="s">
        <v>291</v>
      </c>
      <c r="K264" s="20">
        <v>12</v>
      </c>
      <c r="L264" s="20">
        <v>5</v>
      </c>
      <c r="M264" s="20">
        <v>3</v>
      </c>
      <c r="N264" s="21"/>
      <c r="O264" s="21"/>
      <c r="P264" s="21"/>
      <c r="Q264" s="20">
        <v>9</v>
      </c>
      <c r="R264" s="20">
        <v>18</v>
      </c>
      <c r="S264" s="20">
        <v>20</v>
      </c>
      <c r="T264" s="20">
        <v>16</v>
      </c>
      <c r="U264" s="20">
        <v>65</v>
      </c>
      <c r="V264" s="20">
        <v>1</v>
      </c>
      <c r="W264" s="20">
        <v>14500</v>
      </c>
      <c r="X264" s="15" t="s">
        <v>252</v>
      </c>
      <c r="Y264" s="20">
        <v>20</v>
      </c>
      <c r="Z264" s="15" t="s">
        <v>559</v>
      </c>
      <c r="AA264" s="15" t="s">
        <v>85</v>
      </c>
      <c r="AB264" s="15" t="s">
        <v>256</v>
      </c>
      <c r="AC264" s="20" t="s">
        <v>152</v>
      </c>
      <c r="AD264" s="9" t="str">
        <f>IF(OR(Form_Responses34[[#This Row],[Total_monthly_fuel_expense 
]]&gt;10040,Form_Responses34[[#This Row],[Total_monthly_fuel_expense 
]]&lt;-4760),"Outlier","Normal")</f>
        <v>Outlier</v>
      </c>
    </row>
    <row r="265" spans="1:30" x14ac:dyDescent="0.2">
      <c r="A265" s="20">
        <v>31</v>
      </c>
      <c r="B265" s="15" t="s">
        <v>42</v>
      </c>
      <c r="C265" s="12" t="s">
        <v>1889</v>
      </c>
      <c r="D265" s="20">
        <v>3</v>
      </c>
      <c r="E265" s="20">
        <v>1</v>
      </c>
      <c r="F265" s="15" t="s">
        <v>431</v>
      </c>
      <c r="I265" s="15" t="s">
        <v>47</v>
      </c>
      <c r="K265" s="21"/>
      <c r="L265" s="21"/>
      <c r="M265" s="21"/>
      <c r="N265" s="21"/>
      <c r="O265" s="21"/>
      <c r="P265" s="21"/>
      <c r="Q265" s="20">
        <v>4</v>
      </c>
      <c r="R265" s="20">
        <v>28</v>
      </c>
      <c r="S265" s="20">
        <v>25</v>
      </c>
      <c r="T265" s="21"/>
      <c r="U265" s="21"/>
      <c r="V265" s="21"/>
      <c r="W265" s="20">
        <v>3800</v>
      </c>
      <c r="X265" s="15" t="s">
        <v>360</v>
      </c>
      <c r="Y265" s="20">
        <v>14</v>
      </c>
      <c r="Z265" s="15" t="s">
        <v>255</v>
      </c>
      <c r="AA265" s="15" t="s">
        <v>362</v>
      </c>
      <c r="AB265" s="15" t="s">
        <v>307</v>
      </c>
      <c r="AC265" s="20" t="s">
        <v>257</v>
      </c>
      <c r="AD265" s="9" t="str">
        <f>IF(OR(Form_Responses34[[#This Row],[Total_monthly_fuel_expense 
]]&gt;10040,Form_Responses34[[#This Row],[Total_monthly_fuel_expense 
]]&lt;-4760),"Outlier","Normal")</f>
        <v>Normal</v>
      </c>
    </row>
    <row r="266" spans="1:30" x14ac:dyDescent="0.2">
      <c r="A266" s="20">
        <v>35</v>
      </c>
      <c r="B266" s="15" t="s">
        <v>73</v>
      </c>
      <c r="C266" s="12" t="s">
        <v>1889</v>
      </c>
      <c r="D266" s="20">
        <v>5</v>
      </c>
      <c r="E266" s="21">
        <v>1</v>
      </c>
      <c r="F266" s="15" t="s">
        <v>46</v>
      </c>
      <c r="G266" s="15" t="s">
        <v>47</v>
      </c>
      <c r="K266" s="20">
        <v>7</v>
      </c>
      <c r="L266" s="20">
        <v>14</v>
      </c>
      <c r="M266" s="20">
        <v>8</v>
      </c>
      <c r="N266" s="21"/>
      <c r="O266" s="21"/>
      <c r="P266" s="21"/>
      <c r="Q266" s="21"/>
      <c r="R266" s="21"/>
      <c r="S266" s="21"/>
      <c r="T266" s="21"/>
      <c r="U266" s="21"/>
      <c r="V266" s="21"/>
      <c r="W266" s="20">
        <v>1000</v>
      </c>
      <c r="X266" s="15" t="s">
        <v>276</v>
      </c>
      <c r="Y266" s="20">
        <v>6</v>
      </c>
      <c r="Z266" s="15" t="s">
        <v>724</v>
      </c>
      <c r="AA266" s="15" t="s">
        <v>85</v>
      </c>
      <c r="AB266" s="15" t="s">
        <v>325</v>
      </c>
      <c r="AC266" s="20" t="s">
        <v>152</v>
      </c>
      <c r="AD266" s="9" t="str">
        <f>IF(OR(Form_Responses34[[#This Row],[Total_monthly_fuel_expense 
]]&gt;10040,Form_Responses34[[#This Row],[Total_monthly_fuel_expense 
]]&lt;-4760),"Outlier","Normal")</f>
        <v>Normal</v>
      </c>
    </row>
    <row r="267" spans="1:30" x14ac:dyDescent="0.2">
      <c r="A267" s="20">
        <v>24</v>
      </c>
      <c r="B267" s="15" t="s">
        <v>42</v>
      </c>
      <c r="C267" s="12" t="s">
        <v>182</v>
      </c>
      <c r="D267" s="20">
        <v>6</v>
      </c>
      <c r="E267" s="20">
        <v>1</v>
      </c>
      <c r="F267" s="15" t="s">
        <v>46</v>
      </c>
      <c r="G267" s="15" t="s">
        <v>47</v>
      </c>
      <c r="K267" s="20">
        <v>1</v>
      </c>
      <c r="L267" s="20">
        <v>18</v>
      </c>
      <c r="M267" s="20">
        <v>10</v>
      </c>
      <c r="N267" s="21"/>
      <c r="O267" s="21"/>
      <c r="P267" s="21"/>
      <c r="Q267" s="21"/>
      <c r="R267" s="21"/>
      <c r="S267" s="21"/>
      <c r="T267" s="21"/>
      <c r="U267" s="21"/>
      <c r="V267" s="21"/>
      <c r="W267" s="20">
        <v>1250</v>
      </c>
      <c r="X267" s="15" t="s">
        <v>360</v>
      </c>
      <c r="Y267" s="20">
        <v>9</v>
      </c>
      <c r="Z267" s="15" t="s">
        <v>285</v>
      </c>
      <c r="AA267" s="15" t="s">
        <v>277</v>
      </c>
      <c r="AB267" s="15" t="s">
        <v>256</v>
      </c>
      <c r="AC267" s="20" t="s">
        <v>68</v>
      </c>
      <c r="AD267" s="9" t="str">
        <f>IF(OR(Form_Responses34[[#This Row],[Total_monthly_fuel_expense 
]]&gt;10040,Form_Responses34[[#This Row],[Total_monthly_fuel_expense 
]]&lt;-4760),"Outlier","Normal")</f>
        <v>Normal</v>
      </c>
    </row>
    <row r="268" spans="1:30" x14ac:dyDescent="0.2">
      <c r="A268" s="20">
        <v>48</v>
      </c>
      <c r="B268" s="15" t="s">
        <v>73</v>
      </c>
      <c r="C268" s="12" t="s">
        <v>1890</v>
      </c>
      <c r="D268" s="20">
        <v>5</v>
      </c>
      <c r="E268" s="20">
        <v>2</v>
      </c>
      <c r="F268" s="15" t="s">
        <v>290</v>
      </c>
      <c r="G268" s="15" t="s">
        <v>47</v>
      </c>
      <c r="J268" s="15" t="s">
        <v>291</v>
      </c>
      <c r="K268" s="20">
        <v>11</v>
      </c>
      <c r="L268" s="20">
        <v>6</v>
      </c>
      <c r="M268" s="20">
        <v>4</v>
      </c>
      <c r="N268" s="21"/>
      <c r="O268" s="21"/>
      <c r="P268" s="21"/>
      <c r="Q268" s="21"/>
      <c r="R268" s="21"/>
      <c r="S268" s="21"/>
      <c r="T268" s="20">
        <v>15</v>
      </c>
      <c r="U268" s="20">
        <v>55</v>
      </c>
      <c r="V268" s="20">
        <v>85</v>
      </c>
      <c r="W268" s="20">
        <v>10800</v>
      </c>
      <c r="X268" s="15" t="s">
        <v>252</v>
      </c>
      <c r="Y268" s="20">
        <v>6</v>
      </c>
      <c r="Z268" s="15" t="s">
        <v>296</v>
      </c>
      <c r="AA268" s="15" t="s">
        <v>85</v>
      </c>
      <c r="AB268" s="15" t="s">
        <v>256</v>
      </c>
      <c r="AC268" s="20" t="s">
        <v>257</v>
      </c>
      <c r="AD268" s="9" t="str">
        <f>IF(OR(Form_Responses34[[#This Row],[Total_monthly_fuel_expense 
]]&gt;10040,Form_Responses34[[#This Row],[Total_monthly_fuel_expense 
]]&lt;-4760),"Outlier","Normal")</f>
        <v>Outlier</v>
      </c>
    </row>
    <row r="269" spans="1:30" x14ac:dyDescent="0.2">
      <c r="A269" s="20">
        <v>19</v>
      </c>
      <c r="B269" s="15" t="s">
        <v>42</v>
      </c>
      <c r="C269" s="12" t="s">
        <v>1889</v>
      </c>
      <c r="D269" s="20">
        <v>4</v>
      </c>
      <c r="E269" s="20">
        <v>1</v>
      </c>
      <c r="F269" s="15" t="s">
        <v>100</v>
      </c>
      <c r="H269" s="15" t="s">
        <v>47</v>
      </c>
      <c r="K269" s="21"/>
      <c r="L269" s="21"/>
      <c r="M269" s="21"/>
      <c r="N269" s="20">
        <v>4</v>
      </c>
      <c r="O269" s="20">
        <v>8</v>
      </c>
      <c r="P269" s="20">
        <v>5</v>
      </c>
      <c r="Q269" s="21"/>
      <c r="R269" s="21"/>
      <c r="S269" s="21"/>
      <c r="T269" s="21"/>
      <c r="U269" s="21"/>
      <c r="V269" s="21"/>
      <c r="W269" s="20">
        <v>650</v>
      </c>
      <c r="X269" s="15" t="s">
        <v>323</v>
      </c>
      <c r="Y269" s="20">
        <v>6</v>
      </c>
      <c r="Z269" s="15" t="s">
        <v>255</v>
      </c>
      <c r="AA269" s="15" t="s">
        <v>277</v>
      </c>
      <c r="AB269" s="15" t="s">
        <v>256</v>
      </c>
      <c r="AC269" s="20" t="s">
        <v>152</v>
      </c>
      <c r="AD269" s="9" t="str">
        <f>IF(OR(Form_Responses34[[#This Row],[Total_monthly_fuel_expense 
]]&gt;10040,Form_Responses34[[#This Row],[Total_monthly_fuel_expense 
]]&lt;-4760),"Outlier","Normal")</f>
        <v>Normal</v>
      </c>
    </row>
    <row r="270" spans="1:30" x14ac:dyDescent="0.2">
      <c r="A270" s="20">
        <v>55</v>
      </c>
      <c r="B270" s="15" t="s">
        <v>73</v>
      </c>
      <c r="C270" s="12" t="s">
        <v>155</v>
      </c>
      <c r="D270" s="20">
        <v>4</v>
      </c>
      <c r="E270" s="20">
        <v>3</v>
      </c>
      <c r="F270" s="15" t="s">
        <v>309</v>
      </c>
      <c r="G270" s="15" t="s">
        <v>47</v>
      </c>
      <c r="I270" s="15" t="s">
        <v>47</v>
      </c>
      <c r="J270" s="15" t="s">
        <v>291</v>
      </c>
      <c r="K270" s="20">
        <v>13</v>
      </c>
      <c r="L270" s="20">
        <v>4</v>
      </c>
      <c r="M270" s="20">
        <v>3</v>
      </c>
      <c r="N270" s="21"/>
      <c r="O270" s="21"/>
      <c r="P270" s="21"/>
      <c r="Q270" s="20">
        <v>10</v>
      </c>
      <c r="R270" s="20">
        <v>16</v>
      </c>
      <c r="S270" s="20">
        <v>18</v>
      </c>
      <c r="T270" s="20">
        <v>18</v>
      </c>
      <c r="U270" s="20">
        <v>70</v>
      </c>
      <c r="V270" s="20">
        <v>110</v>
      </c>
      <c r="W270" s="20">
        <v>15600</v>
      </c>
      <c r="X270" s="15" t="s">
        <v>159</v>
      </c>
      <c r="Y270" s="20">
        <v>22</v>
      </c>
      <c r="Z270" s="15" t="s">
        <v>559</v>
      </c>
      <c r="AA270" s="15" t="s">
        <v>362</v>
      </c>
      <c r="AB270" s="15" t="s">
        <v>307</v>
      </c>
      <c r="AC270" s="20" t="s">
        <v>68</v>
      </c>
      <c r="AD270" s="9" t="str">
        <f>IF(OR(Form_Responses34[[#This Row],[Total_monthly_fuel_expense 
]]&gt;10040,Form_Responses34[[#This Row],[Total_monthly_fuel_expense 
]]&lt;-4760),"Outlier","Normal")</f>
        <v>Outlier</v>
      </c>
    </row>
    <row r="271" spans="1:30" x14ac:dyDescent="0.2">
      <c r="A271" s="20">
        <v>26</v>
      </c>
      <c r="B271" s="15" t="s">
        <v>42</v>
      </c>
      <c r="C271" s="12" t="s">
        <v>1888</v>
      </c>
      <c r="D271" s="20">
        <v>5</v>
      </c>
      <c r="E271" s="20">
        <v>1</v>
      </c>
      <c r="F271" s="15" t="s">
        <v>431</v>
      </c>
      <c r="I271" s="15" t="s">
        <v>47</v>
      </c>
      <c r="K271" s="21"/>
      <c r="L271" s="21"/>
      <c r="M271" s="21"/>
      <c r="N271" s="21"/>
      <c r="O271" s="21"/>
      <c r="P271" s="21"/>
      <c r="Q271" s="20">
        <v>2</v>
      </c>
      <c r="R271" s="20">
        <v>34</v>
      </c>
      <c r="S271" s="20">
        <v>30</v>
      </c>
      <c r="T271" s="21"/>
      <c r="U271" s="21"/>
      <c r="V271" s="21"/>
      <c r="W271" s="20">
        <v>4400</v>
      </c>
      <c r="X271" s="15" t="s">
        <v>159</v>
      </c>
      <c r="Y271" s="20">
        <v>15</v>
      </c>
      <c r="Z271" s="15" t="s">
        <v>255</v>
      </c>
      <c r="AA271" s="15" t="s">
        <v>362</v>
      </c>
      <c r="AB271" s="15" t="s">
        <v>307</v>
      </c>
      <c r="AC271" s="20" t="s">
        <v>152</v>
      </c>
      <c r="AD271" s="9" t="str">
        <f>IF(OR(Form_Responses34[[#This Row],[Total_monthly_fuel_expense 
]]&gt;10040,Form_Responses34[[#This Row],[Total_monthly_fuel_expense 
]]&lt;-4760),"Outlier","Normal")</f>
        <v>Normal</v>
      </c>
    </row>
    <row r="272" spans="1:30" x14ac:dyDescent="0.2">
      <c r="A272" s="20">
        <v>31</v>
      </c>
      <c r="B272" s="15" t="s">
        <v>73</v>
      </c>
      <c r="C272" s="12" t="s">
        <v>1889</v>
      </c>
      <c r="D272" s="20">
        <v>4</v>
      </c>
      <c r="E272" s="20">
        <v>2</v>
      </c>
      <c r="F272" s="15" t="s">
        <v>61</v>
      </c>
      <c r="G272" s="15" t="s">
        <v>47</v>
      </c>
      <c r="H272" s="15" t="s">
        <v>47</v>
      </c>
      <c r="K272" s="20">
        <v>5</v>
      </c>
      <c r="L272" s="20">
        <v>15</v>
      </c>
      <c r="M272" s="20">
        <v>9</v>
      </c>
      <c r="N272" s="20">
        <v>3</v>
      </c>
      <c r="O272" s="20">
        <v>6</v>
      </c>
      <c r="P272" s="20">
        <v>4</v>
      </c>
      <c r="Q272" s="21"/>
      <c r="R272" s="21"/>
      <c r="S272" s="21"/>
      <c r="T272" s="21"/>
      <c r="U272" s="21"/>
      <c r="V272" s="21"/>
      <c r="W272" s="20">
        <v>1800</v>
      </c>
      <c r="X272" s="15" t="s">
        <v>252</v>
      </c>
      <c r="Y272" s="20">
        <v>8</v>
      </c>
      <c r="Z272" s="15" t="s">
        <v>255</v>
      </c>
      <c r="AA272" s="15" t="s">
        <v>85</v>
      </c>
      <c r="AB272" s="15" t="s">
        <v>325</v>
      </c>
      <c r="AC272" s="20" t="s">
        <v>68</v>
      </c>
      <c r="AD272" s="9" t="str">
        <f>IF(OR(Form_Responses34[[#This Row],[Total_monthly_fuel_expense 
]]&gt;10040,Form_Responses34[[#This Row],[Total_monthly_fuel_expense 
]]&lt;-4760),"Outlier","Normal")</f>
        <v>Normal</v>
      </c>
    </row>
    <row r="273" spans="1:30" x14ac:dyDescent="0.2">
      <c r="A273" s="20">
        <v>24</v>
      </c>
      <c r="B273" s="15" t="s">
        <v>42</v>
      </c>
      <c r="C273" s="12" t="s">
        <v>182</v>
      </c>
      <c r="D273" s="20">
        <v>3</v>
      </c>
      <c r="E273" s="20">
        <v>1</v>
      </c>
      <c r="F273" s="15" t="s">
        <v>100</v>
      </c>
      <c r="H273" s="15" t="s">
        <v>47</v>
      </c>
      <c r="K273" s="21"/>
      <c r="L273" s="21"/>
      <c r="M273" s="21"/>
      <c r="N273" s="20">
        <v>2</v>
      </c>
      <c r="O273" s="20">
        <v>7</v>
      </c>
      <c r="P273" s="20">
        <v>4</v>
      </c>
      <c r="Q273" s="21"/>
      <c r="R273" s="21"/>
      <c r="S273" s="21"/>
      <c r="T273" s="21"/>
      <c r="U273" s="21"/>
      <c r="V273" s="21"/>
      <c r="W273" s="20">
        <v>520</v>
      </c>
      <c r="X273" s="15" t="s">
        <v>323</v>
      </c>
      <c r="Y273" s="20">
        <v>4</v>
      </c>
      <c r="Z273" s="15" t="s">
        <v>285</v>
      </c>
      <c r="AA273" s="15" t="s">
        <v>96</v>
      </c>
      <c r="AB273" s="15" t="s">
        <v>256</v>
      </c>
      <c r="AC273" s="20" t="s">
        <v>257</v>
      </c>
      <c r="AD273" s="9" t="str">
        <f>IF(OR(Form_Responses34[[#This Row],[Total_monthly_fuel_expense 
]]&gt;10040,Form_Responses34[[#This Row],[Total_monthly_fuel_expense 
]]&lt;-4760),"Outlier","Normal")</f>
        <v>Normal</v>
      </c>
    </row>
    <row r="274" spans="1:30" x14ac:dyDescent="0.2">
      <c r="A274" s="20">
        <v>29</v>
      </c>
      <c r="B274" s="15" t="s">
        <v>73</v>
      </c>
      <c r="C274" s="12" t="s">
        <v>1890</v>
      </c>
      <c r="D274" s="20">
        <v>5</v>
      </c>
      <c r="E274" s="20">
        <v>2</v>
      </c>
      <c r="F274" s="15" t="s">
        <v>246</v>
      </c>
      <c r="G274" s="15" t="s">
        <v>47</v>
      </c>
      <c r="I274" s="15" t="s">
        <v>47</v>
      </c>
      <c r="K274" s="20">
        <v>6</v>
      </c>
      <c r="L274" s="20">
        <v>10</v>
      </c>
      <c r="M274" s="20">
        <v>6</v>
      </c>
      <c r="N274" s="21"/>
      <c r="O274" s="21"/>
      <c r="P274" s="21"/>
      <c r="Q274" s="20">
        <v>4</v>
      </c>
      <c r="R274" s="20">
        <v>18</v>
      </c>
      <c r="S274" s="20">
        <v>20</v>
      </c>
      <c r="T274" s="21"/>
      <c r="U274" s="21"/>
      <c r="V274" s="21"/>
      <c r="W274" s="20">
        <v>3609</v>
      </c>
      <c r="X274" s="15" t="s">
        <v>159</v>
      </c>
      <c r="Y274" s="20">
        <v>10</v>
      </c>
      <c r="Z274" s="15" t="s">
        <v>255</v>
      </c>
      <c r="AA274" s="15" t="s">
        <v>277</v>
      </c>
      <c r="AB274" s="15" t="s">
        <v>256</v>
      </c>
      <c r="AC274" s="20" t="s">
        <v>68</v>
      </c>
      <c r="AD274" s="9" t="str">
        <f>IF(OR(Form_Responses34[[#This Row],[Total_monthly_fuel_expense 
]]&gt;10040,Form_Responses34[[#This Row],[Total_monthly_fuel_expense 
]]&lt;-4760),"Outlier","Normal")</f>
        <v>Normal</v>
      </c>
    </row>
    <row r="275" spans="1:30" x14ac:dyDescent="0.2">
      <c r="A275" s="20">
        <v>27</v>
      </c>
      <c r="B275" s="15" t="s">
        <v>73</v>
      </c>
      <c r="C275" s="12" t="s">
        <v>1889</v>
      </c>
      <c r="D275" s="20">
        <v>5</v>
      </c>
      <c r="E275" s="20">
        <v>2</v>
      </c>
      <c r="F275" s="15" t="s">
        <v>290</v>
      </c>
      <c r="G275" s="15" t="s">
        <v>47</v>
      </c>
      <c r="J275" s="15" t="s">
        <v>291</v>
      </c>
      <c r="K275" s="20">
        <v>9</v>
      </c>
      <c r="L275" s="20">
        <v>7</v>
      </c>
      <c r="M275" s="20">
        <v>5</v>
      </c>
      <c r="N275" s="21"/>
      <c r="O275" s="21"/>
      <c r="P275" s="21"/>
      <c r="Q275" s="21"/>
      <c r="R275" s="21"/>
      <c r="S275" s="21"/>
      <c r="T275" s="20">
        <v>13</v>
      </c>
      <c r="U275" s="20">
        <v>42</v>
      </c>
      <c r="V275" s="20">
        <v>72</v>
      </c>
      <c r="W275" s="20">
        <v>9200</v>
      </c>
      <c r="X275" s="15" t="s">
        <v>252</v>
      </c>
      <c r="Y275" s="20">
        <v>6</v>
      </c>
      <c r="Z275" s="15" t="s">
        <v>296</v>
      </c>
      <c r="AA275" s="15" t="s">
        <v>362</v>
      </c>
      <c r="AB275" s="15" t="s">
        <v>307</v>
      </c>
      <c r="AC275" s="20" t="s">
        <v>257</v>
      </c>
      <c r="AD275" s="9" t="str">
        <f>IF(OR(Form_Responses34[[#This Row],[Total_monthly_fuel_expense 
]]&gt;10040,Form_Responses34[[#This Row],[Total_monthly_fuel_expense 
]]&lt;-4760),"Outlier","Normal")</f>
        <v>Normal</v>
      </c>
    </row>
    <row r="276" spans="1:30" x14ac:dyDescent="0.2">
      <c r="A276" s="20">
        <v>28</v>
      </c>
      <c r="B276" s="15" t="s">
        <v>42</v>
      </c>
      <c r="C276" s="12" t="s">
        <v>1889</v>
      </c>
      <c r="D276" s="20">
        <v>6</v>
      </c>
      <c r="E276" s="20">
        <v>1</v>
      </c>
      <c r="F276" s="15" t="s">
        <v>431</v>
      </c>
      <c r="I276" s="15" t="s">
        <v>47</v>
      </c>
      <c r="K276" s="21"/>
      <c r="L276" s="21"/>
      <c r="M276" s="21"/>
      <c r="N276" s="21"/>
      <c r="O276" s="21"/>
      <c r="P276" s="21"/>
      <c r="Q276" s="20">
        <v>5</v>
      </c>
      <c r="R276" s="20">
        <v>26</v>
      </c>
      <c r="S276" s="20">
        <v>24</v>
      </c>
      <c r="T276" s="21"/>
      <c r="U276" s="21"/>
      <c r="V276" s="21"/>
      <c r="W276" s="20">
        <v>3700</v>
      </c>
      <c r="X276" s="15" t="s">
        <v>276</v>
      </c>
      <c r="Y276" s="20">
        <v>13</v>
      </c>
      <c r="Z276" s="15" t="s">
        <v>255</v>
      </c>
      <c r="AA276" s="15" t="s">
        <v>85</v>
      </c>
      <c r="AB276" s="15" t="s">
        <v>256</v>
      </c>
      <c r="AC276" s="20" t="s">
        <v>257</v>
      </c>
      <c r="AD276" s="9" t="str">
        <f>IF(OR(Form_Responses34[[#This Row],[Total_monthly_fuel_expense 
]]&gt;10040,Form_Responses34[[#This Row],[Total_monthly_fuel_expense 
]]&lt;-4760),"Outlier","Normal")</f>
        <v>Normal</v>
      </c>
    </row>
    <row r="277" spans="1:30" x14ac:dyDescent="0.2">
      <c r="A277" s="20">
        <v>28</v>
      </c>
      <c r="B277" s="15" t="s">
        <v>73</v>
      </c>
      <c r="C277" s="12" t="s">
        <v>1889</v>
      </c>
      <c r="D277" s="20">
        <v>4</v>
      </c>
      <c r="E277" s="20">
        <v>1</v>
      </c>
      <c r="F277" s="15" t="s">
        <v>46</v>
      </c>
      <c r="G277" s="15" t="s">
        <v>47</v>
      </c>
      <c r="K277" s="20">
        <v>6</v>
      </c>
      <c r="L277" s="20">
        <v>12</v>
      </c>
      <c r="M277" s="20">
        <v>7</v>
      </c>
      <c r="N277" s="21"/>
      <c r="O277" s="21"/>
      <c r="P277" s="21"/>
      <c r="Q277" s="21"/>
      <c r="R277" s="21"/>
      <c r="S277" s="21"/>
      <c r="T277" s="21"/>
      <c r="U277" s="21"/>
      <c r="V277" s="21"/>
      <c r="W277" s="20">
        <v>900</v>
      </c>
      <c r="X277" s="15" t="s">
        <v>360</v>
      </c>
      <c r="Y277" s="20">
        <v>6</v>
      </c>
      <c r="Z277" s="15" t="s">
        <v>724</v>
      </c>
      <c r="AA277" s="15" t="s">
        <v>85</v>
      </c>
      <c r="AB277" s="15" t="s">
        <v>256</v>
      </c>
      <c r="AC277" s="20" t="s">
        <v>257</v>
      </c>
      <c r="AD277" s="9" t="str">
        <f>IF(OR(Form_Responses34[[#This Row],[Total_monthly_fuel_expense 
]]&gt;10040,Form_Responses34[[#This Row],[Total_monthly_fuel_expense 
]]&lt;-4760),"Outlier","Normal")</f>
        <v>Normal</v>
      </c>
    </row>
    <row r="278" spans="1:30" x14ac:dyDescent="0.2">
      <c r="A278" s="20">
        <v>31</v>
      </c>
      <c r="B278" s="15" t="s">
        <v>42</v>
      </c>
      <c r="C278" s="12" t="s">
        <v>1889</v>
      </c>
      <c r="D278" s="20">
        <v>2</v>
      </c>
      <c r="E278" s="20">
        <v>1</v>
      </c>
      <c r="F278" s="15" t="s">
        <v>100</v>
      </c>
      <c r="H278" s="15" t="s">
        <v>47</v>
      </c>
      <c r="K278" s="21"/>
      <c r="L278" s="21"/>
      <c r="M278" s="21"/>
      <c r="N278" s="20">
        <v>4</v>
      </c>
      <c r="O278" s="20">
        <v>8</v>
      </c>
      <c r="P278" s="20">
        <v>5</v>
      </c>
      <c r="Q278" s="21"/>
      <c r="R278" s="21"/>
      <c r="S278" s="21"/>
      <c r="T278" s="21"/>
      <c r="U278" s="21"/>
      <c r="V278" s="21"/>
      <c r="W278" s="20">
        <v>650</v>
      </c>
      <c r="X278" s="15" t="s">
        <v>252</v>
      </c>
      <c r="Y278" s="20">
        <v>4</v>
      </c>
      <c r="Z278" s="15" t="s">
        <v>255</v>
      </c>
      <c r="AA278" s="15" t="s">
        <v>96</v>
      </c>
      <c r="AB278" s="15" t="s">
        <v>325</v>
      </c>
      <c r="AC278" s="20" t="s">
        <v>68</v>
      </c>
      <c r="AD278" s="9" t="str">
        <f>IF(OR(Form_Responses34[[#This Row],[Total_monthly_fuel_expense 
]]&gt;10040,Form_Responses34[[#This Row],[Total_monthly_fuel_expense 
]]&lt;-4760),"Outlier","Normal")</f>
        <v>Normal</v>
      </c>
    </row>
    <row r="279" spans="1:30" x14ac:dyDescent="0.2">
      <c r="A279" s="20">
        <v>55</v>
      </c>
      <c r="B279" s="15" t="s">
        <v>73</v>
      </c>
      <c r="C279" s="12" t="s">
        <v>155</v>
      </c>
      <c r="D279" s="20">
        <v>5</v>
      </c>
      <c r="E279" s="20">
        <v>3</v>
      </c>
      <c r="F279" s="15" t="s">
        <v>309</v>
      </c>
      <c r="G279" s="15" t="s">
        <v>47</v>
      </c>
      <c r="I279" s="15" t="s">
        <v>47</v>
      </c>
      <c r="J279" s="15" t="s">
        <v>291</v>
      </c>
      <c r="K279" s="20">
        <v>12</v>
      </c>
      <c r="L279" s="20">
        <v>5</v>
      </c>
      <c r="M279" s="20">
        <v>3</v>
      </c>
      <c r="N279" s="21"/>
      <c r="O279" s="21"/>
      <c r="P279" s="21"/>
      <c r="Q279" s="20">
        <v>8</v>
      </c>
      <c r="R279" s="20">
        <v>20</v>
      </c>
      <c r="S279" s="20">
        <v>22</v>
      </c>
      <c r="T279" s="20">
        <v>17</v>
      </c>
      <c r="U279" s="20">
        <v>68</v>
      </c>
      <c r="V279" s="20">
        <v>105</v>
      </c>
      <c r="W279" s="20">
        <v>14800</v>
      </c>
      <c r="X279" s="15" t="s">
        <v>323</v>
      </c>
      <c r="Y279" s="20">
        <v>19</v>
      </c>
      <c r="Z279" s="15" t="s">
        <v>559</v>
      </c>
      <c r="AA279" s="15" t="s">
        <v>362</v>
      </c>
      <c r="AB279" s="15" t="s">
        <v>307</v>
      </c>
      <c r="AC279" s="20" t="s">
        <v>68</v>
      </c>
      <c r="AD279" s="9" t="str">
        <f>IF(OR(Form_Responses34[[#This Row],[Total_monthly_fuel_expense 
]]&gt;10040,Form_Responses34[[#This Row],[Total_monthly_fuel_expense 
]]&lt;-4760),"Outlier","Normal")</f>
        <v>Outlier</v>
      </c>
    </row>
    <row r="280" spans="1:30" x14ac:dyDescent="0.2">
      <c r="A280" s="20">
        <v>22</v>
      </c>
      <c r="B280" s="15" t="s">
        <v>42</v>
      </c>
      <c r="C280" s="12" t="s">
        <v>182</v>
      </c>
      <c r="D280" s="20">
        <v>3</v>
      </c>
      <c r="E280" s="20">
        <v>1</v>
      </c>
      <c r="F280" s="15" t="s">
        <v>46</v>
      </c>
      <c r="G280" s="15" t="s">
        <v>47</v>
      </c>
      <c r="K280" s="20">
        <v>1</v>
      </c>
      <c r="L280" s="20">
        <v>14</v>
      </c>
      <c r="M280" s="20">
        <v>8</v>
      </c>
      <c r="N280" s="21"/>
      <c r="O280" s="21"/>
      <c r="P280" s="21"/>
      <c r="Q280" s="21"/>
      <c r="R280" s="21"/>
      <c r="S280" s="21"/>
      <c r="T280" s="21"/>
      <c r="U280" s="21"/>
      <c r="V280" s="21"/>
      <c r="W280" s="20">
        <v>1000</v>
      </c>
      <c r="X280" s="15" t="s">
        <v>252</v>
      </c>
      <c r="Y280" s="20">
        <v>7</v>
      </c>
      <c r="Z280" s="15" t="s">
        <v>285</v>
      </c>
      <c r="AA280" s="15" t="s">
        <v>96</v>
      </c>
      <c r="AB280" s="44" t="s">
        <v>256</v>
      </c>
      <c r="AC280" s="20" t="s">
        <v>68</v>
      </c>
      <c r="AD280" s="9" t="str">
        <f>IF(OR(Form_Responses34[[#This Row],[Total_monthly_fuel_expense 
]]&gt;10040,Form_Responses34[[#This Row],[Total_monthly_fuel_expense 
]]&lt;-4760),"Outlier","Normal")</f>
        <v>Normal</v>
      </c>
    </row>
    <row r="281" spans="1:30" x14ac:dyDescent="0.2">
      <c r="A281" s="20">
        <v>32</v>
      </c>
      <c r="B281" s="15" t="s">
        <v>73</v>
      </c>
      <c r="C281" s="12" t="s">
        <v>1890</v>
      </c>
      <c r="D281" s="20">
        <v>5</v>
      </c>
      <c r="E281" s="20">
        <v>1</v>
      </c>
      <c r="F281" s="15" t="s">
        <v>46</v>
      </c>
      <c r="G281" s="15" t="s">
        <v>47</v>
      </c>
      <c r="K281" s="20">
        <v>7</v>
      </c>
      <c r="L281" s="20">
        <v>30</v>
      </c>
      <c r="M281" s="20">
        <v>35</v>
      </c>
      <c r="N281" s="21"/>
      <c r="O281" s="21"/>
      <c r="P281" s="21"/>
      <c r="Q281" s="21"/>
      <c r="R281" s="21"/>
      <c r="S281" s="21"/>
      <c r="T281" s="21"/>
      <c r="U281" s="21"/>
      <c r="V281" s="21"/>
      <c r="W281" s="20">
        <v>1900</v>
      </c>
      <c r="X281" s="15" t="s">
        <v>323</v>
      </c>
      <c r="Y281" s="20">
        <v>15</v>
      </c>
      <c r="Z281" s="15" t="s">
        <v>724</v>
      </c>
      <c r="AA281" s="15" t="s">
        <v>362</v>
      </c>
      <c r="AB281" s="15" t="s">
        <v>307</v>
      </c>
      <c r="AC281" s="20" t="s">
        <v>68</v>
      </c>
      <c r="AD281" s="9" t="str">
        <f>IF(OR(Form_Responses34[[#This Row],[Total_monthly_fuel_expense 
]]&gt;10040,Form_Responses34[[#This Row],[Total_monthly_fuel_expense 
]]&lt;-4760),"Outlier","Normal")</f>
        <v>Normal</v>
      </c>
    </row>
    <row r="282" spans="1:30" x14ac:dyDescent="0.2">
      <c r="A282" s="20">
        <v>22</v>
      </c>
      <c r="B282" s="15" t="s">
        <v>73</v>
      </c>
      <c r="C282" s="12" t="s">
        <v>182</v>
      </c>
      <c r="D282" s="20">
        <v>4</v>
      </c>
      <c r="E282" s="20">
        <v>1</v>
      </c>
      <c r="F282" s="15" t="s">
        <v>46</v>
      </c>
      <c r="G282" s="15" t="s">
        <v>47</v>
      </c>
      <c r="K282" s="20">
        <v>4</v>
      </c>
      <c r="L282" s="20">
        <v>18</v>
      </c>
      <c r="M282" s="20">
        <v>10</v>
      </c>
      <c r="N282" s="21"/>
      <c r="O282" s="21"/>
      <c r="P282" s="21"/>
      <c r="Q282" s="21"/>
      <c r="R282" s="21"/>
      <c r="S282" s="21"/>
      <c r="T282" s="21"/>
      <c r="U282" s="21"/>
      <c r="V282" s="21"/>
      <c r="W282" s="20">
        <v>1300</v>
      </c>
      <c r="X282" s="15" t="s">
        <v>159</v>
      </c>
      <c r="Y282" s="20">
        <v>9</v>
      </c>
      <c r="Z282" s="15" t="s">
        <v>285</v>
      </c>
      <c r="AA282" s="15" t="s">
        <v>362</v>
      </c>
      <c r="AB282" s="15" t="s">
        <v>307</v>
      </c>
      <c r="AC282" s="20" t="s">
        <v>68</v>
      </c>
      <c r="AD282" s="9" t="str">
        <f>IF(OR(Form_Responses34[[#This Row],[Total_monthly_fuel_expense 
]]&gt;10040,Form_Responses34[[#This Row],[Total_monthly_fuel_expense 
]]&lt;-4760),"Outlier","Normal")</f>
        <v>Normal</v>
      </c>
    </row>
    <row r="283" spans="1:30" x14ac:dyDescent="0.2">
      <c r="A283" s="20">
        <v>33</v>
      </c>
      <c r="B283" s="15" t="s">
        <v>42</v>
      </c>
      <c r="C283" s="12" t="s">
        <v>1888</v>
      </c>
      <c r="D283" s="20">
        <v>5</v>
      </c>
      <c r="E283" s="20">
        <v>1</v>
      </c>
      <c r="F283" s="15" t="s">
        <v>100</v>
      </c>
      <c r="H283" s="15" t="s">
        <v>47</v>
      </c>
      <c r="K283" s="21"/>
      <c r="L283" s="21"/>
      <c r="M283" s="21"/>
      <c r="N283" s="20">
        <v>6</v>
      </c>
      <c r="O283" s="20">
        <v>5</v>
      </c>
      <c r="P283" s="20">
        <v>3</v>
      </c>
      <c r="Q283" s="21"/>
      <c r="R283" s="21"/>
      <c r="S283" s="21"/>
      <c r="T283" s="21"/>
      <c r="U283" s="21"/>
      <c r="V283" s="21"/>
      <c r="W283" s="20">
        <v>400</v>
      </c>
      <c r="X283" s="15" t="s">
        <v>276</v>
      </c>
      <c r="Y283" s="20">
        <v>3</v>
      </c>
      <c r="Z283" s="15" t="s">
        <v>344</v>
      </c>
      <c r="AA283" s="15" t="s">
        <v>96</v>
      </c>
      <c r="AB283" s="15" t="s">
        <v>325</v>
      </c>
      <c r="AC283" s="20" t="s">
        <v>68</v>
      </c>
      <c r="AD283" s="9" t="str">
        <f>IF(OR(Form_Responses34[[#This Row],[Total_monthly_fuel_expense 
]]&gt;10040,Form_Responses34[[#This Row],[Total_monthly_fuel_expense 
]]&lt;-4760),"Outlier","Normal")</f>
        <v>Normal</v>
      </c>
    </row>
    <row r="284" spans="1:30" x14ac:dyDescent="0.2">
      <c r="A284" s="20">
        <v>55</v>
      </c>
      <c r="B284" s="15" t="s">
        <v>73</v>
      </c>
      <c r="C284" s="12" t="s">
        <v>1890</v>
      </c>
      <c r="D284" s="20">
        <v>4</v>
      </c>
      <c r="E284" s="20">
        <v>3</v>
      </c>
      <c r="F284" s="15" t="s">
        <v>290</v>
      </c>
      <c r="G284" s="15" t="s">
        <v>47</v>
      </c>
      <c r="J284" s="15" t="s">
        <v>291</v>
      </c>
      <c r="K284" s="20">
        <v>10</v>
      </c>
      <c r="L284" s="20">
        <v>7</v>
      </c>
      <c r="M284" s="20">
        <v>4</v>
      </c>
      <c r="N284" s="21"/>
      <c r="O284" s="21"/>
      <c r="P284" s="21"/>
      <c r="Q284" s="21"/>
      <c r="R284" s="21"/>
      <c r="S284" s="21"/>
      <c r="T284" s="20">
        <v>14</v>
      </c>
      <c r="U284" s="20">
        <v>48</v>
      </c>
      <c r="V284" s="20">
        <v>68</v>
      </c>
      <c r="W284" s="20">
        <v>9700</v>
      </c>
      <c r="X284" s="15" t="s">
        <v>323</v>
      </c>
      <c r="Y284" s="20">
        <v>6</v>
      </c>
      <c r="Z284" s="15" t="s">
        <v>296</v>
      </c>
      <c r="AA284" s="15" t="s">
        <v>362</v>
      </c>
      <c r="AB284" s="15" t="s">
        <v>307</v>
      </c>
      <c r="AC284" s="20" t="s">
        <v>68</v>
      </c>
      <c r="AD284" s="9" t="str">
        <f>IF(OR(Form_Responses34[[#This Row],[Total_monthly_fuel_expense 
]]&gt;10040,Form_Responses34[[#This Row],[Total_monthly_fuel_expense 
]]&lt;-4760),"Outlier","Normal")</f>
        <v>Normal</v>
      </c>
    </row>
    <row r="285" spans="1:30" x14ac:dyDescent="0.2">
      <c r="A285" s="20">
        <v>21</v>
      </c>
      <c r="B285" s="15" t="s">
        <v>42</v>
      </c>
      <c r="C285" s="12" t="s">
        <v>182</v>
      </c>
      <c r="D285" s="20">
        <v>5</v>
      </c>
      <c r="E285" s="20">
        <v>1</v>
      </c>
      <c r="F285" s="15" t="s">
        <v>46</v>
      </c>
      <c r="G285" s="15" t="s">
        <v>47</v>
      </c>
      <c r="K285" s="20">
        <v>2</v>
      </c>
      <c r="L285" s="20">
        <v>15</v>
      </c>
      <c r="M285" s="20">
        <v>9</v>
      </c>
      <c r="N285" s="21"/>
      <c r="O285" s="21"/>
      <c r="P285" s="21"/>
      <c r="Q285" s="21"/>
      <c r="R285" s="21"/>
      <c r="S285" s="21"/>
      <c r="T285" s="21"/>
      <c r="U285" s="21"/>
      <c r="V285" s="21"/>
      <c r="W285" s="20">
        <v>1100</v>
      </c>
      <c r="X285" s="15" t="s">
        <v>276</v>
      </c>
      <c r="Y285" s="20">
        <v>7</v>
      </c>
      <c r="Z285" s="15" t="s">
        <v>285</v>
      </c>
      <c r="AA285" s="15" t="s">
        <v>96</v>
      </c>
      <c r="AB285" s="15" t="s">
        <v>256</v>
      </c>
      <c r="AC285" s="20" t="s">
        <v>152</v>
      </c>
      <c r="AD285" s="9" t="str">
        <f>IF(OR(Form_Responses34[[#This Row],[Total_monthly_fuel_expense 
]]&gt;10040,Form_Responses34[[#This Row],[Total_monthly_fuel_expense 
]]&lt;-4760),"Outlier","Normal")</f>
        <v>Normal</v>
      </c>
    </row>
    <row r="286" spans="1:30" x14ac:dyDescent="0.2">
      <c r="A286" s="20">
        <v>37</v>
      </c>
      <c r="B286" s="15" t="s">
        <v>73</v>
      </c>
      <c r="C286" s="12" t="s">
        <v>1889</v>
      </c>
      <c r="D286" s="20">
        <v>3</v>
      </c>
      <c r="E286" s="20">
        <v>1</v>
      </c>
      <c r="F286" s="15" t="s">
        <v>431</v>
      </c>
      <c r="I286" s="15" t="s">
        <v>47</v>
      </c>
      <c r="K286" s="21"/>
      <c r="L286" s="21"/>
      <c r="M286" s="21"/>
      <c r="N286" s="21"/>
      <c r="O286" s="21"/>
      <c r="P286" s="21"/>
      <c r="Q286" s="20">
        <v>2</v>
      </c>
      <c r="R286" s="20">
        <v>27</v>
      </c>
      <c r="S286" s="20">
        <v>25</v>
      </c>
      <c r="T286" s="21"/>
      <c r="U286" s="21"/>
      <c r="V286" s="21"/>
      <c r="W286" s="20">
        <v>3900</v>
      </c>
      <c r="X286" s="15" t="s">
        <v>276</v>
      </c>
      <c r="Y286" s="20">
        <v>13</v>
      </c>
      <c r="Z286" s="15" t="s">
        <v>255</v>
      </c>
      <c r="AA286" s="15" t="s">
        <v>277</v>
      </c>
      <c r="AB286" s="15" t="s">
        <v>325</v>
      </c>
      <c r="AC286" s="20" t="s">
        <v>257</v>
      </c>
      <c r="AD286" s="9" t="str">
        <f>IF(OR(Form_Responses34[[#This Row],[Total_monthly_fuel_expense 
]]&gt;10040,Form_Responses34[[#This Row],[Total_monthly_fuel_expense 
]]&lt;-4760),"Outlier","Normal")</f>
        <v>Normal</v>
      </c>
    </row>
    <row r="287" spans="1:30" x14ac:dyDescent="0.2">
      <c r="A287" s="20">
        <v>44</v>
      </c>
      <c r="B287" s="15" t="s">
        <v>73</v>
      </c>
      <c r="C287" s="12" t="s">
        <v>1890</v>
      </c>
      <c r="D287" s="20">
        <v>5</v>
      </c>
      <c r="E287" s="20">
        <v>2</v>
      </c>
      <c r="F287" s="15" t="s">
        <v>246</v>
      </c>
      <c r="G287" s="15" t="s">
        <v>47</v>
      </c>
      <c r="I287" s="15" t="s">
        <v>47</v>
      </c>
      <c r="K287" s="20">
        <v>8</v>
      </c>
      <c r="L287" s="20">
        <v>9</v>
      </c>
      <c r="M287" s="20">
        <v>6</v>
      </c>
      <c r="N287" s="21"/>
      <c r="O287" s="21"/>
      <c r="P287" s="21"/>
      <c r="Q287" s="20">
        <v>5</v>
      </c>
      <c r="R287" s="20">
        <v>21</v>
      </c>
      <c r="S287" s="20">
        <v>20</v>
      </c>
      <c r="T287" s="21"/>
      <c r="U287" s="21"/>
      <c r="V287" s="21"/>
      <c r="W287" s="20">
        <v>3700</v>
      </c>
      <c r="X287" s="15" t="s">
        <v>323</v>
      </c>
      <c r="Y287" s="20">
        <v>12</v>
      </c>
      <c r="Z287" s="15" t="s">
        <v>559</v>
      </c>
      <c r="AA287" s="15" t="s">
        <v>362</v>
      </c>
      <c r="AB287" s="15" t="s">
        <v>307</v>
      </c>
      <c r="AC287" s="20" t="s">
        <v>68</v>
      </c>
      <c r="AD287" s="9" t="str">
        <f>IF(OR(Form_Responses34[[#This Row],[Total_monthly_fuel_expense 
]]&gt;10040,Form_Responses34[[#This Row],[Total_monthly_fuel_expense 
]]&lt;-4760),"Outlier","Normal")</f>
        <v>Normal</v>
      </c>
    </row>
    <row r="288" spans="1:30" x14ac:dyDescent="0.2">
      <c r="A288" s="20">
        <v>29</v>
      </c>
      <c r="B288" s="15" t="s">
        <v>42</v>
      </c>
      <c r="C288" s="12" t="s">
        <v>1889</v>
      </c>
      <c r="D288" s="20">
        <v>2</v>
      </c>
      <c r="E288" s="20">
        <v>1</v>
      </c>
      <c r="F288" s="15" t="s">
        <v>100</v>
      </c>
      <c r="H288" s="15" t="s">
        <v>47</v>
      </c>
      <c r="K288" s="21"/>
      <c r="L288" s="21"/>
      <c r="M288" s="21"/>
      <c r="N288" s="20">
        <v>3</v>
      </c>
      <c r="O288" s="20">
        <v>7</v>
      </c>
      <c r="P288" s="20">
        <v>4</v>
      </c>
      <c r="Q288" s="21"/>
      <c r="R288" s="21"/>
      <c r="S288" s="21"/>
      <c r="T288" s="21"/>
      <c r="U288" s="21"/>
      <c r="V288" s="21"/>
      <c r="W288" s="20">
        <v>550</v>
      </c>
      <c r="X288" s="15" t="s">
        <v>252</v>
      </c>
      <c r="Y288" s="20">
        <v>4</v>
      </c>
      <c r="Z288" s="15" t="s">
        <v>255</v>
      </c>
      <c r="AA288" s="15" t="s">
        <v>277</v>
      </c>
      <c r="AB288" s="15" t="s">
        <v>256</v>
      </c>
      <c r="AC288" s="20" t="s">
        <v>152</v>
      </c>
      <c r="AD288" s="9" t="str">
        <f>IF(OR(Form_Responses34[[#This Row],[Total_monthly_fuel_expense 
]]&gt;10040,Form_Responses34[[#This Row],[Total_monthly_fuel_expense 
]]&lt;-4760),"Outlier","Normal")</f>
        <v>Normal</v>
      </c>
    </row>
    <row r="289" spans="1:30" x14ac:dyDescent="0.2">
      <c r="A289" s="20">
        <v>53</v>
      </c>
      <c r="B289" s="15" t="s">
        <v>73</v>
      </c>
      <c r="C289" s="12" t="s">
        <v>1889</v>
      </c>
      <c r="D289" s="20">
        <v>6</v>
      </c>
      <c r="E289" s="20">
        <v>2</v>
      </c>
      <c r="F289" s="15" t="s">
        <v>290</v>
      </c>
      <c r="G289" s="15" t="s">
        <v>47</v>
      </c>
      <c r="J289" s="15" t="s">
        <v>291</v>
      </c>
      <c r="K289" s="20">
        <v>12</v>
      </c>
      <c r="L289" s="20">
        <v>6</v>
      </c>
      <c r="M289" s="20">
        <v>4</v>
      </c>
      <c r="N289" s="21"/>
      <c r="O289" s="21"/>
      <c r="P289" s="21"/>
      <c r="Q289" s="21"/>
      <c r="R289" s="21"/>
      <c r="S289" s="21"/>
      <c r="T289" s="20">
        <v>16</v>
      </c>
      <c r="U289" s="20">
        <v>55</v>
      </c>
      <c r="V289" s="20">
        <v>88</v>
      </c>
      <c r="W289" s="20">
        <v>11000</v>
      </c>
      <c r="X289" s="15" t="s">
        <v>252</v>
      </c>
      <c r="Y289" s="20">
        <v>7</v>
      </c>
      <c r="Z289" s="15" t="s">
        <v>296</v>
      </c>
      <c r="AA289" s="15" t="s">
        <v>85</v>
      </c>
      <c r="AB289" s="15" t="s">
        <v>256</v>
      </c>
      <c r="AC289" s="20" t="s">
        <v>257</v>
      </c>
      <c r="AD289" s="9" t="str">
        <f>IF(OR(Form_Responses34[[#This Row],[Total_monthly_fuel_expense 
]]&gt;10040,Form_Responses34[[#This Row],[Total_monthly_fuel_expense 
]]&lt;-4760),"Outlier","Normal")</f>
        <v>Outlier</v>
      </c>
    </row>
    <row r="290" spans="1:30" x14ac:dyDescent="0.2">
      <c r="A290" s="20">
        <v>23</v>
      </c>
      <c r="B290" s="15" t="s">
        <v>42</v>
      </c>
      <c r="C290" s="12" t="s">
        <v>182</v>
      </c>
      <c r="D290" s="20">
        <v>3</v>
      </c>
      <c r="E290" s="20">
        <v>1</v>
      </c>
      <c r="F290" s="15" t="s">
        <v>46</v>
      </c>
      <c r="G290" s="15" t="s">
        <v>47</v>
      </c>
      <c r="K290" s="20">
        <v>1</v>
      </c>
      <c r="L290" s="20">
        <v>13</v>
      </c>
      <c r="M290" s="20">
        <v>8</v>
      </c>
      <c r="N290" s="21"/>
      <c r="O290" s="21"/>
      <c r="P290" s="21"/>
      <c r="Q290" s="21"/>
      <c r="R290" s="21"/>
      <c r="S290" s="21"/>
      <c r="T290" s="21"/>
      <c r="U290" s="21"/>
      <c r="V290" s="21"/>
      <c r="W290" s="20">
        <v>1000</v>
      </c>
      <c r="X290" s="15" t="s">
        <v>252</v>
      </c>
      <c r="Y290" s="20">
        <v>7</v>
      </c>
      <c r="Z290" s="15" t="s">
        <v>285</v>
      </c>
      <c r="AA290" s="15" t="s">
        <v>96</v>
      </c>
      <c r="AB290" s="15" t="s">
        <v>256</v>
      </c>
      <c r="AC290" s="20" t="s">
        <v>152</v>
      </c>
      <c r="AD290" s="9" t="str">
        <f>IF(OR(Form_Responses34[[#This Row],[Total_monthly_fuel_expense 
]]&gt;10040,Form_Responses34[[#This Row],[Total_monthly_fuel_expense 
]]&lt;-4760),"Outlier","Normal")</f>
        <v>Normal</v>
      </c>
    </row>
    <row r="291" spans="1:30" x14ac:dyDescent="0.2">
      <c r="A291" s="20">
        <v>49</v>
      </c>
      <c r="B291" s="15" t="s">
        <v>73</v>
      </c>
      <c r="C291" s="12" t="s">
        <v>1889</v>
      </c>
      <c r="D291" s="20">
        <v>5</v>
      </c>
      <c r="E291" s="20">
        <v>2</v>
      </c>
      <c r="F291" s="15" t="s">
        <v>246</v>
      </c>
      <c r="G291" s="15" t="s">
        <v>47</v>
      </c>
      <c r="I291" s="15" t="s">
        <v>47</v>
      </c>
      <c r="K291" s="20">
        <v>9</v>
      </c>
      <c r="L291" s="20">
        <v>8</v>
      </c>
      <c r="M291" s="20">
        <v>5</v>
      </c>
      <c r="N291" s="21"/>
      <c r="O291" s="21"/>
      <c r="P291" s="21"/>
      <c r="Q291" s="20">
        <v>7</v>
      </c>
      <c r="R291" s="20">
        <v>23</v>
      </c>
      <c r="S291" s="20">
        <v>22</v>
      </c>
      <c r="T291" s="21"/>
      <c r="U291" s="21"/>
      <c r="V291" s="21"/>
      <c r="W291" s="20">
        <v>4000</v>
      </c>
      <c r="X291" s="15" t="s">
        <v>159</v>
      </c>
      <c r="Y291" s="20">
        <v>11</v>
      </c>
      <c r="Z291" s="15" t="s">
        <v>255</v>
      </c>
      <c r="AA291" s="15" t="s">
        <v>85</v>
      </c>
      <c r="AB291" s="15" t="s">
        <v>256</v>
      </c>
      <c r="AC291" s="20" t="s">
        <v>68</v>
      </c>
      <c r="AD291" s="9" t="str">
        <f>IF(OR(Form_Responses34[[#This Row],[Total_monthly_fuel_expense 
]]&gt;10040,Form_Responses34[[#This Row],[Total_monthly_fuel_expense 
]]&lt;-4760),"Outlier","Normal")</f>
        <v>Normal</v>
      </c>
    </row>
    <row r="292" spans="1:30" x14ac:dyDescent="0.2">
      <c r="A292" s="20">
        <v>34</v>
      </c>
      <c r="B292" s="15" t="s">
        <v>73</v>
      </c>
      <c r="C292" s="12" t="s">
        <v>1889</v>
      </c>
      <c r="D292" s="20">
        <v>5</v>
      </c>
      <c r="E292" s="20">
        <v>1</v>
      </c>
      <c r="F292" s="15" t="s">
        <v>46</v>
      </c>
      <c r="G292" s="15" t="s">
        <v>47</v>
      </c>
      <c r="K292" s="20">
        <v>5</v>
      </c>
      <c r="L292" s="20">
        <v>22</v>
      </c>
      <c r="M292" s="20">
        <v>12</v>
      </c>
      <c r="N292" s="21"/>
      <c r="O292" s="21"/>
      <c r="P292" s="21"/>
      <c r="Q292" s="21"/>
      <c r="R292" s="21"/>
      <c r="S292" s="21"/>
      <c r="T292" s="21"/>
      <c r="U292" s="21"/>
      <c r="V292" s="21"/>
      <c r="W292" s="20">
        <v>1550</v>
      </c>
      <c r="X292" s="15" t="s">
        <v>360</v>
      </c>
      <c r="Y292" s="20">
        <v>11</v>
      </c>
      <c r="Z292" s="15" t="s">
        <v>255</v>
      </c>
      <c r="AA292" s="15" t="s">
        <v>85</v>
      </c>
      <c r="AB292" s="15" t="s">
        <v>325</v>
      </c>
      <c r="AC292" s="20" t="s">
        <v>152</v>
      </c>
      <c r="AD292" s="9" t="str">
        <f>IF(OR(Form_Responses34[[#This Row],[Total_monthly_fuel_expense 
]]&gt;10040,Form_Responses34[[#This Row],[Total_monthly_fuel_expense 
]]&lt;-4760),"Outlier","Normal")</f>
        <v>Normal</v>
      </c>
    </row>
    <row r="293" spans="1:30" x14ac:dyDescent="0.2">
      <c r="A293" s="20">
        <v>20</v>
      </c>
      <c r="B293" s="15" t="s">
        <v>42</v>
      </c>
      <c r="C293" s="12" t="s">
        <v>182</v>
      </c>
      <c r="D293" s="20">
        <v>5</v>
      </c>
      <c r="E293" s="20">
        <v>1</v>
      </c>
      <c r="F293" s="15" t="s">
        <v>100</v>
      </c>
      <c r="H293" s="15" t="s">
        <v>47</v>
      </c>
      <c r="K293" s="21"/>
      <c r="L293" s="21"/>
      <c r="M293" s="21"/>
      <c r="N293" s="20">
        <v>4</v>
      </c>
      <c r="O293" s="20">
        <v>10</v>
      </c>
      <c r="P293" s="20">
        <v>6</v>
      </c>
      <c r="Q293" s="21"/>
      <c r="R293" s="21"/>
      <c r="S293" s="21"/>
      <c r="T293" s="21"/>
      <c r="U293" s="21"/>
      <c r="V293" s="21"/>
      <c r="W293" s="20">
        <v>780</v>
      </c>
      <c r="X293" s="15" t="s">
        <v>323</v>
      </c>
      <c r="Y293" s="20">
        <v>6</v>
      </c>
      <c r="Z293" s="15" t="s">
        <v>285</v>
      </c>
      <c r="AA293" s="15" t="s">
        <v>277</v>
      </c>
      <c r="AB293" s="15" t="s">
        <v>256</v>
      </c>
      <c r="AC293" s="20" t="s">
        <v>257</v>
      </c>
      <c r="AD293" s="9" t="str">
        <f>IF(OR(Form_Responses34[[#This Row],[Total_monthly_fuel_expense 
]]&gt;10040,Form_Responses34[[#This Row],[Total_monthly_fuel_expense 
]]&lt;-4760),"Outlier","Normal")</f>
        <v>Normal</v>
      </c>
    </row>
    <row r="294" spans="1:30" x14ac:dyDescent="0.2">
      <c r="A294" s="20">
        <v>51</v>
      </c>
      <c r="B294" s="15" t="s">
        <v>73</v>
      </c>
      <c r="C294" s="12" t="s">
        <v>1889</v>
      </c>
      <c r="D294" s="20">
        <v>6</v>
      </c>
      <c r="E294" s="20">
        <v>2</v>
      </c>
      <c r="F294" s="15" t="s">
        <v>290</v>
      </c>
      <c r="G294" s="15" t="s">
        <v>47</v>
      </c>
      <c r="J294" s="15" t="s">
        <v>291</v>
      </c>
      <c r="K294" s="20">
        <v>10</v>
      </c>
      <c r="L294" s="20">
        <v>6</v>
      </c>
      <c r="M294" s="20">
        <v>4</v>
      </c>
      <c r="N294" s="21"/>
      <c r="O294" s="21"/>
      <c r="P294" s="21"/>
      <c r="Q294" s="21"/>
      <c r="R294" s="21"/>
      <c r="S294" s="21"/>
      <c r="T294" s="20">
        <v>14</v>
      </c>
      <c r="U294" s="20">
        <v>55</v>
      </c>
      <c r="V294" s="20">
        <v>90</v>
      </c>
      <c r="W294" s="20">
        <v>11500</v>
      </c>
      <c r="X294" s="15" t="s">
        <v>252</v>
      </c>
      <c r="Y294" s="20">
        <v>8</v>
      </c>
      <c r="Z294" s="15" t="s">
        <v>296</v>
      </c>
      <c r="AA294" s="15" t="s">
        <v>362</v>
      </c>
      <c r="AB294" s="15" t="s">
        <v>307</v>
      </c>
      <c r="AC294" s="20" t="s">
        <v>68</v>
      </c>
      <c r="AD294" s="9" t="str">
        <f>IF(OR(Form_Responses34[[#This Row],[Total_monthly_fuel_expense 
]]&gt;10040,Form_Responses34[[#This Row],[Total_monthly_fuel_expense 
]]&lt;-4760),"Outlier","Normal")</f>
        <v>Outlier</v>
      </c>
    </row>
    <row r="295" spans="1:30" x14ac:dyDescent="0.2">
      <c r="A295" s="20">
        <v>32</v>
      </c>
      <c r="B295" s="15" t="s">
        <v>42</v>
      </c>
      <c r="C295" s="12" t="s">
        <v>1889</v>
      </c>
      <c r="D295" s="20">
        <v>4</v>
      </c>
      <c r="E295" s="20">
        <v>1</v>
      </c>
      <c r="F295" s="15" t="s">
        <v>431</v>
      </c>
      <c r="I295" s="15" t="s">
        <v>47</v>
      </c>
      <c r="K295" s="21"/>
      <c r="L295" s="21"/>
      <c r="M295" s="21"/>
      <c r="N295" s="21"/>
      <c r="O295" s="21"/>
      <c r="P295" s="21"/>
      <c r="Q295" s="20">
        <v>5</v>
      </c>
      <c r="R295" s="20">
        <v>28</v>
      </c>
      <c r="S295" s="20">
        <v>26</v>
      </c>
      <c r="T295" s="21"/>
      <c r="U295" s="21"/>
      <c r="V295" s="21"/>
      <c r="W295" s="20">
        <v>4000</v>
      </c>
      <c r="X295" s="15" t="s">
        <v>276</v>
      </c>
      <c r="Y295" s="20">
        <v>14</v>
      </c>
      <c r="Z295" s="15" t="s">
        <v>255</v>
      </c>
      <c r="AA295" s="15" t="s">
        <v>85</v>
      </c>
      <c r="AB295" s="15" t="s">
        <v>256</v>
      </c>
      <c r="AC295" s="20" t="s">
        <v>152</v>
      </c>
      <c r="AD295" s="9" t="str">
        <f>IF(OR(Form_Responses34[[#This Row],[Total_monthly_fuel_expense 
]]&gt;10040,Form_Responses34[[#This Row],[Total_monthly_fuel_expense 
]]&lt;-4760),"Outlier","Normal")</f>
        <v>Normal</v>
      </c>
    </row>
    <row r="296" spans="1:30" x14ac:dyDescent="0.2">
      <c r="A296" s="20">
        <v>42</v>
      </c>
      <c r="B296" s="15" t="s">
        <v>73</v>
      </c>
      <c r="C296" s="12" t="s">
        <v>1890</v>
      </c>
      <c r="D296" s="20">
        <v>5</v>
      </c>
      <c r="E296" s="20">
        <v>2</v>
      </c>
      <c r="F296" s="15" t="s">
        <v>246</v>
      </c>
      <c r="G296" s="15" t="s">
        <v>47</v>
      </c>
      <c r="I296" s="15" t="s">
        <v>47</v>
      </c>
      <c r="K296" s="20">
        <v>8</v>
      </c>
      <c r="L296" s="20">
        <v>10</v>
      </c>
      <c r="M296" s="20">
        <v>6</v>
      </c>
      <c r="N296" s="21"/>
      <c r="O296" s="21"/>
      <c r="P296" s="21"/>
      <c r="Q296" s="20">
        <v>6</v>
      </c>
      <c r="R296" s="20">
        <v>25</v>
      </c>
      <c r="S296" s="20">
        <v>23</v>
      </c>
      <c r="T296" s="21"/>
      <c r="U296" s="21"/>
      <c r="V296" s="21"/>
      <c r="W296" s="20">
        <v>4200</v>
      </c>
      <c r="X296" s="15" t="s">
        <v>159</v>
      </c>
      <c r="Y296" s="20">
        <v>13</v>
      </c>
      <c r="Z296" s="15" t="s">
        <v>559</v>
      </c>
      <c r="AA296" s="15" t="s">
        <v>362</v>
      </c>
      <c r="AB296" s="15" t="s">
        <v>307</v>
      </c>
      <c r="AC296" s="20" t="s">
        <v>68</v>
      </c>
      <c r="AD296" s="9" t="str">
        <f>IF(OR(Form_Responses34[[#This Row],[Total_monthly_fuel_expense 
]]&gt;10040,Form_Responses34[[#This Row],[Total_monthly_fuel_expense 
]]&lt;-4760),"Outlier","Normal")</f>
        <v>Normal</v>
      </c>
    </row>
    <row r="297" spans="1:30" x14ac:dyDescent="0.2">
      <c r="A297" s="20">
        <v>23</v>
      </c>
      <c r="B297" s="15" t="s">
        <v>42</v>
      </c>
      <c r="C297" s="12" t="s">
        <v>182</v>
      </c>
      <c r="D297" s="20">
        <v>4</v>
      </c>
      <c r="E297" s="20">
        <v>1</v>
      </c>
      <c r="F297" s="15" t="s">
        <v>46</v>
      </c>
      <c r="G297" s="15" t="s">
        <v>47</v>
      </c>
      <c r="K297" s="20">
        <v>1</v>
      </c>
      <c r="L297" s="20">
        <v>14</v>
      </c>
      <c r="M297" s="20">
        <v>9</v>
      </c>
      <c r="N297" s="21"/>
      <c r="O297" s="21"/>
      <c r="P297" s="21"/>
      <c r="Q297" s="21"/>
      <c r="R297" s="21"/>
      <c r="S297" s="21"/>
      <c r="T297" s="21"/>
      <c r="U297" s="21"/>
      <c r="V297" s="21"/>
      <c r="W297" s="20">
        <v>1100</v>
      </c>
      <c r="X297" s="15" t="s">
        <v>323</v>
      </c>
      <c r="Y297" s="20">
        <v>7</v>
      </c>
      <c r="Z297" s="15" t="s">
        <v>285</v>
      </c>
      <c r="AA297" s="15" t="s">
        <v>277</v>
      </c>
      <c r="AB297" s="15" t="s">
        <v>256</v>
      </c>
      <c r="AC297" s="20" t="s">
        <v>257</v>
      </c>
      <c r="AD297" s="9" t="str">
        <f>IF(OR(Form_Responses34[[#This Row],[Total_monthly_fuel_expense 
]]&gt;10040,Form_Responses34[[#This Row],[Total_monthly_fuel_expense 
]]&lt;-4760),"Outlier","Normal")</f>
        <v>Normal</v>
      </c>
    </row>
    <row r="298" spans="1:30" x14ac:dyDescent="0.2">
      <c r="A298" s="20">
        <v>56</v>
      </c>
      <c r="B298" s="15" t="s">
        <v>73</v>
      </c>
      <c r="C298" s="12" t="s">
        <v>1890</v>
      </c>
      <c r="D298" s="20">
        <v>5</v>
      </c>
      <c r="E298" s="20">
        <v>2</v>
      </c>
      <c r="F298" s="15" t="s">
        <v>290</v>
      </c>
      <c r="G298" s="15" t="s">
        <v>47</v>
      </c>
      <c r="J298" s="15" t="s">
        <v>291</v>
      </c>
      <c r="K298" s="20">
        <v>12</v>
      </c>
      <c r="L298" s="20">
        <v>5</v>
      </c>
      <c r="M298" s="20">
        <v>3</v>
      </c>
      <c r="N298" s="21"/>
      <c r="O298" s="21"/>
      <c r="P298" s="21"/>
      <c r="Q298" s="21"/>
      <c r="R298" s="21"/>
      <c r="S298" s="21"/>
      <c r="T298" s="20">
        <v>17</v>
      </c>
      <c r="U298" s="20">
        <v>60</v>
      </c>
      <c r="V298" s="20">
        <v>90</v>
      </c>
      <c r="W298" s="20">
        <v>12000</v>
      </c>
      <c r="X298" s="15" t="s">
        <v>252</v>
      </c>
      <c r="Y298" s="20">
        <v>9</v>
      </c>
      <c r="Z298" s="15" t="s">
        <v>296</v>
      </c>
      <c r="AA298" s="15" t="s">
        <v>362</v>
      </c>
      <c r="AB298" s="15" t="s">
        <v>307</v>
      </c>
      <c r="AC298" s="20" t="s">
        <v>68</v>
      </c>
      <c r="AD298" s="9" t="str">
        <f>IF(OR(Form_Responses34[[#This Row],[Total_monthly_fuel_expense 
]]&gt;10040,Form_Responses34[[#This Row],[Total_monthly_fuel_expense 
]]&lt;-4760),"Outlier","Normal")</f>
        <v>Outlier</v>
      </c>
    </row>
    <row r="299" spans="1:30" x14ac:dyDescent="0.2">
      <c r="A299" s="20">
        <v>31</v>
      </c>
      <c r="B299" s="15" t="s">
        <v>73</v>
      </c>
      <c r="C299" s="12" t="s">
        <v>1889</v>
      </c>
      <c r="D299" s="20">
        <v>3</v>
      </c>
      <c r="E299" s="20">
        <v>1</v>
      </c>
      <c r="F299" s="15" t="s">
        <v>431</v>
      </c>
      <c r="I299" s="15" t="s">
        <v>47</v>
      </c>
      <c r="K299" s="21"/>
      <c r="L299" s="21"/>
      <c r="M299" s="21"/>
      <c r="N299" s="21"/>
      <c r="O299" s="21"/>
      <c r="P299" s="21"/>
      <c r="Q299" s="20">
        <v>4</v>
      </c>
      <c r="R299" s="20">
        <v>30</v>
      </c>
      <c r="S299" s="20">
        <v>27</v>
      </c>
      <c r="T299" s="21"/>
      <c r="U299" s="21"/>
      <c r="V299" s="21"/>
      <c r="W299" s="20">
        <v>4700</v>
      </c>
      <c r="X299" s="15" t="s">
        <v>276</v>
      </c>
      <c r="Y299" s="20">
        <v>15</v>
      </c>
      <c r="Z299" s="15" t="s">
        <v>255</v>
      </c>
      <c r="AA299" s="15" t="s">
        <v>362</v>
      </c>
      <c r="AB299" s="15" t="s">
        <v>307</v>
      </c>
      <c r="AC299" s="20" t="s">
        <v>68</v>
      </c>
      <c r="AD299" s="9" t="str">
        <f>IF(OR(Form_Responses34[[#This Row],[Total_monthly_fuel_expense 
]]&gt;10040,Form_Responses34[[#This Row],[Total_monthly_fuel_expense 
]]&lt;-4760),"Outlier","Normal")</f>
        <v>Normal</v>
      </c>
    </row>
    <row r="300" spans="1:30" x14ac:dyDescent="0.2">
      <c r="A300" s="20">
        <v>28</v>
      </c>
      <c r="B300" s="15" t="s">
        <v>42</v>
      </c>
      <c r="C300" s="12" t="s">
        <v>1888</v>
      </c>
      <c r="D300" s="20">
        <v>5</v>
      </c>
      <c r="E300" s="20">
        <v>1</v>
      </c>
      <c r="F300" s="15" t="s">
        <v>100</v>
      </c>
      <c r="H300" s="15" t="s">
        <v>47</v>
      </c>
      <c r="K300" s="21"/>
      <c r="L300" s="21"/>
      <c r="M300" s="21"/>
      <c r="N300" s="20">
        <v>4</v>
      </c>
      <c r="O300" s="20">
        <v>7</v>
      </c>
      <c r="P300" s="20">
        <v>4</v>
      </c>
      <c r="Q300" s="21"/>
      <c r="R300" s="21"/>
      <c r="S300" s="21"/>
      <c r="T300" s="21"/>
      <c r="U300" s="21"/>
      <c r="V300" s="21"/>
      <c r="W300" s="20">
        <v>520</v>
      </c>
      <c r="X300" s="15" t="s">
        <v>323</v>
      </c>
      <c r="Y300" s="20">
        <v>3</v>
      </c>
      <c r="Z300" s="15" t="s">
        <v>344</v>
      </c>
      <c r="AA300" s="15" t="s">
        <v>277</v>
      </c>
      <c r="AB300" s="15" t="s">
        <v>325</v>
      </c>
      <c r="AC300" s="20" t="s">
        <v>257</v>
      </c>
      <c r="AD300" s="9" t="str">
        <f>IF(OR(Form_Responses34[[#This Row],[Total_monthly_fuel_expense 
]]&gt;10040,Form_Responses34[[#This Row],[Total_monthly_fuel_expense 
]]&lt;-4760),"Outlier","Normal")</f>
        <v>Normal</v>
      </c>
    </row>
    <row r="301" spans="1:30" x14ac:dyDescent="0.2">
      <c r="A301" s="20">
        <v>45</v>
      </c>
      <c r="B301" s="15" t="s">
        <v>73</v>
      </c>
      <c r="C301" s="12" t="s">
        <v>1890</v>
      </c>
      <c r="D301" s="20">
        <v>4</v>
      </c>
      <c r="E301" s="20">
        <v>2</v>
      </c>
      <c r="F301" s="15" t="s">
        <v>246</v>
      </c>
      <c r="G301" s="15" t="s">
        <v>47</v>
      </c>
      <c r="I301" s="15" t="s">
        <v>47</v>
      </c>
      <c r="K301" s="20">
        <v>9</v>
      </c>
      <c r="L301" s="20">
        <v>8</v>
      </c>
      <c r="M301" s="20">
        <v>5</v>
      </c>
      <c r="N301" s="21"/>
      <c r="O301" s="21"/>
      <c r="P301" s="21"/>
      <c r="Q301" s="20">
        <v>7</v>
      </c>
      <c r="R301" s="20">
        <v>26</v>
      </c>
      <c r="S301" s="20">
        <v>24</v>
      </c>
      <c r="T301" s="21"/>
      <c r="U301" s="21"/>
      <c r="V301" s="21"/>
      <c r="W301" s="20">
        <v>4200</v>
      </c>
      <c r="X301" s="15" t="s">
        <v>252</v>
      </c>
      <c r="Y301" s="20">
        <v>13</v>
      </c>
      <c r="Z301" s="15" t="s">
        <v>255</v>
      </c>
      <c r="AA301" s="15" t="s">
        <v>85</v>
      </c>
      <c r="AB301" s="15" t="s">
        <v>256</v>
      </c>
      <c r="AC301" s="20" t="s">
        <v>152</v>
      </c>
      <c r="AD301" s="9" t="str">
        <f>IF(OR(Form_Responses34[[#This Row],[Total_monthly_fuel_expense 
]]&gt;10040,Form_Responses34[[#This Row],[Total_monthly_fuel_expense 
]]&lt;-4760),"Outlier","Normal")</f>
        <v>Normal</v>
      </c>
    </row>
    <row r="302" spans="1:30" x14ac:dyDescent="0.2">
      <c r="A302" s="20">
        <v>41</v>
      </c>
      <c r="B302" s="15" t="s">
        <v>73</v>
      </c>
      <c r="C302" s="12" t="s">
        <v>1889</v>
      </c>
      <c r="D302" s="20">
        <v>4</v>
      </c>
      <c r="E302" s="20">
        <v>1</v>
      </c>
      <c r="F302" s="15" t="s">
        <v>46</v>
      </c>
      <c r="G302" s="15" t="s">
        <v>47</v>
      </c>
      <c r="K302" s="20">
        <v>3</v>
      </c>
      <c r="L302" s="20">
        <v>21</v>
      </c>
      <c r="M302" s="20">
        <v>11</v>
      </c>
      <c r="N302" s="21"/>
      <c r="O302" s="21"/>
      <c r="P302" s="21"/>
      <c r="Q302" s="21"/>
      <c r="R302" s="21"/>
      <c r="S302" s="21"/>
      <c r="T302" s="21"/>
      <c r="U302" s="21"/>
      <c r="V302" s="21"/>
      <c r="W302" s="20">
        <v>1450</v>
      </c>
      <c r="X302" s="15" t="s">
        <v>857</v>
      </c>
      <c r="Y302" s="20">
        <v>10</v>
      </c>
      <c r="Z302" s="15" t="s">
        <v>296</v>
      </c>
      <c r="AA302" s="15" t="s">
        <v>85</v>
      </c>
      <c r="AB302" s="15" t="s">
        <v>256</v>
      </c>
      <c r="AC302" s="20" t="s">
        <v>68</v>
      </c>
      <c r="AD302" s="9" t="str">
        <f>IF(OR(Form_Responses34[[#This Row],[Total_monthly_fuel_expense 
]]&gt;10040,Form_Responses34[[#This Row],[Total_monthly_fuel_expense 
]]&lt;-4760),"Outlier","Normal")</f>
        <v>Normal</v>
      </c>
    </row>
    <row r="303" spans="1:30" x14ac:dyDescent="0.2">
      <c r="A303" s="20">
        <v>24</v>
      </c>
      <c r="B303" s="15" t="s">
        <v>42</v>
      </c>
      <c r="C303" s="12" t="s">
        <v>182</v>
      </c>
      <c r="D303" s="20">
        <v>3</v>
      </c>
      <c r="E303" s="20">
        <v>1</v>
      </c>
      <c r="F303" s="15" t="s">
        <v>100</v>
      </c>
      <c r="H303" s="15" t="s">
        <v>47</v>
      </c>
      <c r="K303" s="21"/>
      <c r="L303" s="21"/>
      <c r="M303" s="21"/>
      <c r="N303" s="20">
        <v>2</v>
      </c>
      <c r="O303" s="20">
        <v>9</v>
      </c>
      <c r="P303" s="20">
        <v>5</v>
      </c>
      <c r="Q303" s="21"/>
      <c r="R303" s="21"/>
      <c r="S303" s="21"/>
      <c r="T303" s="21"/>
      <c r="U303" s="21"/>
      <c r="V303" s="21"/>
      <c r="W303" s="20">
        <v>650</v>
      </c>
      <c r="X303" s="15" t="s">
        <v>360</v>
      </c>
      <c r="Y303" s="20">
        <v>4</v>
      </c>
      <c r="Z303" s="15" t="s">
        <v>285</v>
      </c>
      <c r="AA303" s="15" t="s">
        <v>54</v>
      </c>
      <c r="AB303" s="15" t="s">
        <v>256</v>
      </c>
      <c r="AC303" s="20" t="s">
        <v>152</v>
      </c>
      <c r="AD303" s="9" t="str">
        <f>IF(OR(Form_Responses34[[#This Row],[Total_monthly_fuel_expense 
]]&gt;10040,Form_Responses34[[#This Row],[Total_monthly_fuel_expense 
]]&lt;-4760),"Outlier","Normal")</f>
        <v>Normal</v>
      </c>
    </row>
    <row r="304" spans="1:30" x14ac:dyDescent="0.2">
      <c r="A304" s="20">
        <v>55</v>
      </c>
      <c r="B304" s="15" t="s">
        <v>73</v>
      </c>
      <c r="C304" s="12" t="s">
        <v>1890</v>
      </c>
      <c r="D304" s="20">
        <v>4</v>
      </c>
      <c r="E304" s="20">
        <v>2</v>
      </c>
      <c r="F304" s="15" t="s">
        <v>290</v>
      </c>
      <c r="G304" s="15" t="s">
        <v>47</v>
      </c>
      <c r="J304" s="15" t="s">
        <v>291</v>
      </c>
      <c r="K304" s="20">
        <v>12</v>
      </c>
      <c r="L304" s="20">
        <v>5</v>
      </c>
      <c r="M304" s="20">
        <v>3</v>
      </c>
      <c r="N304" s="21"/>
      <c r="O304" s="21"/>
      <c r="P304" s="21"/>
      <c r="Q304" s="21"/>
      <c r="R304" s="21"/>
      <c r="S304" s="21"/>
      <c r="T304" s="20">
        <v>18</v>
      </c>
      <c r="U304" s="20">
        <v>62</v>
      </c>
      <c r="V304" s="20">
        <v>98</v>
      </c>
      <c r="W304" s="20">
        <v>12800</v>
      </c>
      <c r="X304" s="15" t="s">
        <v>252</v>
      </c>
      <c r="Y304" s="20">
        <v>9</v>
      </c>
      <c r="Z304" s="15" t="s">
        <v>296</v>
      </c>
      <c r="AA304" s="15" t="s">
        <v>362</v>
      </c>
      <c r="AB304" s="15" t="s">
        <v>307</v>
      </c>
      <c r="AC304" s="20" t="s">
        <v>68</v>
      </c>
      <c r="AD304" s="9" t="str">
        <f>IF(OR(Form_Responses34[[#This Row],[Total_monthly_fuel_expense 
]]&gt;10040,Form_Responses34[[#This Row],[Total_monthly_fuel_expense 
]]&lt;-4760),"Outlier","Normal")</f>
        <v>Outlier</v>
      </c>
    </row>
    <row r="305" spans="1:30" x14ac:dyDescent="0.2">
      <c r="A305" s="20">
        <v>32</v>
      </c>
      <c r="B305" s="15" t="s">
        <v>42</v>
      </c>
      <c r="C305" s="12" t="s">
        <v>1889</v>
      </c>
      <c r="D305" s="20">
        <v>3</v>
      </c>
      <c r="E305" s="20">
        <v>1</v>
      </c>
      <c r="F305" s="15" t="s">
        <v>431</v>
      </c>
      <c r="I305" s="15" t="s">
        <v>47</v>
      </c>
      <c r="K305" s="21"/>
      <c r="L305" s="21"/>
      <c r="M305" s="21"/>
      <c r="N305" s="21"/>
      <c r="O305" s="21"/>
      <c r="P305" s="21"/>
      <c r="Q305" s="20">
        <v>4</v>
      </c>
      <c r="R305" s="20">
        <v>29</v>
      </c>
      <c r="S305" s="20">
        <v>26</v>
      </c>
      <c r="T305" s="21"/>
      <c r="U305" s="21"/>
      <c r="V305" s="21"/>
      <c r="W305" s="20">
        <v>4000</v>
      </c>
      <c r="X305" s="15" t="s">
        <v>857</v>
      </c>
      <c r="Y305" s="20">
        <v>14</v>
      </c>
      <c r="Z305" s="15" t="s">
        <v>255</v>
      </c>
      <c r="AA305" s="15" t="s">
        <v>85</v>
      </c>
      <c r="AB305" s="15" t="s">
        <v>256</v>
      </c>
      <c r="AC305" s="20" t="s">
        <v>257</v>
      </c>
      <c r="AD305" s="9" t="str">
        <f>IF(OR(Form_Responses34[[#This Row],[Total_monthly_fuel_expense 
]]&gt;10040,Form_Responses34[[#This Row],[Total_monthly_fuel_expense 
]]&lt;-4760),"Outlier","Normal")</f>
        <v>Normal</v>
      </c>
    </row>
    <row r="306" spans="1:30" x14ac:dyDescent="0.2">
      <c r="A306" s="20">
        <v>41</v>
      </c>
      <c r="B306" s="15" t="s">
        <v>73</v>
      </c>
      <c r="C306" s="12" t="s">
        <v>1890</v>
      </c>
      <c r="D306" s="20">
        <v>6</v>
      </c>
      <c r="E306" s="20">
        <v>2</v>
      </c>
      <c r="F306" s="15" t="s">
        <v>246</v>
      </c>
      <c r="G306" s="15" t="s">
        <v>47</v>
      </c>
      <c r="I306" s="15" t="s">
        <v>47</v>
      </c>
      <c r="K306" s="20">
        <v>8</v>
      </c>
      <c r="L306" s="20">
        <v>10</v>
      </c>
      <c r="M306" s="20">
        <v>6</v>
      </c>
      <c r="N306" s="21"/>
      <c r="O306" s="21"/>
      <c r="P306" s="21"/>
      <c r="Q306" s="20">
        <v>6</v>
      </c>
      <c r="R306" s="20">
        <v>24</v>
      </c>
      <c r="S306" s="20">
        <v>22</v>
      </c>
      <c r="T306" s="21"/>
      <c r="U306" s="21"/>
      <c r="V306" s="21"/>
      <c r="W306" s="20">
        <v>4000</v>
      </c>
      <c r="X306" s="15" t="s">
        <v>159</v>
      </c>
      <c r="Y306" s="20">
        <v>8</v>
      </c>
      <c r="Z306" s="15" t="s">
        <v>296</v>
      </c>
      <c r="AA306" s="15" t="s">
        <v>85</v>
      </c>
      <c r="AB306" s="15" t="s">
        <v>256</v>
      </c>
      <c r="AC306" s="20" t="s">
        <v>68</v>
      </c>
      <c r="AD306" s="9" t="str">
        <f>IF(OR(Form_Responses34[[#This Row],[Total_monthly_fuel_expense 
]]&gt;10040,Form_Responses34[[#This Row],[Total_monthly_fuel_expense 
]]&lt;-4760),"Outlier","Normal")</f>
        <v>Normal</v>
      </c>
    </row>
    <row r="307" spans="1:30" x14ac:dyDescent="0.2">
      <c r="A307" s="20">
        <v>26</v>
      </c>
      <c r="B307" s="15" t="s">
        <v>42</v>
      </c>
      <c r="C307" s="12" t="s">
        <v>1889</v>
      </c>
      <c r="D307" s="20">
        <v>4</v>
      </c>
      <c r="E307" s="20">
        <v>1</v>
      </c>
      <c r="F307" s="15" t="s">
        <v>100</v>
      </c>
      <c r="H307" s="15" t="s">
        <v>47</v>
      </c>
      <c r="K307" s="21"/>
      <c r="L307" s="21"/>
      <c r="M307" s="21"/>
      <c r="N307" s="20">
        <v>3</v>
      </c>
      <c r="O307" s="20">
        <v>8</v>
      </c>
      <c r="P307" s="20">
        <v>5</v>
      </c>
      <c r="Q307" s="21"/>
      <c r="R307" s="21"/>
      <c r="S307" s="21"/>
      <c r="T307" s="21"/>
      <c r="U307" s="21"/>
      <c r="V307" s="21"/>
      <c r="W307" s="20">
        <v>650</v>
      </c>
      <c r="X307" s="15" t="s">
        <v>323</v>
      </c>
      <c r="Y307" s="20">
        <v>5</v>
      </c>
      <c r="Z307" s="15" t="s">
        <v>255</v>
      </c>
      <c r="AA307" s="15" t="s">
        <v>277</v>
      </c>
      <c r="AB307" s="15" t="s">
        <v>256</v>
      </c>
      <c r="AC307" s="20" t="s">
        <v>257</v>
      </c>
      <c r="AD307" s="9" t="str">
        <f>IF(OR(Form_Responses34[[#This Row],[Total_monthly_fuel_expense 
]]&gt;10040,Form_Responses34[[#This Row],[Total_monthly_fuel_expense 
]]&lt;-4760),"Outlier","Normal")</f>
        <v>Normal</v>
      </c>
    </row>
    <row r="308" spans="1:30" x14ac:dyDescent="0.2">
      <c r="A308" s="20">
        <v>54</v>
      </c>
      <c r="B308" s="15" t="s">
        <v>73</v>
      </c>
      <c r="C308" s="12" t="s">
        <v>1889</v>
      </c>
      <c r="D308" s="20">
        <v>6</v>
      </c>
      <c r="E308" s="20">
        <v>2</v>
      </c>
      <c r="F308" s="15" t="s">
        <v>290</v>
      </c>
      <c r="G308" s="15" t="s">
        <v>47</v>
      </c>
      <c r="J308" s="15" t="s">
        <v>291</v>
      </c>
      <c r="K308" s="20">
        <v>11</v>
      </c>
      <c r="L308" s="20">
        <v>6</v>
      </c>
      <c r="M308" s="20">
        <v>4</v>
      </c>
      <c r="N308" s="21"/>
      <c r="O308" s="21"/>
      <c r="P308" s="21"/>
      <c r="Q308" s="21"/>
      <c r="R308" s="21"/>
      <c r="S308" s="21"/>
      <c r="T308" s="20">
        <v>16</v>
      </c>
      <c r="U308" s="20">
        <v>52</v>
      </c>
      <c r="V308" s="20">
        <v>92</v>
      </c>
      <c r="W308" s="20">
        <v>11800</v>
      </c>
      <c r="X308" s="15" t="s">
        <v>857</v>
      </c>
      <c r="Y308" s="20">
        <v>8</v>
      </c>
      <c r="Z308" s="15" t="s">
        <v>296</v>
      </c>
      <c r="AA308" s="15" t="s">
        <v>85</v>
      </c>
      <c r="AB308" s="15" t="s">
        <v>325</v>
      </c>
      <c r="AC308" s="20" t="s">
        <v>257</v>
      </c>
      <c r="AD308" s="9" t="str">
        <f>IF(OR(Form_Responses34[[#This Row],[Total_monthly_fuel_expense 
]]&gt;10040,Form_Responses34[[#This Row],[Total_monthly_fuel_expense 
]]&lt;-4760),"Outlier","Normal")</f>
        <v>Outlier</v>
      </c>
    </row>
    <row r="309" spans="1:30" x14ac:dyDescent="0.2">
      <c r="A309" s="20">
        <v>34</v>
      </c>
      <c r="B309" s="15" t="s">
        <v>73</v>
      </c>
      <c r="C309" s="12" t="s">
        <v>1889</v>
      </c>
      <c r="D309" s="20">
        <v>4</v>
      </c>
      <c r="E309" s="20">
        <v>1</v>
      </c>
      <c r="F309" s="15" t="s">
        <v>431</v>
      </c>
      <c r="I309" s="15" t="s">
        <v>47</v>
      </c>
      <c r="K309" s="21"/>
      <c r="L309" s="21"/>
      <c r="M309" s="21"/>
      <c r="N309" s="21"/>
      <c r="O309" s="21"/>
      <c r="P309" s="21"/>
      <c r="Q309" s="20">
        <v>5</v>
      </c>
      <c r="R309" s="20">
        <v>32</v>
      </c>
      <c r="S309" s="20">
        <v>39</v>
      </c>
      <c r="T309" s="21"/>
      <c r="U309" s="21"/>
      <c r="V309" s="21"/>
      <c r="W309" s="20">
        <v>4400</v>
      </c>
      <c r="X309" s="15" t="s">
        <v>276</v>
      </c>
      <c r="Y309" s="20">
        <v>16</v>
      </c>
      <c r="Z309" s="15" t="s">
        <v>255</v>
      </c>
      <c r="AA309" s="15" t="s">
        <v>85</v>
      </c>
      <c r="AB309" s="15" t="s">
        <v>256</v>
      </c>
      <c r="AC309" s="20" t="s">
        <v>68</v>
      </c>
      <c r="AD309" s="9" t="str">
        <f>IF(OR(Form_Responses34[[#This Row],[Total_monthly_fuel_expense 
]]&gt;10040,Form_Responses34[[#This Row],[Total_monthly_fuel_expense 
]]&lt;-4760),"Outlier","Normal")</f>
        <v>Normal</v>
      </c>
    </row>
    <row r="310" spans="1:30" x14ac:dyDescent="0.2">
      <c r="A310" s="20">
        <v>28</v>
      </c>
      <c r="B310" s="15" t="s">
        <v>42</v>
      </c>
      <c r="C310" s="12" t="s">
        <v>1888</v>
      </c>
      <c r="D310" s="20">
        <v>4</v>
      </c>
      <c r="E310" s="20">
        <v>1</v>
      </c>
      <c r="F310" s="15" t="s">
        <v>100</v>
      </c>
      <c r="H310" s="15" t="s">
        <v>47</v>
      </c>
      <c r="K310" s="21"/>
      <c r="L310" s="21"/>
      <c r="M310" s="21"/>
      <c r="N310" s="20">
        <v>5</v>
      </c>
      <c r="O310" s="20">
        <v>6</v>
      </c>
      <c r="P310" s="20">
        <v>4</v>
      </c>
      <c r="Q310" s="21"/>
      <c r="R310" s="21"/>
      <c r="S310" s="21"/>
      <c r="T310" s="21"/>
      <c r="U310" s="21"/>
      <c r="V310" s="21"/>
      <c r="W310" s="20">
        <v>520</v>
      </c>
      <c r="X310" s="15" t="s">
        <v>360</v>
      </c>
      <c r="Y310" s="20">
        <v>3</v>
      </c>
      <c r="Z310" s="15" t="s">
        <v>306</v>
      </c>
      <c r="AA310" s="15" t="s">
        <v>362</v>
      </c>
      <c r="AB310" s="15" t="s">
        <v>307</v>
      </c>
      <c r="AC310" s="20" t="s">
        <v>68</v>
      </c>
      <c r="AD310" s="9" t="str">
        <f>IF(OR(Form_Responses34[[#This Row],[Total_monthly_fuel_expense 
]]&gt;10040,Form_Responses34[[#This Row],[Total_monthly_fuel_expense 
]]&lt;-4760),"Outlier","Normal")</f>
        <v>Normal</v>
      </c>
    </row>
    <row r="311" spans="1:30" x14ac:dyDescent="0.2">
      <c r="A311" s="20">
        <v>47</v>
      </c>
      <c r="B311" s="15" t="s">
        <v>73</v>
      </c>
      <c r="C311" s="12" t="s">
        <v>1890</v>
      </c>
      <c r="D311" s="20">
        <v>4</v>
      </c>
      <c r="E311" s="20">
        <v>2</v>
      </c>
      <c r="F311" s="15" t="s">
        <v>246</v>
      </c>
      <c r="G311" s="15" t="s">
        <v>47</v>
      </c>
      <c r="I311" s="15" t="s">
        <v>47</v>
      </c>
      <c r="K311" s="20">
        <v>9</v>
      </c>
      <c r="L311" s="20">
        <v>8</v>
      </c>
      <c r="M311" s="20">
        <v>5</v>
      </c>
      <c r="N311" s="21"/>
      <c r="O311" s="21"/>
      <c r="P311" s="21"/>
      <c r="Q311" s="20">
        <v>7</v>
      </c>
      <c r="R311" s="20">
        <v>27</v>
      </c>
      <c r="S311" s="20">
        <v>25</v>
      </c>
      <c r="T311" s="21"/>
      <c r="U311" s="21"/>
      <c r="V311" s="21"/>
      <c r="W311" s="20">
        <v>4500</v>
      </c>
      <c r="X311" s="15" t="s">
        <v>252</v>
      </c>
      <c r="Y311" s="20">
        <v>14</v>
      </c>
      <c r="Z311" s="15" t="s">
        <v>255</v>
      </c>
      <c r="AA311" s="15" t="s">
        <v>85</v>
      </c>
      <c r="AB311" s="15" t="s">
        <v>256</v>
      </c>
      <c r="AC311" s="20" t="s">
        <v>257</v>
      </c>
      <c r="AD311" s="9" t="str">
        <f>IF(OR(Form_Responses34[[#This Row],[Total_monthly_fuel_expense 
]]&gt;10040,Form_Responses34[[#This Row],[Total_monthly_fuel_expense 
]]&lt;-4760),"Outlier","Normal")</f>
        <v>Normal</v>
      </c>
    </row>
    <row r="312" spans="1:30" x14ac:dyDescent="0.2">
      <c r="A312" s="20">
        <v>27</v>
      </c>
      <c r="B312" s="15" t="s">
        <v>73</v>
      </c>
      <c r="C312" s="12" t="s">
        <v>1889</v>
      </c>
      <c r="D312" s="20">
        <v>3</v>
      </c>
      <c r="E312" s="20">
        <v>1</v>
      </c>
      <c r="F312" s="15" t="s">
        <v>46</v>
      </c>
      <c r="G312" s="15" t="s">
        <v>47</v>
      </c>
      <c r="K312" s="20">
        <v>3</v>
      </c>
      <c r="L312" s="20">
        <v>19</v>
      </c>
      <c r="M312" s="20">
        <v>10</v>
      </c>
      <c r="N312" s="21"/>
      <c r="O312" s="21"/>
      <c r="P312" s="21"/>
      <c r="Q312" s="21"/>
      <c r="R312" s="21"/>
      <c r="S312" s="21"/>
      <c r="T312" s="21"/>
      <c r="U312" s="21"/>
      <c r="V312" s="21"/>
      <c r="W312" s="20">
        <v>1300</v>
      </c>
      <c r="X312" s="15" t="s">
        <v>252</v>
      </c>
      <c r="Y312" s="20">
        <v>9</v>
      </c>
      <c r="Z312" s="15" t="s">
        <v>255</v>
      </c>
      <c r="AA312" s="15" t="s">
        <v>85</v>
      </c>
      <c r="AB312" s="15" t="s">
        <v>256</v>
      </c>
      <c r="AC312" s="20" t="s">
        <v>257</v>
      </c>
      <c r="AD312" s="9" t="str">
        <f>IF(OR(Form_Responses34[[#This Row],[Total_monthly_fuel_expense 
]]&gt;10040,Form_Responses34[[#This Row],[Total_monthly_fuel_expense 
]]&lt;-4760),"Outlier","Normal")</f>
        <v>Normal</v>
      </c>
    </row>
    <row r="313" spans="1:30" x14ac:dyDescent="0.2">
      <c r="A313" s="20">
        <v>35</v>
      </c>
      <c r="B313" s="15" t="s">
        <v>73</v>
      </c>
      <c r="C313" s="12" t="s">
        <v>1889</v>
      </c>
      <c r="D313" s="20">
        <v>5</v>
      </c>
      <c r="E313" s="20">
        <v>2</v>
      </c>
      <c r="F313" s="15" t="s">
        <v>246</v>
      </c>
      <c r="G313" s="15" t="s">
        <v>47</v>
      </c>
      <c r="I313" s="15" t="s">
        <v>47</v>
      </c>
      <c r="K313" s="20">
        <v>7</v>
      </c>
      <c r="L313" s="20">
        <v>8</v>
      </c>
      <c r="M313" s="20">
        <v>5</v>
      </c>
      <c r="N313" s="21"/>
      <c r="O313" s="21"/>
      <c r="P313" s="21"/>
      <c r="Q313" s="20">
        <v>6</v>
      </c>
      <c r="R313" s="20">
        <v>22</v>
      </c>
      <c r="S313" s="20">
        <v>21</v>
      </c>
      <c r="T313" s="21"/>
      <c r="U313" s="21"/>
      <c r="V313" s="21"/>
      <c r="W313" s="20">
        <v>3600</v>
      </c>
      <c r="X313" s="15" t="s">
        <v>159</v>
      </c>
      <c r="Y313" s="20">
        <v>12</v>
      </c>
      <c r="Z313" s="15" t="s">
        <v>724</v>
      </c>
      <c r="AA313" s="15" t="s">
        <v>362</v>
      </c>
      <c r="AB313" s="15" t="s">
        <v>307</v>
      </c>
      <c r="AC313" s="20" t="s">
        <v>68</v>
      </c>
      <c r="AD313" s="9" t="str">
        <f>IF(OR(Form_Responses34[[#This Row],[Total_monthly_fuel_expense 
]]&gt;10040,Form_Responses34[[#This Row],[Total_monthly_fuel_expense 
]]&lt;-4760),"Outlier","Normal")</f>
        <v>Normal</v>
      </c>
    </row>
    <row r="314" spans="1:30" x14ac:dyDescent="0.2">
      <c r="A314" s="20">
        <v>48</v>
      </c>
      <c r="B314" s="15" t="s">
        <v>73</v>
      </c>
      <c r="C314" s="12" t="s">
        <v>1889</v>
      </c>
      <c r="D314" s="20">
        <v>5</v>
      </c>
      <c r="E314" s="20">
        <v>2</v>
      </c>
      <c r="F314" s="15" t="s">
        <v>290</v>
      </c>
      <c r="G314" s="15" t="s">
        <v>47</v>
      </c>
      <c r="J314" s="15" t="s">
        <v>291</v>
      </c>
      <c r="K314" s="20">
        <v>10</v>
      </c>
      <c r="L314" s="20">
        <v>6</v>
      </c>
      <c r="M314" s="20">
        <v>4</v>
      </c>
      <c r="N314" s="21"/>
      <c r="O314" s="21"/>
      <c r="P314" s="21"/>
      <c r="Q314" s="21"/>
      <c r="R314" s="21"/>
      <c r="S314" s="21"/>
      <c r="T314" s="20">
        <v>12</v>
      </c>
      <c r="U314" s="20">
        <v>55</v>
      </c>
      <c r="V314" s="20">
        <v>85</v>
      </c>
      <c r="W314" s="20">
        <v>11000</v>
      </c>
      <c r="X314" s="15" t="s">
        <v>252</v>
      </c>
      <c r="Y314" s="20">
        <v>7</v>
      </c>
      <c r="Z314" s="15" t="s">
        <v>296</v>
      </c>
      <c r="AA314" s="15" t="s">
        <v>277</v>
      </c>
      <c r="AB314" s="15" t="s">
        <v>256</v>
      </c>
      <c r="AC314" s="20" t="s">
        <v>68</v>
      </c>
      <c r="AD314" s="9" t="str">
        <f>IF(OR(Form_Responses34[[#This Row],[Total_monthly_fuel_expense 
]]&gt;10040,Form_Responses34[[#This Row],[Total_monthly_fuel_expense 
]]&lt;-4760),"Outlier","Normal")</f>
        <v>Outlier</v>
      </c>
    </row>
    <row r="315" spans="1:30" x14ac:dyDescent="0.2">
      <c r="A315" s="20">
        <v>25</v>
      </c>
      <c r="B315" s="15" t="s">
        <v>42</v>
      </c>
      <c r="C315" s="12" t="s">
        <v>182</v>
      </c>
      <c r="D315" s="20">
        <v>4</v>
      </c>
      <c r="E315" s="20">
        <v>1</v>
      </c>
      <c r="F315" s="15" t="s">
        <v>100</v>
      </c>
      <c r="H315" s="15" t="s">
        <v>47</v>
      </c>
      <c r="K315" s="21"/>
      <c r="L315" s="21"/>
      <c r="M315" s="21"/>
      <c r="N315" s="21">
        <v>3</v>
      </c>
      <c r="O315" s="20">
        <v>2</v>
      </c>
      <c r="P315" s="20">
        <v>8</v>
      </c>
      <c r="Q315" s="20"/>
      <c r="R315" s="21"/>
      <c r="S315" s="21"/>
      <c r="T315" s="21"/>
      <c r="U315" s="21"/>
      <c r="V315" s="21"/>
      <c r="W315" s="20">
        <v>650</v>
      </c>
      <c r="X315" s="15" t="s">
        <v>323</v>
      </c>
      <c r="Y315" s="20">
        <v>4</v>
      </c>
      <c r="Z315" s="15" t="s">
        <v>285</v>
      </c>
      <c r="AA315" s="15" t="s">
        <v>85</v>
      </c>
      <c r="AB315" s="15" t="s">
        <v>256</v>
      </c>
      <c r="AC315" s="20" t="s">
        <v>68</v>
      </c>
      <c r="AD315" s="9" t="str">
        <f>IF(OR(Form_Responses34[[#This Row],[Total_monthly_fuel_expense 
]]&gt;10040,Form_Responses34[[#This Row],[Total_monthly_fuel_expense 
]]&lt;-4760),"Outlier","Normal")</f>
        <v>Normal</v>
      </c>
    </row>
    <row r="316" spans="1:30" x14ac:dyDescent="0.2">
      <c r="A316" s="20">
        <v>31</v>
      </c>
      <c r="B316" s="15" t="s">
        <v>73</v>
      </c>
      <c r="C316" s="12" t="s">
        <v>1889</v>
      </c>
      <c r="D316" s="20">
        <v>4</v>
      </c>
      <c r="E316" s="20">
        <v>1</v>
      </c>
      <c r="F316" s="15" t="s">
        <v>46</v>
      </c>
      <c r="G316" s="15" t="s">
        <v>47</v>
      </c>
      <c r="K316" s="20">
        <v>4</v>
      </c>
      <c r="L316" s="20">
        <v>20</v>
      </c>
      <c r="M316" s="20">
        <v>11</v>
      </c>
      <c r="N316" s="21"/>
      <c r="O316" s="21"/>
      <c r="P316" s="21"/>
      <c r="Q316" s="21"/>
      <c r="R316" s="21"/>
      <c r="S316" s="21"/>
      <c r="T316" s="21"/>
      <c r="U316" s="21"/>
      <c r="V316" s="21"/>
      <c r="W316" s="20">
        <v>1000</v>
      </c>
      <c r="X316" s="15" t="s">
        <v>323</v>
      </c>
      <c r="Y316" s="20">
        <v>5</v>
      </c>
      <c r="Z316" s="15" t="s">
        <v>255</v>
      </c>
      <c r="AA316" s="15" t="s">
        <v>362</v>
      </c>
      <c r="AB316" s="15" t="s">
        <v>307</v>
      </c>
      <c r="AC316" s="20" t="s">
        <v>257</v>
      </c>
      <c r="AD316" s="9" t="str">
        <f>IF(OR(Form_Responses34[[#This Row],[Total_monthly_fuel_expense 
]]&gt;10040,Form_Responses34[[#This Row],[Total_monthly_fuel_expense 
]]&lt;-4760),"Outlier","Normal")</f>
        <v>Normal</v>
      </c>
    </row>
    <row r="317" spans="1:30" x14ac:dyDescent="0.2">
      <c r="A317" s="20">
        <v>28</v>
      </c>
      <c r="B317" s="15" t="s">
        <v>42</v>
      </c>
      <c r="C317" s="12" t="s">
        <v>1888</v>
      </c>
      <c r="D317" s="20">
        <v>4</v>
      </c>
      <c r="E317" s="20">
        <v>1</v>
      </c>
      <c r="F317" s="15" t="s">
        <v>100</v>
      </c>
      <c r="H317" s="15" t="s">
        <v>47</v>
      </c>
      <c r="K317" s="21"/>
      <c r="L317" s="21"/>
      <c r="M317" s="21"/>
      <c r="N317" s="20">
        <v>5</v>
      </c>
      <c r="O317" s="20">
        <v>6</v>
      </c>
      <c r="P317" s="20">
        <v>4</v>
      </c>
      <c r="Q317" s="21"/>
      <c r="R317" s="21"/>
      <c r="S317" s="21"/>
      <c r="T317" s="21"/>
      <c r="U317" s="21"/>
      <c r="V317" s="21"/>
      <c r="W317" s="20">
        <v>420</v>
      </c>
      <c r="X317" s="15" t="s">
        <v>323</v>
      </c>
      <c r="Y317" s="20">
        <v>3</v>
      </c>
      <c r="Z317" s="15" t="s">
        <v>306</v>
      </c>
      <c r="AA317" s="15" t="s">
        <v>85</v>
      </c>
      <c r="AB317" s="15" t="s">
        <v>325</v>
      </c>
      <c r="AC317" s="20" t="s">
        <v>68</v>
      </c>
      <c r="AD317" s="9" t="str">
        <f>IF(OR(Form_Responses34[[#This Row],[Total_monthly_fuel_expense 
]]&gt;10040,Form_Responses34[[#This Row],[Total_monthly_fuel_expense 
]]&lt;-4760),"Outlier","Normal")</f>
        <v>Normal</v>
      </c>
    </row>
    <row r="318" spans="1:30" x14ac:dyDescent="0.2">
      <c r="A318" s="20">
        <v>45</v>
      </c>
      <c r="B318" s="15" t="s">
        <v>73</v>
      </c>
      <c r="C318" s="12" t="s">
        <v>1890</v>
      </c>
      <c r="D318" s="20">
        <v>5</v>
      </c>
      <c r="E318" s="20">
        <v>2</v>
      </c>
      <c r="F318" s="15" t="s">
        <v>290</v>
      </c>
      <c r="G318" s="15" t="s">
        <v>47</v>
      </c>
      <c r="J318" s="15" t="s">
        <v>291</v>
      </c>
      <c r="K318" s="20">
        <v>9</v>
      </c>
      <c r="L318" s="20">
        <v>7</v>
      </c>
      <c r="M318" s="20">
        <v>4</v>
      </c>
      <c r="N318" s="21"/>
      <c r="O318" s="21"/>
      <c r="P318" s="21"/>
      <c r="Q318" s="21"/>
      <c r="R318" s="21"/>
      <c r="S318" s="21"/>
      <c r="T318" s="20">
        <v>15</v>
      </c>
      <c r="U318" s="20">
        <v>52</v>
      </c>
      <c r="V318" s="20">
        <v>85</v>
      </c>
      <c r="W318" s="20">
        <v>10800</v>
      </c>
      <c r="X318" s="15" t="s">
        <v>159</v>
      </c>
      <c r="Y318" s="20">
        <v>6</v>
      </c>
      <c r="Z318" s="15" t="s">
        <v>296</v>
      </c>
      <c r="AA318" s="15" t="s">
        <v>362</v>
      </c>
      <c r="AB318" s="15" t="s">
        <v>307</v>
      </c>
      <c r="AC318" s="20" t="s">
        <v>68</v>
      </c>
      <c r="AD318" s="9" t="str">
        <f>IF(OR(Form_Responses34[[#This Row],[Total_monthly_fuel_expense 
]]&gt;10040,Form_Responses34[[#This Row],[Total_monthly_fuel_expense 
]]&lt;-4760),"Outlier","Normal")</f>
        <v>Outlier</v>
      </c>
    </row>
    <row r="319" spans="1:30" x14ac:dyDescent="0.2">
      <c r="A319" s="20">
        <v>34</v>
      </c>
      <c r="B319" s="15" t="s">
        <v>73</v>
      </c>
      <c r="C319" s="12" t="s">
        <v>1890</v>
      </c>
      <c r="D319" s="20">
        <v>4</v>
      </c>
      <c r="E319" s="20">
        <v>1</v>
      </c>
      <c r="F319" s="15" t="s">
        <v>431</v>
      </c>
      <c r="I319" s="15" t="s">
        <v>47</v>
      </c>
      <c r="K319" s="21"/>
      <c r="L319" s="21"/>
      <c r="M319" s="21"/>
      <c r="N319" s="21"/>
      <c r="O319" s="21"/>
      <c r="P319" s="21"/>
      <c r="Q319" s="20">
        <v>5</v>
      </c>
      <c r="R319" s="20">
        <v>28</v>
      </c>
      <c r="S319" s="20">
        <v>26</v>
      </c>
      <c r="T319" s="21"/>
      <c r="U319" s="21"/>
      <c r="V319" s="21"/>
      <c r="W319" s="20">
        <v>4000</v>
      </c>
      <c r="X319" s="15" t="s">
        <v>276</v>
      </c>
      <c r="Y319" s="20">
        <v>9</v>
      </c>
      <c r="Z319" s="15" t="s">
        <v>255</v>
      </c>
      <c r="AA319" s="15" t="s">
        <v>362</v>
      </c>
      <c r="AB319" s="15" t="s">
        <v>307</v>
      </c>
      <c r="AC319" s="20" t="s">
        <v>257</v>
      </c>
      <c r="AD319" s="9" t="str">
        <f>IF(OR(Form_Responses34[[#This Row],[Total_monthly_fuel_expense 
]]&gt;10040,Form_Responses34[[#This Row],[Total_monthly_fuel_expense 
]]&lt;-4760),"Outlier","Normal")</f>
        <v>Normal</v>
      </c>
    </row>
    <row r="320" spans="1:30" x14ac:dyDescent="0.2">
      <c r="A320" s="20">
        <v>25</v>
      </c>
      <c r="B320" s="15" t="s">
        <v>42</v>
      </c>
      <c r="C320" s="12" t="s">
        <v>1888</v>
      </c>
      <c r="D320" s="20">
        <v>6</v>
      </c>
      <c r="E320" s="20">
        <v>1</v>
      </c>
      <c r="F320" s="15" t="s">
        <v>46</v>
      </c>
      <c r="G320" s="15" t="s">
        <v>47</v>
      </c>
      <c r="K320" s="20">
        <v>1</v>
      </c>
      <c r="L320" s="20">
        <v>14</v>
      </c>
      <c r="M320" s="20">
        <v>9</v>
      </c>
      <c r="N320" s="21"/>
      <c r="O320" s="21"/>
      <c r="P320" s="21"/>
      <c r="Q320" s="21"/>
      <c r="R320" s="21"/>
      <c r="S320" s="21"/>
      <c r="T320" s="21"/>
      <c r="U320" s="21"/>
      <c r="V320" s="21"/>
      <c r="W320" s="20">
        <v>1000</v>
      </c>
      <c r="X320" s="15" t="s">
        <v>159</v>
      </c>
      <c r="Y320" s="20">
        <v>7</v>
      </c>
      <c r="Z320" s="15" t="s">
        <v>255</v>
      </c>
      <c r="AA320" s="15" t="s">
        <v>85</v>
      </c>
      <c r="AB320" s="15" t="s">
        <v>256</v>
      </c>
      <c r="AC320" s="20" t="s">
        <v>257</v>
      </c>
      <c r="AD320" s="9" t="str">
        <f>IF(OR(Form_Responses34[[#This Row],[Total_monthly_fuel_expense 
]]&gt;10040,Form_Responses34[[#This Row],[Total_monthly_fuel_expense 
]]&lt;-4760),"Outlier","Normal")</f>
        <v>Normal</v>
      </c>
    </row>
    <row r="321" spans="1:30" x14ac:dyDescent="0.2">
      <c r="A321" s="20">
        <v>39</v>
      </c>
      <c r="B321" s="15" t="s">
        <v>73</v>
      </c>
      <c r="C321" s="12" t="s">
        <v>1889</v>
      </c>
      <c r="D321" s="20">
        <v>5</v>
      </c>
      <c r="E321" s="20">
        <v>2</v>
      </c>
      <c r="F321" s="15" t="s">
        <v>246</v>
      </c>
      <c r="G321" s="15" t="s">
        <v>47</v>
      </c>
      <c r="I321" s="15" t="s">
        <v>47</v>
      </c>
      <c r="K321" s="20">
        <v>8</v>
      </c>
      <c r="L321" s="20">
        <v>9</v>
      </c>
      <c r="M321" s="20">
        <v>6</v>
      </c>
      <c r="N321" s="21"/>
      <c r="O321" s="21"/>
      <c r="P321" s="21"/>
      <c r="Q321" s="20">
        <v>6</v>
      </c>
      <c r="R321" s="20">
        <v>24</v>
      </c>
      <c r="S321" s="20">
        <v>22</v>
      </c>
      <c r="T321" s="21"/>
      <c r="U321" s="21"/>
      <c r="V321" s="21"/>
      <c r="W321" s="20">
        <v>4000</v>
      </c>
      <c r="X321" s="15" t="s">
        <v>276</v>
      </c>
      <c r="Y321" s="20">
        <v>5</v>
      </c>
      <c r="Z321" s="15" t="s">
        <v>255</v>
      </c>
      <c r="AA321" s="15" t="s">
        <v>85</v>
      </c>
      <c r="AB321" s="15" t="s">
        <v>335</v>
      </c>
      <c r="AC321" s="20" t="s">
        <v>68</v>
      </c>
      <c r="AD321" s="9" t="str">
        <f>IF(OR(Form_Responses34[[#This Row],[Total_monthly_fuel_expense 
]]&gt;10040,Form_Responses34[[#This Row],[Total_monthly_fuel_expense 
]]&lt;-4760),"Outlier","Normal")</f>
        <v>Normal</v>
      </c>
    </row>
    <row r="322" spans="1:30" x14ac:dyDescent="0.2">
      <c r="A322" s="20">
        <v>28</v>
      </c>
      <c r="B322" s="15" t="s">
        <v>73</v>
      </c>
      <c r="C322" s="12" t="s">
        <v>1889</v>
      </c>
      <c r="D322" s="20">
        <v>5</v>
      </c>
      <c r="E322" s="20">
        <v>1</v>
      </c>
      <c r="F322" s="15" t="s">
        <v>46</v>
      </c>
      <c r="G322" s="15" t="s">
        <v>47</v>
      </c>
      <c r="K322" s="20">
        <v>3</v>
      </c>
      <c r="L322" s="20">
        <v>18</v>
      </c>
      <c r="M322" s="20">
        <v>10</v>
      </c>
      <c r="N322" s="21"/>
      <c r="O322" s="21"/>
      <c r="P322" s="21"/>
      <c r="Q322" s="21"/>
      <c r="R322" s="21"/>
      <c r="S322" s="21"/>
      <c r="T322" s="21"/>
      <c r="U322" s="21"/>
      <c r="V322" s="21"/>
      <c r="W322" s="20">
        <v>1300</v>
      </c>
      <c r="X322" s="15" t="s">
        <v>323</v>
      </c>
      <c r="Y322" s="20">
        <v>8</v>
      </c>
      <c r="Z322" s="15" t="s">
        <v>255</v>
      </c>
      <c r="AA322" s="15" t="s">
        <v>362</v>
      </c>
      <c r="AB322" s="15" t="s">
        <v>307</v>
      </c>
      <c r="AC322" s="20" t="s">
        <v>68</v>
      </c>
      <c r="AD322" s="9" t="str">
        <f>IF(OR(Form_Responses34[[#This Row],[Total_monthly_fuel_expense 
]]&gt;10040,Form_Responses34[[#This Row],[Total_monthly_fuel_expense 
]]&lt;-4760),"Outlier","Normal")</f>
        <v>Normal</v>
      </c>
    </row>
    <row r="323" spans="1:30" x14ac:dyDescent="0.2">
      <c r="A323" s="20">
        <v>24</v>
      </c>
      <c r="B323" s="15" t="s">
        <v>42</v>
      </c>
      <c r="C323" s="12" t="s">
        <v>182</v>
      </c>
      <c r="D323" s="20">
        <v>4</v>
      </c>
      <c r="E323" s="20">
        <v>1</v>
      </c>
      <c r="F323" s="44" t="s">
        <v>1498</v>
      </c>
      <c r="G323" s="45" t="s">
        <v>47</v>
      </c>
      <c r="H323" s="15"/>
      <c r="K323" s="20">
        <v>6</v>
      </c>
      <c r="L323" s="20">
        <v>5</v>
      </c>
      <c r="M323" s="20">
        <v>3</v>
      </c>
      <c r="N323" s="21"/>
      <c r="O323" s="21"/>
      <c r="P323" s="21"/>
      <c r="Q323" s="21"/>
      <c r="R323" s="21"/>
      <c r="S323" s="21"/>
      <c r="T323" s="21"/>
      <c r="U323" s="21"/>
      <c r="V323" s="21"/>
      <c r="W323" s="20">
        <v>390</v>
      </c>
      <c r="X323" s="15" t="s">
        <v>276</v>
      </c>
      <c r="Y323" s="20">
        <v>2</v>
      </c>
      <c r="Z323" s="15" t="s">
        <v>255</v>
      </c>
      <c r="AA323" s="15" t="s">
        <v>96</v>
      </c>
      <c r="AB323" s="15" t="s">
        <v>318</v>
      </c>
      <c r="AC323" s="20" t="s">
        <v>68</v>
      </c>
      <c r="AD323" s="9" t="str">
        <f>IF(OR(Form_Responses34[[#This Row],[Total_monthly_fuel_expense 
]]&gt;10040,Form_Responses34[[#This Row],[Total_monthly_fuel_expense 
]]&lt;-4760),"Outlier","Normal")</f>
        <v>Normal</v>
      </c>
    </row>
    <row r="324" spans="1:30" x14ac:dyDescent="0.2">
      <c r="A324" s="20">
        <v>19</v>
      </c>
      <c r="B324" s="15" t="s">
        <v>42</v>
      </c>
      <c r="C324" s="12" t="s">
        <v>1888</v>
      </c>
      <c r="D324" s="20">
        <v>5</v>
      </c>
      <c r="E324" s="20">
        <v>1</v>
      </c>
      <c r="F324" s="15" t="s">
        <v>46</v>
      </c>
      <c r="G324" s="15" t="s">
        <v>47</v>
      </c>
      <c r="K324" s="20">
        <v>20</v>
      </c>
      <c r="L324" s="20">
        <v>15</v>
      </c>
      <c r="M324" s="20">
        <v>30</v>
      </c>
      <c r="N324" s="21"/>
      <c r="O324" s="21"/>
      <c r="P324" s="21"/>
      <c r="Q324" s="21"/>
      <c r="R324" s="21"/>
      <c r="S324" s="21"/>
      <c r="T324" s="21"/>
      <c r="U324" s="21"/>
      <c r="V324" s="21"/>
      <c r="W324" s="20">
        <v>3000</v>
      </c>
      <c r="X324" s="15" t="s">
        <v>252</v>
      </c>
      <c r="Y324" s="20">
        <v>11</v>
      </c>
      <c r="Z324" s="15" t="s">
        <v>285</v>
      </c>
      <c r="AA324" s="15" t="s">
        <v>54</v>
      </c>
      <c r="AB324" s="15" t="s">
        <v>256</v>
      </c>
      <c r="AC324" s="20" t="s">
        <v>68</v>
      </c>
      <c r="AD324" s="9" t="str">
        <f>IF(OR(Form_Responses34[[#This Row],[Total_monthly_fuel_expense 
]]&gt;10040,Form_Responses34[[#This Row],[Total_monthly_fuel_expense 
]]&lt;-4760),"Outlier","Normal")</f>
        <v>Normal</v>
      </c>
    </row>
    <row r="325" spans="1:30" x14ac:dyDescent="0.2">
      <c r="A325" s="20">
        <v>52</v>
      </c>
      <c r="B325" s="15" t="s">
        <v>73</v>
      </c>
      <c r="C325" s="12" t="s">
        <v>1889</v>
      </c>
      <c r="D325" s="20">
        <v>4</v>
      </c>
      <c r="E325" s="20">
        <v>2</v>
      </c>
      <c r="F325" s="15" t="s">
        <v>290</v>
      </c>
      <c r="G325" s="15" t="s">
        <v>47</v>
      </c>
      <c r="J325" s="15" t="s">
        <v>291</v>
      </c>
      <c r="K325" s="20">
        <v>11</v>
      </c>
      <c r="L325" s="20">
        <v>6</v>
      </c>
      <c r="M325" s="20">
        <v>4</v>
      </c>
      <c r="N325" s="21"/>
      <c r="O325" s="21"/>
      <c r="P325" s="21"/>
      <c r="Q325" s="21"/>
      <c r="R325" s="21"/>
      <c r="S325" s="21"/>
      <c r="T325" s="20">
        <v>16</v>
      </c>
      <c r="U325" s="20">
        <v>58</v>
      </c>
      <c r="V325" s="20">
        <v>90</v>
      </c>
      <c r="W325" s="20">
        <v>11600</v>
      </c>
      <c r="X325" s="15" t="s">
        <v>323</v>
      </c>
      <c r="Y325" s="20">
        <v>7</v>
      </c>
      <c r="Z325" s="15" t="s">
        <v>296</v>
      </c>
      <c r="AA325" s="15" t="s">
        <v>96</v>
      </c>
      <c r="AB325" s="15" t="s">
        <v>325</v>
      </c>
      <c r="AC325" s="20" t="s">
        <v>257</v>
      </c>
      <c r="AD325" s="9" t="str">
        <f>IF(OR(Form_Responses34[[#This Row],[Total_monthly_fuel_expense 
]]&gt;10040,Form_Responses34[[#This Row],[Total_monthly_fuel_expense 
]]&lt;-4760),"Outlier","Normal")</f>
        <v>Outlier</v>
      </c>
    </row>
    <row r="326" spans="1:30" x14ac:dyDescent="0.2">
      <c r="A326" s="20">
        <v>26</v>
      </c>
      <c r="B326" s="15" t="s">
        <v>42</v>
      </c>
      <c r="C326" s="12" t="s">
        <v>1889</v>
      </c>
      <c r="D326" s="20">
        <v>4</v>
      </c>
      <c r="E326" s="20">
        <v>1</v>
      </c>
      <c r="F326" s="15" t="s">
        <v>100</v>
      </c>
      <c r="H326" s="15" t="s">
        <v>47</v>
      </c>
      <c r="K326" s="21"/>
      <c r="L326" s="21"/>
      <c r="M326" s="21"/>
      <c r="N326" s="20">
        <v>2</v>
      </c>
      <c r="O326" s="20">
        <v>9</v>
      </c>
      <c r="P326" s="20">
        <v>5</v>
      </c>
      <c r="Q326" s="21"/>
      <c r="R326" s="21"/>
      <c r="S326" s="21"/>
      <c r="T326" s="21"/>
      <c r="U326" s="21"/>
      <c r="V326" s="21"/>
      <c r="W326" s="20">
        <v>650</v>
      </c>
      <c r="X326" s="15" t="s">
        <v>252</v>
      </c>
      <c r="Y326" s="20">
        <v>4</v>
      </c>
      <c r="Z326" s="15" t="s">
        <v>255</v>
      </c>
      <c r="AA326" s="15" t="s">
        <v>362</v>
      </c>
      <c r="AB326" s="15" t="s">
        <v>307</v>
      </c>
      <c r="AC326" s="20" t="s">
        <v>68</v>
      </c>
      <c r="AD326" s="9" t="str">
        <f>IF(OR(Form_Responses34[[#This Row],[Total_monthly_fuel_expense 
]]&gt;10040,Form_Responses34[[#This Row],[Total_monthly_fuel_expense 
]]&lt;-4760),"Outlier","Normal")</f>
        <v>Normal</v>
      </c>
    </row>
    <row r="327" spans="1:30" x14ac:dyDescent="0.2">
      <c r="A327" s="20">
        <v>41</v>
      </c>
      <c r="B327" s="15" t="s">
        <v>73</v>
      </c>
      <c r="C327" s="12" t="s">
        <v>1890</v>
      </c>
      <c r="D327" s="20">
        <v>4</v>
      </c>
      <c r="E327" s="20">
        <v>2</v>
      </c>
      <c r="F327" s="15" t="s">
        <v>246</v>
      </c>
      <c r="G327" s="15" t="s">
        <v>47</v>
      </c>
      <c r="I327" s="15" t="s">
        <v>47</v>
      </c>
      <c r="K327" s="20">
        <v>7</v>
      </c>
      <c r="L327" s="20">
        <v>8</v>
      </c>
      <c r="M327" s="20">
        <v>5</v>
      </c>
      <c r="N327" s="21"/>
      <c r="O327" s="21"/>
      <c r="P327" s="21"/>
      <c r="Q327" s="20">
        <v>5</v>
      </c>
      <c r="R327" s="20">
        <v>26</v>
      </c>
      <c r="S327" s="20">
        <v>24</v>
      </c>
      <c r="T327" s="21"/>
      <c r="U327" s="21"/>
      <c r="V327" s="21"/>
      <c r="W327" s="20">
        <v>4300</v>
      </c>
      <c r="X327" s="15" t="s">
        <v>252</v>
      </c>
      <c r="Y327" s="20">
        <v>13</v>
      </c>
      <c r="Z327" s="15" t="s">
        <v>255</v>
      </c>
      <c r="AA327" s="15" t="s">
        <v>85</v>
      </c>
      <c r="AB327" s="15" t="s">
        <v>256</v>
      </c>
      <c r="AC327" s="20" t="s">
        <v>257</v>
      </c>
      <c r="AD327" s="9" t="str">
        <f>IF(OR(Form_Responses34[[#This Row],[Total_monthly_fuel_expense 
]]&gt;10040,Form_Responses34[[#This Row],[Total_monthly_fuel_expense 
]]&lt;-4760),"Outlier","Normal")</f>
        <v>Normal</v>
      </c>
    </row>
    <row r="328" spans="1:30" x14ac:dyDescent="0.2">
      <c r="A328" s="20">
        <v>22</v>
      </c>
      <c r="B328" s="15" t="s">
        <v>42</v>
      </c>
      <c r="C328" s="12" t="s">
        <v>182</v>
      </c>
      <c r="D328" s="20">
        <v>4</v>
      </c>
      <c r="E328" s="20">
        <v>1</v>
      </c>
      <c r="F328" s="15" t="s">
        <v>46</v>
      </c>
      <c r="G328" s="15" t="s">
        <v>47</v>
      </c>
      <c r="K328" s="20">
        <v>1</v>
      </c>
      <c r="L328" s="20">
        <v>12</v>
      </c>
      <c r="M328" s="20">
        <v>8</v>
      </c>
      <c r="N328" s="21"/>
      <c r="O328" s="21"/>
      <c r="P328" s="21"/>
      <c r="Q328" s="21"/>
      <c r="R328" s="21"/>
      <c r="S328" s="21"/>
      <c r="T328" s="21"/>
      <c r="U328" s="21"/>
      <c r="V328" s="21"/>
      <c r="W328" s="20">
        <v>850</v>
      </c>
      <c r="X328" s="15" t="s">
        <v>159</v>
      </c>
      <c r="Y328" s="20">
        <v>6</v>
      </c>
      <c r="Z328" s="15" t="s">
        <v>285</v>
      </c>
      <c r="AA328" s="15" t="s">
        <v>96</v>
      </c>
      <c r="AB328" s="15" t="s">
        <v>256</v>
      </c>
      <c r="AC328" s="20" t="s">
        <v>68</v>
      </c>
      <c r="AD328" s="9" t="str">
        <f>IF(OR(Form_Responses34[[#This Row],[Total_monthly_fuel_expense 
]]&gt;10040,Form_Responses34[[#This Row],[Total_monthly_fuel_expense 
]]&lt;-4760),"Outlier","Normal")</f>
        <v>Normal</v>
      </c>
    </row>
    <row r="329" spans="1:30" x14ac:dyDescent="0.2">
      <c r="A329" s="20">
        <v>27</v>
      </c>
      <c r="B329" s="15" t="s">
        <v>73</v>
      </c>
      <c r="C329" s="12" t="s">
        <v>1889</v>
      </c>
      <c r="D329" s="20">
        <v>4</v>
      </c>
      <c r="E329" s="20">
        <v>1</v>
      </c>
      <c r="F329" s="15" t="s">
        <v>431</v>
      </c>
      <c r="G329" s="45"/>
      <c r="I329" s="15" t="s">
        <v>47</v>
      </c>
      <c r="K329" s="20"/>
      <c r="L329" s="20"/>
      <c r="M329" s="20"/>
      <c r="N329" s="21"/>
      <c r="O329" s="21"/>
      <c r="P329" s="21"/>
      <c r="Q329" s="21">
        <v>5</v>
      </c>
      <c r="R329" s="21">
        <v>24</v>
      </c>
      <c r="S329" s="21">
        <v>24</v>
      </c>
      <c r="T329" s="21"/>
      <c r="U329" s="21"/>
      <c r="V329" s="21"/>
      <c r="W329" s="20">
        <v>3000</v>
      </c>
      <c r="X329" s="15" t="s">
        <v>276</v>
      </c>
      <c r="Y329" s="20">
        <v>12</v>
      </c>
      <c r="Z329" s="15" t="s">
        <v>1182</v>
      </c>
      <c r="AA329" s="15" t="s">
        <v>277</v>
      </c>
      <c r="AB329" s="15" t="s">
        <v>256</v>
      </c>
      <c r="AC329" s="20" t="s">
        <v>257</v>
      </c>
      <c r="AD329" s="9" t="str">
        <f>IF(OR(Form_Responses34[[#This Row],[Total_monthly_fuel_expense 
]]&gt;10040,Form_Responses34[[#This Row],[Total_monthly_fuel_expense 
]]&lt;-4760),"Outlier","Normal")</f>
        <v>Normal</v>
      </c>
    </row>
    <row r="330" spans="1:30" x14ac:dyDescent="0.2">
      <c r="A330" s="20">
        <v>36</v>
      </c>
      <c r="B330" s="15" t="s">
        <v>42</v>
      </c>
      <c r="C330" s="12" t="s">
        <v>1888</v>
      </c>
      <c r="D330" s="20">
        <v>6</v>
      </c>
      <c r="E330" s="20">
        <v>1</v>
      </c>
      <c r="F330" s="44" t="s">
        <v>1498</v>
      </c>
      <c r="G330" s="45" t="s">
        <v>47</v>
      </c>
      <c r="H330" s="15"/>
      <c r="K330" s="21">
        <v>6</v>
      </c>
      <c r="L330" s="21">
        <v>12</v>
      </c>
      <c r="M330" s="21">
        <v>8</v>
      </c>
      <c r="N330" s="20"/>
      <c r="O330" s="20"/>
      <c r="P330" s="20"/>
      <c r="Q330" s="21"/>
      <c r="R330" s="21"/>
      <c r="S330" s="21"/>
      <c r="T330" s="21"/>
      <c r="U330" s="21"/>
      <c r="V330" s="21"/>
      <c r="W330" s="20">
        <v>300</v>
      </c>
      <c r="X330" s="15" t="s">
        <v>323</v>
      </c>
      <c r="Y330" s="20">
        <v>3</v>
      </c>
      <c r="Z330" s="15" t="s">
        <v>344</v>
      </c>
      <c r="AA330" s="15" t="s">
        <v>85</v>
      </c>
      <c r="AB330" s="15" t="s">
        <v>325</v>
      </c>
      <c r="AC330" s="20" t="s">
        <v>68</v>
      </c>
      <c r="AD330" s="9" t="str">
        <f>IF(OR(Form_Responses34[[#This Row],[Total_monthly_fuel_expense 
]]&gt;10040,Form_Responses34[[#This Row],[Total_monthly_fuel_expense 
]]&lt;-4760),"Outlier","Normal")</f>
        <v>Normal</v>
      </c>
    </row>
    <row r="331" spans="1:30" x14ac:dyDescent="0.2">
      <c r="A331" s="20">
        <v>33</v>
      </c>
      <c r="B331" s="15" t="s">
        <v>73</v>
      </c>
      <c r="C331" s="12" t="s">
        <v>1889</v>
      </c>
      <c r="D331" s="20">
        <v>3</v>
      </c>
      <c r="E331" s="20">
        <v>1</v>
      </c>
      <c r="F331" s="15" t="s">
        <v>431</v>
      </c>
      <c r="I331" s="15" t="s">
        <v>47</v>
      </c>
      <c r="K331" s="21"/>
      <c r="L331" s="21"/>
      <c r="M331" s="21"/>
      <c r="N331" s="21"/>
      <c r="O331" s="21"/>
      <c r="P331" s="21"/>
      <c r="Q331" s="20">
        <v>4</v>
      </c>
      <c r="R331" s="20">
        <v>30</v>
      </c>
      <c r="S331" s="20">
        <v>28</v>
      </c>
      <c r="T331" s="21"/>
      <c r="U331" s="21"/>
      <c r="V331" s="21"/>
      <c r="W331" s="20">
        <v>2800</v>
      </c>
      <c r="X331" s="15" t="s">
        <v>159</v>
      </c>
      <c r="Y331" s="20">
        <v>14</v>
      </c>
      <c r="Z331" s="15" t="s">
        <v>255</v>
      </c>
      <c r="AA331" s="15" t="s">
        <v>362</v>
      </c>
      <c r="AB331" s="15" t="s">
        <v>307</v>
      </c>
      <c r="AC331" s="20" t="s">
        <v>257</v>
      </c>
      <c r="AD331" s="9" t="str">
        <f>IF(OR(Form_Responses34[[#This Row],[Total_monthly_fuel_expense 
]]&gt;10040,Form_Responses34[[#This Row],[Total_monthly_fuel_expense 
]]&lt;-4760),"Outlier","Normal")</f>
        <v>Normal</v>
      </c>
    </row>
    <row r="332" spans="1:30" x14ac:dyDescent="0.2">
      <c r="A332" s="20">
        <v>30</v>
      </c>
      <c r="B332" s="15" t="s">
        <v>42</v>
      </c>
      <c r="C332" s="12" t="s">
        <v>1889</v>
      </c>
      <c r="D332" s="20">
        <v>4</v>
      </c>
      <c r="E332" s="20">
        <v>1</v>
      </c>
      <c r="F332" s="15" t="s">
        <v>100</v>
      </c>
      <c r="H332" s="15" t="s">
        <v>47</v>
      </c>
      <c r="K332" s="21"/>
      <c r="L332" s="21"/>
      <c r="M332" s="21"/>
      <c r="N332" s="20">
        <v>5</v>
      </c>
      <c r="O332" s="20">
        <v>14</v>
      </c>
      <c r="P332" s="20">
        <v>9</v>
      </c>
      <c r="Q332" s="21"/>
      <c r="R332" s="21"/>
      <c r="S332" s="21"/>
      <c r="T332" s="21"/>
      <c r="U332" s="21"/>
      <c r="V332" s="21"/>
      <c r="W332" s="20">
        <v>900</v>
      </c>
      <c r="X332" s="15" t="s">
        <v>252</v>
      </c>
      <c r="Y332" s="20">
        <v>7</v>
      </c>
      <c r="Z332" s="15" t="s">
        <v>255</v>
      </c>
      <c r="AA332" s="15" t="s">
        <v>362</v>
      </c>
      <c r="AB332" s="15" t="s">
        <v>307</v>
      </c>
      <c r="AC332" s="20" t="s">
        <v>68</v>
      </c>
      <c r="AD332" s="9" t="str">
        <f>IF(OR(Form_Responses34[[#This Row],[Total_monthly_fuel_expense 
]]&gt;10040,Form_Responses34[[#This Row],[Total_monthly_fuel_expense 
]]&lt;-4760),"Outlier","Normal")</f>
        <v>Normal</v>
      </c>
    </row>
    <row r="333" spans="1:30" x14ac:dyDescent="0.2">
      <c r="A333" s="20">
        <v>38</v>
      </c>
      <c r="B333" s="15" t="s">
        <v>73</v>
      </c>
      <c r="C333" s="12" t="s">
        <v>1889</v>
      </c>
      <c r="D333" s="20">
        <v>5</v>
      </c>
      <c r="E333" s="20">
        <v>2</v>
      </c>
      <c r="F333" s="15" t="s">
        <v>246</v>
      </c>
      <c r="G333" s="15" t="s">
        <v>47</v>
      </c>
      <c r="I333" s="15" t="s">
        <v>47</v>
      </c>
      <c r="K333" s="20">
        <v>6</v>
      </c>
      <c r="L333" s="20">
        <v>10</v>
      </c>
      <c r="M333" s="20">
        <v>6</v>
      </c>
      <c r="N333" s="21"/>
      <c r="O333" s="21"/>
      <c r="P333" s="21"/>
      <c r="Q333" s="20">
        <v>5</v>
      </c>
      <c r="R333" s="20">
        <v>24</v>
      </c>
      <c r="S333" s="20">
        <v>22</v>
      </c>
      <c r="T333" s="21"/>
      <c r="U333" s="21"/>
      <c r="V333" s="21"/>
      <c r="W333" s="20">
        <v>4000</v>
      </c>
      <c r="X333" s="15" t="s">
        <v>252</v>
      </c>
      <c r="Y333" s="20">
        <v>12</v>
      </c>
      <c r="Z333" s="15" t="s">
        <v>255</v>
      </c>
      <c r="AA333" s="15" t="s">
        <v>85</v>
      </c>
      <c r="AB333" s="15" t="s">
        <v>256</v>
      </c>
      <c r="AC333" s="20" t="s">
        <v>68</v>
      </c>
      <c r="AD333" s="9" t="str">
        <f>IF(OR(Form_Responses34[[#This Row],[Total_monthly_fuel_expense 
]]&gt;10040,Form_Responses34[[#This Row],[Total_monthly_fuel_expense 
]]&lt;-4760),"Outlier","Normal")</f>
        <v>Normal</v>
      </c>
    </row>
    <row r="334" spans="1:30" x14ac:dyDescent="0.2">
      <c r="A334" s="20">
        <v>22</v>
      </c>
      <c r="B334" s="15" t="s">
        <v>42</v>
      </c>
      <c r="C334" s="12" t="s">
        <v>182</v>
      </c>
      <c r="D334" s="20">
        <v>5</v>
      </c>
      <c r="E334" s="20">
        <v>1</v>
      </c>
      <c r="F334" s="15" t="s">
        <v>100</v>
      </c>
      <c r="H334" s="15" t="s">
        <v>47</v>
      </c>
      <c r="K334" s="21"/>
      <c r="L334" s="21"/>
      <c r="M334" s="21"/>
      <c r="N334" s="20">
        <v>2</v>
      </c>
      <c r="O334" s="20">
        <v>8</v>
      </c>
      <c r="P334" s="20">
        <v>5</v>
      </c>
      <c r="Q334" s="21"/>
      <c r="R334" s="21"/>
      <c r="S334" s="21"/>
      <c r="T334" s="21"/>
      <c r="U334" s="21"/>
      <c r="V334" s="21"/>
      <c r="W334" s="20">
        <v>650</v>
      </c>
      <c r="X334" s="15" t="s">
        <v>276</v>
      </c>
      <c r="Y334" s="20">
        <v>4</v>
      </c>
      <c r="Z334" s="15" t="s">
        <v>285</v>
      </c>
      <c r="AA334" s="15" t="s">
        <v>96</v>
      </c>
      <c r="AB334" s="15" t="s">
        <v>256</v>
      </c>
      <c r="AC334" s="20" t="s">
        <v>152</v>
      </c>
      <c r="AD334" s="9" t="str">
        <f>IF(OR(Form_Responses34[[#This Row],[Total_monthly_fuel_expense 
]]&gt;10040,Form_Responses34[[#This Row],[Total_monthly_fuel_expense 
]]&lt;-4760),"Outlier","Normal")</f>
        <v>Normal</v>
      </c>
    </row>
    <row r="335" spans="1:30" x14ac:dyDescent="0.2">
      <c r="A335" s="20">
        <v>55</v>
      </c>
      <c r="B335" s="15" t="s">
        <v>42</v>
      </c>
      <c r="C335" s="12" t="s">
        <v>1889</v>
      </c>
      <c r="D335" s="20">
        <v>4</v>
      </c>
      <c r="E335" s="20">
        <v>2</v>
      </c>
      <c r="F335" s="15" t="s">
        <v>290</v>
      </c>
      <c r="G335" s="15" t="s">
        <v>47</v>
      </c>
      <c r="J335" s="15" t="s">
        <v>291</v>
      </c>
      <c r="K335" s="20">
        <v>12</v>
      </c>
      <c r="L335" s="20">
        <v>5</v>
      </c>
      <c r="M335" s="20">
        <v>3</v>
      </c>
      <c r="N335" s="21"/>
      <c r="O335" s="21"/>
      <c r="P335" s="21"/>
      <c r="Q335" s="21"/>
      <c r="R335" s="21"/>
      <c r="S335" s="21"/>
      <c r="T335" s="20">
        <v>18</v>
      </c>
      <c r="U335" s="20">
        <v>70</v>
      </c>
      <c r="V335" s="20">
        <v>90</v>
      </c>
      <c r="W335" s="20">
        <v>12000</v>
      </c>
      <c r="X335" s="15" t="s">
        <v>252</v>
      </c>
      <c r="Y335" s="20">
        <v>8</v>
      </c>
      <c r="Z335" s="15" t="s">
        <v>296</v>
      </c>
      <c r="AA335" s="15" t="s">
        <v>362</v>
      </c>
      <c r="AB335" s="15" t="s">
        <v>307</v>
      </c>
      <c r="AC335" s="20" t="s">
        <v>257</v>
      </c>
      <c r="AD335" s="9" t="str">
        <f>IF(OR(Form_Responses34[[#This Row],[Total_monthly_fuel_expense 
]]&gt;10040,Form_Responses34[[#This Row],[Total_monthly_fuel_expense 
]]&lt;-4760),"Outlier","Normal")</f>
        <v>Outlier</v>
      </c>
    </row>
    <row r="336" spans="1:30" x14ac:dyDescent="0.2">
      <c r="A336" s="20">
        <v>29</v>
      </c>
      <c r="B336" s="15" t="s">
        <v>42</v>
      </c>
      <c r="C336" s="12" t="s">
        <v>1888</v>
      </c>
      <c r="D336" s="20">
        <v>4</v>
      </c>
      <c r="E336" s="20">
        <v>1</v>
      </c>
      <c r="F336" s="15" t="s">
        <v>46</v>
      </c>
      <c r="G336" s="15" t="s">
        <v>47</v>
      </c>
      <c r="K336" s="20">
        <v>4</v>
      </c>
      <c r="L336" s="20">
        <v>16</v>
      </c>
      <c r="M336" s="20">
        <v>9</v>
      </c>
      <c r="N336" s="21"/>
      <c r="O336" s="21"/>
      <c r="P336" s="21"/>
      <c r="Q336" s="21"/>
      <c r="R336" s="21"/>
      <c r="S336" s="21"/>
      <c r="T336" s="21"/>
      <c r="U336" s="21"/>
      <c r="V336" s="21"/>
      <c r="W336" s="20">
        <v>1000</v>
      </c>
      <c r="X336" s="15" t="s">
        <v>360</v>
      </c>
      <c r="Y336" s="20">
        <v>8</v>
      </c>
      <c r="Z336" s="15" t="s">
        <v>255</v>
      </c>
      <c r="AA336" s="15" t="s">
        <v>277</v>
      </c>
      <c r="AB336" s="15" t="s">
        <v>256</v>
      </c>
      <c r="AC336" s="20" t="s">
        <v>152</v>
      </c>
      <c r="AD336" s="9" t="str">
        <f>IF(OR(Form_Responses34[[#This Row],[Total_monthly_fuel_expense 
]]&gt;10040,Form_Responses34[[#This Row],[Total_monthly_fuel_expense 
]]&lt;-4760),"Outlier","Normal")</f>
        <v>Normal</v>
      </c>
    </row>
    <row r="337" spans="1:30" x14ac:dyDescent="0.2">
      <c r="A337" s="20">
        <v>44</v>
      </c>
      <c r="B337" s="15" t="s">
        <v>73</v>
      </c>
      <c r="C337" s="12" t="s">
        <v>1890</v>
      </c>
      <c r="D337" s="20">
        <v>4</v>
      </c>
      <c r="E337" s="20">
        <v>1</v>
      </c>
      <c r="F337" s="15" t="s">
        <v>431</v>
      </c>
      <c r="I337" s="15" t="s">
        <v>47</v>
      </c>
      <c r="K337" s="21"/>
      <c r="L337" s="21"/>
      <c r="M337" s="21"/>
      <c r="N337" s="21"/>
      <c r="O337" s="21"/>
      <c r="P337" s="21"/>
      <c r="Q337" s="20">
        <v>8</v>
      </c>
      <c r="R337" s="20">
        <v>26</v>
      </c>
      <c r="S337" s="20">
        <v>24</v>
      </c>
      <c r="T337" s="21"/>
      <c r="U337" s="21"/>
      <c r="V337" s="21"/>
      <c r="W337" s="20">
        <v>3000</v>
      </c>
      <c r="X337" s="15" t="s">
        <v>159</v>
      </c>
      <c r="Y337" s="20">
        <v>13</v>
      </c>
      <c r="Z337" s="15" t="s">
        <v>255</v>
      </c>
      <c r="AA337" s="15" t="s">
        <v>85</v>
      </c>
      <c r="AB337" s="15" t="s">
        <v>325</v>
      </c>
      <c r="AC337" s="20" t="s">
        <v>257</v>
      </c>
      <c r="AD337" s="9" t="str">
        <f>IF(OR(Form_Responses34[[#This Row],[Total_monthly_fuel_expense 
]]&gt;10040,Form_Responses34[[#This Row],[Total_monthly_fuel_expense 
]]&lt;-4760),"Outlier","Normal")</f>
        <v>Normal</v>
      </c>
    </row>
    <row r="338" spans="1:30" x14ac:dyDescent="0.2">
      <c r="A338" s="20">
        <v>21</v>
      </c>
      <c r="B338" s="15" t="s">
        <v>42</v>
      </c>
      <c r="C338" s="12" t="s">
        <v>182</v>
      </c>
      <c r="D338" s="20">
        <v>5</v>
      </c>
      <c r="E338" s="20">
        <v>1</v>
      </c>
      <c r="F338" s="15" t="s">
        <v>46</v>
      </c>
      <c r="G338" s="15" t="s">
        <v>47</v>
      </c>
      <c r="K338" s="20">
        <v>1</v>
      </c>
      <c r="L338" s="20">
        <v>12</v>
      </c>
      <c r="M338" s="20">
        <v>8</v>
      </c>
      <c r="N338" s="21"/>
      <c r="O338" s="21"/>
      <c r="P338" s="21"/>
      <c r="Q338" s="21"/>
      <c r="R338" s="21"/>
      <c r="S338" s="21"/>
      <c r="T338" s="21"/>
      <c r="U338" s="21"/>
      <c r="V338" s="21"/>
      <c r="W338" s="20">
        <v>850</v>
      </c>
      <c r="X338" s="15" t="s">
        <v>323</v>
      </c>
      <c r="Y338" s="20">
        <v>6</v>
      </c>
      <c r="Z338" s="15" t="s">
        <v>285</v>
      </c>
      <c r="AA338" s="15" t="s">
        <v>85</v>
      </c>
      <c r="AB338" s="15" t="s">
        <v>256</v>
      </c>
      <c r="AC338" s="20" t="s">
        <v>257</v>
      </c>
      <c r="AD338" s="9" t="str">
        <f>IF(OR(Form_Responses34[[#This Row],[Total_monthly_fuel_expense 
]]&gt;10040,Form_Responses34[[#This Row],[Total_monthly_fuel_expense 
]]&lt;-4760),"Outlier","Normal")</f>
        <v>Normal</v>
      </c>
    </row>
    <row r="339" spans="1:30" x14ac:dyDescent="0.2">
      <c r="A339" s="20">
        <v>49</v>
      </c>
      <c r="B339" s="15" t="s">
        <v>73</v>
      </c>
      <c r="C339" s="12" t="s">
        <v>1890</v>
      </c>
      <c r="D339" s="20">
        <v>5</v>
      </c>
      <c r="E339" s="20">
        <v>2</v>
      </c>
      <c r="F339" s="15" t="s">
        <v>290</v>
      </c>
      <c r="G339" s="15" t="s">
        <v>47</v>
      </c>
      <c r="J339" s="15" t="s">
        <v>291</v>
      </c>
      <c r="K339" s="20">
        <v>10</v>
      </c>
      <c r="L339" s="20">
        <v>6</v>
      </c>
      <c r="M339" s="20">
        <v>4</v>
      </c>
      <c r="N339" s="21"/>
      <c r="O339" s="21"/>
      <c r="P339" s="21"/>
      <c r="Q339" s="21"/>
      <c r="R339" s="21"/>
      <c r="S339" s="21"/>
      <c r="T339" s="20">
        <v>14</v>
      </c>
      <c r="U339" s="20">
        <v>54</v>
      </c>
      <c r="V339" s="20">
        <v>88</v>
      </c>
      <c r="W339" s="20">
        <v>11800</v>
      </c>
      <c r="X339" s="15" t="s">
        <v>252</v>
      </c>
      <c r="Y339" s="20">
        <v>7</v>
      </c>
      <c r="Z339" s="15" t="s">
        <v>296</v>
      </c>
      <c r="AA339" s="15" t="s">
        <v>85</v>
      </c>
      <c r="AB339" s="15" t="s">
        <v>256</v>
      </c>
      <c r="AC339" s="20" t="s">
        <v>257</v>
      </c>
      <c r="AD339" s="9" t="str">
        <f>IF(OR(Form_Responses34[[#This Row],[Total_monthly_fuel_expense 
]]&gt;10040,Form_Responses34[[#This Row],[Total_monthly_fuel_expense 
]]&lt;-4760),"Outlier","Normal")</f>
        <v>Outlier</v>
      </c>
    </row>
    <row r="340" spans="1:30" x14ac:dyDescent="0.2">
      <c r="A340" s="20">
        <v>32</v>
      </c>
      <c r="B340" s="15" t="s">
        <v>73</v>
      </c>
      <c r="C340" s="12" t="s">
        <v>1889</v>
      </c>
      <c r="D340" s="20">
        <v>5</v>
      </c>
      <c r="E340" s="20">
        <v>1</v>
      </c>
      <c r="F340" s="15" t="s">
        <v>46</v>
      </c>
      <c r="G340" s="15" t="s">
        <v>47</v>
      </c>
      <c r="K340" s="20">
        <v>3</v>
      </c>
      <c r="L340" s="20">
        <v>31</v>
      </c>
      <c r="M340" s="20">
        <v>28</v>
      </c>
      <c r="N340" s="21"/>
      <c r="O340" s="21"/>
      <c r="P340" s="21"/>
      <c r="Q340" s="21"/>
      <c r="R340" s="21"/>
      <c r="S340" s="21"/>
      <c r="T340" s="21"/>
      <c r="U340" s="21"/>
      <c r="V340" s="21"/>
      <c r="W340" s="20">
        <v>3000</v>
      </c>
      <c r="X340" s="15" t="s">
        <v>276</v>
      </c>
      <c r="Y340" s="20">
        <v>15</v>
      </c>
      <c r="Z340" s="15" t="s">
        <v>255</v>
      </c>
      <c r="AA340" s="15" t="s">
        <v>85</v>
      </c>
      <c r="AB340" s="15" t="s">
        <v>256</v>
      </c>
      <c r="AC340" s="20" t="s">
        <v>68</v>
      </c>
      <c r="AD340" s="9" t="str">
        <f>IF(OR(Form_Responses34[[#This Row],[Total_monthly_fuel_expense 
]]&gt;10040,Form_Responses34[[#This Row],[Total_monthly_fuel_expense 
]]&lt;-4760),"Outlier","Normal")</f>
        <v>Normal</v>
      </c>
    </row>
    <row r="341" spans="1:30" x14ac:dyDescent="0.2">
      <c r="A341" s="20">
        <v>35</v>
      </c>
      <c r="B341" s="15" t="s">
        <v>42</v>
      </c>
      <c r="C341" s="12" t="s">
        <v>182</v>
      </c>
      <c r="D341" s="20">
        <v>5</v>
      </c>
      <c r="E341" s="20">
        <v>1</v>
      </c>
      <c r="F341" s="15" t="s">
        <v>100</v>
      </c>
      <c r="H341" s="15" t="s">
        <v>47</v>
      </c>
      <c r="K341" s="21"/>
      <c r="L341" s="21"/>
      <c r="M341" s="21"/>
      <c r="N341" s="20">
        <v>6</v>
      </c>
      <c r="O341" s="20">
        <v>5</v>
      </c>
      <c r="P341" s="20">
        <v>3</v>
      </c>
      <c r="Q341" s="21"/>
      <c r="R341" s="21"/>
      <c r="S341" s="21"/>
      <c r="T341" s="21"/>
      <c r="U341" s="21"/>
      <c r="V341" s="21"/>
      <c r="W341" s="20">
        <v>390</v>
      </c>
      <c r="X341" s="15" t="s">
        <v>276</v>
      </c>
      <c r="Y341" s="20">
        <v>2</v>
      </c>
      <c r="Z341" s="15" t="s">
        <v>344</v>
      </c>
      <c r="AA341" s="15" t="s">
        <v>85</v>
      </c>
      <c r="AB341" s="15" t="s">
        <v>335</v>
      </c>
      <c r="AC341" s="20" t="s">
        <v>152</v>
      </c>
      <c r="AD341" s="9" t="str">
        <f>IF(OR(Form_Responses34[[#This Row],[Total_monthly_fuel_expense 
]]&gt;10040,Form_Responses34[[#This Row],[Total_monthly_fuel_expense 
]]&lt;-4760),"Outlier","Normal")</f>
        <v>Normal</v>
      </c>
    </row>
    <row r="342" spans="1:30" x14ac:dyDescent="0.2">
      <c r="A342" s="20">
        <v>37</v>
      </c>
      <c r="B342" s="15" t="s">
        <v>73</v>
      </c>
      <c r="C342" s="12" t="s">
        <v>1889</v>
      </c>
      <c r="D342" s="20">
        <v>4</v>
      </c>
      <c r="E342" s="20">
        <v>2</v>
      </c>
      <c r="F342" s="15" t="s">
        <v>246</v>
      </c>
      <c r="G342" s="15" t="s">
        <v>47</v>
      </c>
      <c r="I342" s="15" t="s">
        <v>47</v>
      </c>
      <c r="K342" s="20">
        <v>7</v>
      </c>
      <c r="L342" s="20">
        <v>9</v>
      </c>
      <c r="M342" s="20">
        <v>6</v>
      </c>
      <c r="N342" s="21"/>
      <c r="O342" s="21"/>
      <c r="P342" s="21"/>
      <c r="Q342" s="20">
        <v>6</v>
      </c>
      <c r="R342" s="20">
        <v>25</v>
      </c>
      <c r="S342" s="20">
        <v>23</v>
      </c>
      <c r="T342" s="21"/>
      <c r="U342" s="21"/>
      <c r="V342" s="21"/>
      <c r="W342" s="20">
        <v>4000</v>
      </c>
      <c r="X342" s="15" t="s">
        <v>252</v>
      </c>
      <c r="Y342" s="20">
        <v>13</v>
      </c>
      <c r="Z342" s="15" t="s">
        <v>255</v>
      </c>
      <c r="AA342" s="15" t="s">
        <v>85</v>
      </c>
      <c r="AB342" s="15" t="s">
        <v>256</v>
      </c>
      <c r="AC342" s="20" t="s">
        <v>68</v>
      </c>
      <c r="AD342" s="9" t="str">
        <f>IF(OR(Form_Responses34[[#This Row],[Total_monthly_fuel_expense 
]]&gt;10040,Form_Responses34[[#This Row],[Total_monthly_fuel_expense 
]]&lt;-4760),"Outlier","Normal")</f>
        <v>Normal</v>
      </c>
    </row>
    <row r="343" spans="1:30" x14ac:dyDescent="0.2">
      <c r="A343" s="20">
        <v>39</v>
      </c>
      <c r="B343" s="15" t="s">
        <v>73</v>
      </c>
      <c r="C343" s="12" t="s">
        <v>1889</v>
      </c>
      <c r="D343" s="20">
        <v>5</v>
      </c>
      <c r="E343" s="20">
        <v>1</v>
      </c>
      <c r="F343" s="15" t="s">
        <v>46</v>
      </c>
      <c r="G343" s="15" t="s">
        <v>47</v>
      </c>
      <c r="K343" s="20">
        <v>9</v>
      </c>
      <c r="L343" s="20">
        <v>8</v>
      </c>
      <c r="M343" s="20">
        <v>5</v>
      </c>
      <c r="N343" s="21"/>
      <c r="O343" s="21"/>
      <c r="P343" s="21"/>
      <c r="Q343" s="21"/>
      <c r="R343" s="21"/>
      <c r="S343" s="21"/>
      <c r="T343" s="21"/>
      <c r="U343" s="21"/>
      <c r="V343" s="21"/>
      <c r="W343" s="20">
        <v>650</v>
      </c>
      <c r="X343" s="15" t="s">
        <v>252</v>
      </c>
      <c r="Y343" s="20">
        <v>4</v>
      </c>
      <c r="Z343" s="15" t="s">
        <v>296</v>
      </c>
      <c r="AA343" s="15" t="s">
        <v>85</v>
      </c>
      <c r="AB343" s="15" t="s">
        <v>256</v>
      </c>
      <c r="AC343" s="20" t="s">
        <v>257</v>
      </c>
      <c r="AD343" s="9" t="str">
        <f>IF(OR(Form_Responses34[[#This Row],[Total_monthly_fuel_expense 
]]&gt;10040,Form_Responses34[[#This Row],[Total_monthly_fuel_expense 
]]&lt;-4760),"Outlier","Normal")</f>
        <v>Normal</v>
      </c>
    </row>
    <row r="344" spans="1:30" x14ac:dyDescent="0.2">
      <c r="A344" s="20">
        <v>27</v>
      </c>
      <c r="B344" s="15" t="s">
        <v>42</v>
      </c>
      <c r="C344" s="12" t="s">
        <v>1889</v>
      </c>
      <c r="D344" s="20">
        <v>4</v>
      </c>
      <c r="E344" s="20">
        <v>1</v>
      </c>
      <c r="F344" s="15" t="s">
        <v>100</v>
      </c>
      <c r="H344" s="15" t="s">
        <v>47</v>
      </c>
      <c r="K344" s="21"/>
      <c r="L344" s="21"/>
      <c r="M344" s="21"/>
      <c r="N344" s="20">
        <v>2</v>
      </c>
      <c r="O344" s="20">
        <v>8</v>
      </c>
      <c r="P344" s="20">
        <v>10</v>
      </c>
      <c r="Q344" s="21"/>
      <c r="R344" s="21"/>
      <c r="S344" s="21"/>
      <c r="T344" s="21"/>
      <c r="U344" s="21"/>
      <c r="V344" s="21"/>
      <c r="W344" s="20">
        <v>780</v>
      </c>
      <c r="X344" s="15" t="s">
        <v>276</v>
      </c>
      <c r="Y344" s="20">
        <v>4</v>
      </c>
      <c r="Z344" s="15" t="s">
        <v>255</v>
      </c>
      <c r="AA344" s="15" t="s">
        <v>85</v>
      </c>
      <c r="AB344" s="15" t="s">
        <v>256</v>
      </c>
      <c r="AC344" s="20" t="s">
        <v>68</v>
      </c>
      <c r="AD344" s="9" t="str">
        <f>IF(OR(Form_Responses34[[#This Row],[Total_monthly_fuel_expense 
]]&gt;10040,Form_Responses34[[#This Row],[Total_monthly_fuel_expense 
]]&lt;-4760),"Outlier","Normal")</f>
        <v>Normal</v>
      </c>
    </row>
    <row r="345" spans="1:30" x14ac:dyDescent="0.2">
      <c r="A345" s="20">
        <v>60</v>
      </c>
      <c r="B345" s="15" t="s">
        <v>73</v>
      </c>
      <c r="C345" s="12" t="s">
        <v>1890</v>
      </c>
      <c r="D345" s="20">
        <v>4</v>
      </c>
      <c r="E345" s="20">
        <v>1</v>
      </c>
      <c r="F345" s="15" t="s">
        <v>988</v>
      </c>
      <c r="J345" s="15" t="s">
        <v>47</v>
      </c>
      <c r="K345" s="21"/>
      <c r="L345" s="21"/>
      <c r="M345" s="21"/>
      <c r="N345" s="21"/>
      <c r="O345" s="21"/>
      <c r="P345" s="21"/>
      <c r="Q345" s="21"/>
      <c r="R345" s="21"/>
      <c r="S345" s="21"/>
      <c r="T345" s="20">
        <v>22</v>
      </c>
      <c r="U345" s="20">
        <v>48</v>
      </c>
      <c r="V345" s="20">
        <v>85</v>
      </c>
      <c r="W345" s="20">
        <v>8300</v>
      </c>
      <c r="X345" s="15" t="s">
        <v>252</v>
      </c>
      <c r="Y345" s="20">
        <v>6</v>
      </c>
      <c r="Z345" s="15" t="s">
        <v>296</v>
      </c>
      <c r="AA345" s="15" t="s">
        <v>85</v>
      </c>
      <c r="AB345" s="15" t="s">
        <v>256</v>
      </c>
      <c r="AC345" s="20" t="s">
        <v>68</v>
      </c>
      <c r="AD345" s="9" t="str">
        <f>IF(OR(Form_Responses34[[#This Row],[Total_monthly_fuel_expense 
]]&gt;10040,Form_Responses34[[#This Row],[Total_monthly_fuel_expense 
]]&lt;-4760),"Outlier","Normal")</f>
        <v>Normal</v>
      </c>
    </row>
    <row r="346" spans="1:30" x14ac:dyDescent="0.2">
      <c r="A346" s="20">
        <v>31</v>
      </c>
      <c r="B346" s="15" t="s">
        <v>73</v>
      </c>
      <c r="C346" s="12" t="s">
        <v>1889</v>
      </c>
      <c r="D346" s="20">
        <v>4</v>
      </c>
      <c r="E346" s="20">
        <v>2</v>
      </c>
      <c r="F346" s="15" t="s">
        <v>246</v>
      </c>
      <c r="G346" s="15" t="s">
        <v>47</v>
      </c>
      <c r="I346" s="15" t="s">
        <v>47</v>
      </c>
      <c r="K346" s="20">
        <v>6</v>
      </c>
      <c r="L346" s="20">
        <v>8</v>
      </c>
      <c r="M346" s="20">
        <v>5</v>
      </c>
      <c r="N346" s="21"/>
      <c r="O346" s="21"/>
      <c r="P346" s="21"/>
      <c r="Q346" s="20">
        <v>5</v>
      </c>
      <c r="R346" s="20">
        <v>26</v>
      </c>
      <c r="S346" s="20">
        <v>24</v>
      </c>
      <c r="T346" s="21"/>
      <c r="U346" s="21"/>
      <c r="V346" s="21"/>
      <c r="W346" s="20">
        <v>4000</v>
      </c>
      <c r="X346" s="15" t="s">
        <v>159</v>
      </c>
      <c r="Y346" s="20">
        <v>13</v>
      </c>
      <c r="Z346" s="15" t="s">
        <v>255</v>
      </c>
      <c r="AA346" s="15" t="s">
        <v>85</v>
      </c>
      <c r="AB346" s="15" t="s">
        <v>256</v>
      </c>
      <c r="AC346" s="20" t="s">
        <v>68</v>
      </c>
      <c r="AD346" s="9" t="str">
        <f>IF(OR(Form_Responses34[[#This Row],[Total_monthly_fuel_expense 
]]&gt;10040,Form_Responses34[[#This Row],[Total_monthly_fuel_expense 
]]&lt;-4760),"Outlier","Normal")</f>
        <v>Normal</v>
      </c>
    </row>
    <row r="347" spans="1:30" x14ac:dyDescent="0.2">
      <c r="A347" s="20">
        <v>40</v>
      </c>
      <c r="B347" s="15" t="s">
        <v>42</v>
      </c>
      <c r="C347" s="12" t="s">
        <v>1888</v>
      </c>
      <c r="D347" s="20">
        <v>5</v>
      </c>
      <c r="E347" s="20">
        <v>1</v>
      </c>
      <c r="F347" s="15" t="s">
        <v>100</v>
      </c>
      <c r="H347" s="15" t="s">
        <v>47</v>
      </c>
      <c r="K347" s="21"/>
      <c r="L347" s="21"/>
      <c r="M347" s="21"/>
      <c r="N347" s="20">
        <v>6</v>
      </c>
      <c r="O347" s="20">
        <v>5</v>
      </c>
      <c r="P347" s="20">
        <v>4</v>
      </c>
      <c r="Q347" s="21"/>
      <c r="R347" s="21"/>
      <c r="S347" s="21"/>
      <c r="T347" s="21"/>
      <c r="U347" s="21"/>
      <c r="V347" s="21"/>
      <c r="W347" s="20">
        <v>520</v>
      </c>
      <c r="X347" s="15" t="s">
        <v>323</v>
      </c>
      <c r="Y347" s="20">
        <v>4</v>
      </c>
      <c r="Z347" s="15" t="s">
        <v>255</v>
      </c>
      <c r="AA347" s="15" t="s">
        <v>85</v>
      </c>
      <c r="AB347" s="15" t="s">
        <v>325</v>
      </c>
      <c r="AC347" s="20" t="s">
        <v>257</v>
      </c>
      <c r="AD347" s="9" t="str">
        <f>IF(OR(Form_Responses34[[#This Row],[Total_monthly_fuel_expense 
]]&gt;10040,Form_Responses34[[#This Row],[Total_monthly_fuel_expense 
]]&lt;-4760),"Outlier","Normal")</f>
        <v>Normal</v>
      </c>
    </row>
    <row r="348" spans="1:30" x14ac:dyDescent="0.2">
      <c r="A348" s="20">
        <v>28</v>
      </c>
      <c r="B348" s="15" t="s">
        <v>73</v>
      </c>
      <c r="C348" s="12" t="s">
        <v>1889</v>
      </c>
      <c r="D348" s="20">
        <v>5</v>
      </c>
      <c r="E348" s="20">
        <v>1</v>
      </c>
      <c r="F348" s="15" t="s">
        <v>46</v>
      </c>
      <c r="G348" s="15" t="s">
        <v>47</v>
      </c>
      <c r="K348" s="20">
        <v>2</v>
      </c>
      <c r="L348" s="20">
        <v>21</v>
      </c>
      <c r="M348" s="20">
        <v>12</v>
      </c>
      <c r="N348" s="21"/>
      <c r="O348" s="21"/>
      <c r="P348" s="21"/>
      <c r="Q348" s="21"/>
      <c r="R348" s="21"/>
      <c r="S348" s="21"/>
      <c r="T348" s="21"/>
      <c r="U348" s="21"/>
      <c r="V348" s="21"/>
      <c r="W348" s="20">
        <v>1500</v>
      </c>
      <c r="X348" s="15" t="s">
        <v>252</v>
      </c>
      <c r="Y348" s="20">
        <v>11</v>
      </c>
      <c r="Z348" s="15" t="s">
        <v>255</v>
      </c>
      <c r="AA348" s="15" t="s">
        <v>85</v>
      </c>
      <c r="AB348" s="15" t="s">
        <v>335</v>
      </c>
      <c r="AC348" s="20" t="s">
        <v>257</v>
      </c>
      <c r="AD348" s="9" t="str">
        <f>IF(OR(Form_Responses34[[#This Row],[Total_monthly_fuel_expense 
]]&gt;10040,Form_Responses34[[#This Row],[Total_monthly_fuel_expense 
]]&lt;-4760),"Outlier","Normal")</f>
        <v>Normal</v>
      </c>
    </row>
    <row r="349" spans="1:30" x14ac:dyDescent="0.2">
      <c r="A349" s="20">
        <v>50</v>
      </c>
      <c r="B349" s="15" t="s">
        <v>73</v>
      </c>
      <c r="C349" s="12" t="s">
        <v>1890</v>
      </c>
      <c r="D349" s="20">
        <v>4</v>
      </c>
      <c r="E349" s="20">
        <v>2</v>
      </c>
      <c r="F349" s="15" t="s">
        <v>246</v>
      </c>
      <c r="G349" s="15" t="s">
        <v>47</v>
      </c>
      <c r="I349" s="15" t="s">
        <v>47</v>
      </c>
      <c r="K349" s="20">
        <v>10</v>
      </c>
      <c r="L349" s="20">
        <v>6</v>
      </c>
      <c r="M349" s="20">
        <v>4</v>
      </c>
      <c r="N349" s="21"/>
      <c r="O349" s="21"/>
      <c r="P349" s="21"/>
      <c r="Q349" s="20">
        <v>7</v>
      </c>
      <c r="R349" s="20">
        <v>20</v>
      </c>
      <c r="S349" s="20">
        <v>19</v>
      </c>
      <c r="T349" s="21"/>
      <c r="U349" s="21"/>
      <c r="V349" s="21"/>
      <c r="W349" s="20">
        <v>330</v>
      </c>
      <c r="X349" s="15" t="s">
        <v>857</v>
      </c>
      <c r="Y349" s="20">
        <v>10</v>
      </c>
      <c r="Z349" s="15" t="s">
        <v>255</v>
      </c>
      <c r="AA349" s="15" t="s">
        <v>362</v>
      </c>
      <c r="AB349" s="15" t="s">
        <v>307</v>
      </c>
      <c r="AC349" s="20" t="s">
        <v>68</v>
      </c>
      <c r="AD349" s="9" t="str">
        <f>IF(OR(Form_Responses34[[#This Row],[Total_monthly_fuel_expense 
]]&gt;10040,Form_Responses34[[#This Row],[Total_monthly_fuel_expense 
]]&lt;-4760),"Outlier","Normal")</f>
        <v>Normal</v>
      </c>
    </row>
    <row r="350" spans="1:30" x14ac:dyDescent="0.2">
      <c r="A350" s="20">
        <v>21</v>
      </c>
      <c r="B350" s="15" t="s">
        <v>42</v>
      </c>
      <c r="C350" s="12" t="s">
        <v>182</v>
      </c>
      <c r="D350" s="20">
        <v>5</v>
      </c>
      <c r="E350" s="20">
        <v>1</v>
      </c>
      <c r="F350" s="15" t="s">
        <v>100</v>
      </c>
      <c r="H350" s="15" t="s">
        <v>47</v>
      </c>
      <c r="K350" s="21"/>
      <c r="L350" s="21"/>
      <c r="M350" s="21"/>
      <c r="N350" s="20">
        <v>1</v>
      </c>
      <c r="O350" s="20">
        <v>7</v>
      </c>
      <c r="P350" s="20">
        <v>4</v>
      </c>
      <c r="Q350" s="21"/>
      <c r="R350" s="21"/>
      <c r="S350" s="21"/>
      <c r="T350" s="21"/>
      <c r="U350" s="21"/>
      <c r="V350" s="21"/>
      <c r="W350" s="20">
        <v>520</v>
      </c>
      <c r="X350" s="15" t="s">
        <v>323</v>
      </c>
      <c r="Y350" s="20">
        <v>4</v>
      </c>
      <c r="Z350" s="15" t="s">
        <v>285</v>
      </c>
      <c r="AA350" s="15" t="s">
        <v>277</v>
      </c>
      <c r="AB350" s="15" t="s">
        <v>256</v>
      </c>
      <c r="AC350" s="20" t="s">
        <v>68</v>
      </c>
      <c r="AD350" s="9" t="str">
        <f>IF(OR(Form_Responses34[[#This Row],[Total_monthly_fuel_expense 
]]&gt;10040,Form_Responses34[[#This Row],[Total_monthly_fuel_expense 
]]&lt;-4760),"Outlier","Normal")</f>
        <v>Normal</v>
      </c>
    </row>
    <row r="351" spans="1:30" x14ac:dyDescent="0.2">
      <c r="A351" s="20">
        <v>62</v>
      </c>
      <c r="B351" s="15" t="s">
        <v>73</v>
      </c>
      <c r="C351" s="12" t="s">
        <v>1889</v>
      </c>
      <c r="D351" s="20">
        <v>5</v>
      </c>
      <c r="E351" s="20">
        <v>1</v>
      </c>
      <c r="F351" s="15" t="s">
        <v>988</v>
      </c>
      <c r="J351" s="15" t="s">
        <v>291</v>
      </c>
      <c r="K351" s="21"/>
      <c r="L351" s="21"/>
      <c r="M351" s="21"/>
      <c r="N351" s="21"/>
      <c r="O351" s="21"/>
      <c r="P351" s="21"/>
      <c r="Q351" s="21"/>
      <c r="R351" s="21"/>
      <c r="S351" s="21"/>
      <c r="T351" s="20">
        <v>24</v>
      </c>
      <c r="U351" s="20">
        <v>55</v>
      </c>
      <c r="V351" s="20">
        <v>90</v>
      </c>
      <c r="W351" s="20">
        <v>9000</v>
      </c>
      <c r="X351" s="15" t="s">
        <v>252</v>
      </c>
      <c r="Y351" s="20">
        <v>5</v>
      </c>
      <c r="Z351" s="15" t="s">
        <v>296</v>
      </c>
      <c r="AA351" s="15" t="s">
        <v>85</v>
      </c>
      <c r="AB351" s="15" t="s">
        <v>256</v>
      </c>
      <c r="AC351" s="20" t="s">
        <v>257</v>
      </c>
      <c r="AD351" s="9" t="str">
        <f>IF(OR(Form_Responses34[[#This Row],[Total_monthly_fuel_expense 
]]&gt;10040,Form_Responses34[[#This Row],[Total_monthly_fuel_expense 
]]&lt;-4760),"Outlier","Normal")</f>
        <v>Normal</v>
      </c>
    </row>
    <row r="352" spans="1:30" x14ac:dyDescent="0.2">
      <c r="A352" s="20">
        <v>34</v>
      </c>
      <c r="B352" s="15" t="s">
        <v>73</v>
      </c>
      <c r="C352" s="12" t="s">
        <v>1889</v>
      </c>
      <c r="D352" s="20">
        <v>3</v>
      </c>
      <c r="E352" s="20">
        <v>2</v>
      </c>
      <c r="F352" s="15" t="s">
        <v>1102</v>
      </c>
      <c r="G352" s="15" t="s">
        <v>47</v>
      </c>
      <c r="K352" s="20">
        <v>5</v>
      </c>
      <c r="L352" s="20">
        <v>8</v>
      </c>
      <c r="M352" s="20">
        <v>5</v>
      </c>
      <c r="N352" s="21"/>
      <c r="O352" s="21"/>
      <c r="P352" s="21"/>
      <c r="Q352" s="21"/>
      <c r="R352" s="21"/>
      <c r="S352" s="21"/>
      <c r="T352" s="21"/>
      <c r="U352" s="21"/>
      <c r="V352" s="21"/>
      <c r="W352" s="20">
        <v>2200</v>
      </c>
      <c r="X352" s="15" t="s">
        <v>323</v>
      </c>
      <c r="Y352" s="20">
        <v>11</v>
      </c>
      <c r="Z352" s="15" t="s">
        <v>255</v>
      </c>
      <c r="AA352" s="15" t="s">
        <v>85</v>
      </c>
      <c r="AB352" s="15" t="s">
        <v>256</v>
      </c>
      <c r="AC352" s="20" t="s">
        <v>257</v>
      </c>
      <c r="AD352" s="9" t="str">
        <f>IF(OR(Form_Responses34[[#This Row],[Total_monthly_fuel_expense 
]]&gt;10040,Form_Responses34[[#This Row],[Total_monthly_fuel_expense 
]]&lt;-4760),"Outlier","Normal")</f>
        <v>Normal</v>
      </c>
    </row>
    <row r="353" spans="1:30" x14ac:dyDescent="0.2">
      <c r="A353" s="20">
        <v>25</v>
      </c>
      <c r="B353" s="15" t="s">
        <v>73</v>
      </c>
      <c r="C353" s="12" t="s">
        <v>1888</v>
      </c>
      <c r="D353" s="20">
        <v>5</v>
      </c>
      <c r="E353" s="20">
        <v>1</v>
      </c>
      <c r="F353" s="15" t="s">
        <v>46</v>
      </c>
      <c r="G353" s="15" t="s">
        <v>47</v>
      </c>
      <c r="K353" s="20">
        <v>4</v>
      </c>
      <c r="L353" s="20">
        <v>18</v>
      </c>
      <c r="M353" s="20">
        <v>10</v>
      </c>
      <c r="N353" s="21"/>
      <c r="O353" s="21"/>
      <c r="P353" s="21"/>
      <c r="Q353" s="21"/>
      <c r="R353" s="21"/>
      <c r="S353" s="21"/>
      <c r="T353" s="21"/>
      <c r="U353" s="21"/>
      <c r="V353" s="21"/>
      <c r="W353" s="20">
        <v>1300</v>
      </c>
      <c r="X353" s="15" t="s">
        <v>252</v>
      </c>
      <c r="Y353" s="20">
        <v>9</v>
      </c>
      <c r="Z353" s="15" t="s">
        <v>255</v>
      </c>
      <c r="AA353" s="15" t="s">
        <v>85</v>
      </c>
      <c r="AB353" s="15" t="s">
        <v>256</v>
      </c>
      <c r="AC353" s="20" t="s">
        <v>257</v>
      </c>
      <c r="AD353" s="9" t="str">
        <f>IF(OR(Form_Responses34[[#This Row],[Total_monthly_fuel_expense 
]]&gt;10040,Form_Responses34[[#This Row],[Total_monthly_fuel_expense 
]]&lt;-4760),"Outlier","Normal")</f>
        <v>Normal</v>
      </c>
    </row>
    <row r="354" spans="1:30" x14ac:dyDescent="0.2">
      <c r="A354" s="20">
        <v>24</v>
      </c>
      <c r="B354" s="15" t="s">
        <v>42</v>
      </c>
      <c r="C354" s="12" t="s">
        <v>182</v>
      </c>
      <c r="D354" s="20">
        <v>5</v>
      </c>
      <c r="E354" s="20">
        <v>1</v>
      </c>
      <c r="F354" s="15" t="s">
        <v>100</v>
      </c>
      <c r="H354" s="15" t="s">
        <v>47</v>
      </c>
      <c r="K354" s="21"/>
      <c r="L354" s="21"/>
      <c r="M354" s="21"/>
      <c r="N354" s="20">
        <v>2</v>
      </c>
      <c r="O354" s="20">
        <v>7</v>
      </c>
      <c r="P354" s="20">
        <v>4</v>
      </c>
      <c r="Q354" s="21"/>
      <c r="R354" s="21"/>
      <c r="S354" s="21"/>
      <c r="T354" s="21"/>
      <c r="U354" s="21"/>
      <c r="V354" s="21"/>
      <c r="W354" s="20">
        <v>520</v>
      </c>
      <c r="X354" s="15" t="s">
        <v>323</v>
      </c>
      <c r="Y354" s="20">
        <v>3</v>
      </c>
      <c r="Z354" s="15" t="s">
        <v>285</v>
      </c>
      <c r="AA354" s="15" t="s">
        <v>85</v>
      </c>
      <c r="AB354" s="15" t="s">
        <v>256</v>
      </c>
      <c r="AC354" s="20" t="s">
        <v>68</v>
      </c>
      <c r="AD354" s="9" t="str">
        <f>IF(OR(Form_Responses34[[#This Row],[Total_monthly_fuel_expense 
]]&gt;10040,Form_Responses34[[#This Row],[Total_monthly_fuel_expense 
]]&lt;-4760),"Outlier","Normal")</f>
        <v>Normal</v>
      </c>
    </row>
    <row r="355" spans="1:30" x14ac:dyDescent="0.2">
      <c r="A355" s="20">
        <v>42</v>
      </c>
      <c r="B355" s="15" t="s">
        <v>73</v>
      </c>
      <c r="C355" s="12" t="s">
        <v>1890</v>
      </c>
      <c r="D355" s="20">
        <v>4</v>
      </c>
      <c r="E355" s="20">
        <v>2</v>
      </c>
      <c r="F355" s="15" t="s">
        <v>246</v>
      </c>
      <c r="G355" s="15" t="s">
        <v>47</v>
      </c>
      <c r="I355" s="15" t="s">
        <v>47</v>
      </c>
      <c r="K355" s="20">
        <v>8</v>
      </c>
      <c r="L355" s="20">
        <v>6</v>
      </c>
      <c r="M355" s="20">
        <v>4</v>
      </c>
      <c r="N355" s="21"/>
      <c r="O355" s="21"/>
      <c r="P355" s="21"/>
      <c r="Q355" s="20">
        <v>6</v>
      </c>
      <c r="R355" s="20">
        <v>21</v>
      </c>
      <c r="S355" s="20">
        <v>20</v>
      </c>
      <c r="T355" s="21"/>
      <c r="U355" s="21"/>
      <c r="V355" s="21"/>
      <c r="W355" s="20">
        <v>3200</v>
      </c>
      <c r="X355" s="15" t="s">
        <v>159</v>
      </c>
      <c r="Y355" s="20">
        <v>10</v>
      </c>
      <c r="Z355" s="15" t="s">
        <v>559</v>
      </c>
      <c r="AA355" s="15" t="s">
        <v>85</v>
      </c>
      <c r="AB355" s="15" t="s">
        <v>335</v>
      </c>
      <c r="AC355" s="20" t="s">
        <v>257</v>
      </c>
      <c r="AD355" s="9" t="str">
        <f>IF(OR(Form_Responses34[[#This Row],[Total_monthly_fuel_expense 
]]&gt;10040,Form_Responses34[[#This Row],[Total_monthly_fuel_expense 
]]&lt;-4760),"Outlier","Normal")</f>
        <v>Normal</v>
      </c>
    </row>
    <row r="356" spans="1:30" x14ac:dyDescent="0.2">
      <c r="A356" s="20">
        <v>22</v>
      </c>
      <c r="B356" s="15" t="s">
        <v>42</v>
      </c>
      <c r="C356" s="12" t="s">
        <v>182</v>
      </c>
      <c r="D356" s="20">
        <v>4</v>
      </c>
      <c r="E356" s="20">
        <v>1</v>
      </c>
      <c r="F356" s="15" t="s">
        <v>46</v>
      </c>
      <c r="G356" s="15" t="s">
        <v>47</v>
      </c>
      <c r="K356" s="20">
        <v>1</v>
      </c>
      <c r="L356" s="20">
        <v>12</v>
      </c>
      <c r="M356" s="20">
        <v>7</v>
      </c>
      <c r="N356" s="21"/>
      <c r="O356" s="21"/>
      <c r="P356" s="21"/>
      <c r="Q356" s="21"/>
      <c r="R356" s="21"/>
      <c r="S356" s="21"/>
      <c r="T356" s="21"/>
      <c r="U356" s="21"/>
      <c r="V356" s="21"/>
      <c r="W356" s="20">
        <v>910</v>
      </c>
      <c r="X356" s="15" t="s">
        <v>159</v>
      </c>
      <c r="Y356" s="20">
        <v>4</v>
      </c>
      <c r="Z356" s="15" t="s">
        <v>285</v>
      </c>
      <c r="AA356" s="15" t="s">
        <v>96</v>
      </c>
      <c r="AB356" s="15" t="s">
        <v>335</v>
      </c>
      <c r="AC356" s="20" t="s">
        <v>257</v>
      </c>
      <c r="AD356" s="9" t="str">
        <f>IF(OR(Form_Responses34[[#This Row],[Total_monthly_fuel_expense 
]]&gt;10040,Form_Responses34[[#This Row],[Total_monthly_fuel_expense 
]]&lt;-4760),"Outlier","Normal")</f>
        <v>Normal</v>
      </c>
    </row>
    <row r="357" spans="1:30" x14ac:dyDescent="0.2">
      <c r="A357" s="20">
        <v>57</v>
      </c>
      <c r="B357" s="15" t="s">
        <v>73</v>
      </c>
      <c r="C357" s="12" t="s">
        <v>1890</v>
      </c>
      <c r="D357" s="20">
        <v>5</v>
      </c>
      <c r="E357" s="20">
        <v>2</v>
      </c>
      <c r="F357" s="15" t="s">
        <v>290</v>
      </c>
      <c r="G357" s="15" t="s">
        <v>47</v>
      </c>
      <c r="J357" s="15" t="s">
        <v>291</v>
      </c>
      <c r="K357" s="20">
        <v>13</v>
      </c>
      <c r="L357" s="20">
        <v>5</v>
      </c>
      <c r="M357" s="20">
        <v>3</v>
      </c>
      <c r="N357" s="21"/>
      <c r="O357" s="21"/>
      <c r="P357" s="21"/>
      <c r="Q357" s="21"/>
      <c r="R357" s="21"/>
      <c r="S357" s="21"/>
      <c r="T357" s="20">
        <v>17</v>
      </c>
      <c r="U357" s="20">
        <v>52</v>
      </c>
      <c r="V357" s="20">
        <v>88</v>
      </c>
      <c r="W357" s="20">
        <v>10600</v>
      </c>
      <c r="X357" s="15" t="s">
        <v>252</v>
      </c>
      <c r="Y357" s="20">
        <v>6</v>
      </c>
      <c r="Z357" s="15" t="s">
        <v>296</v>
      </c>
      <c r="AA357" s="15" t="s">
        <v>362</v>
      </c>
      <c r="AB357" s="15" t="s">
        <v>307</v>
      </c>
      <c r="AC357" s="20" t="s">
        <v>68</v>
      </c>
      <c r="AD357" s="9" t="str">
        <f>IF(OR(Form_Responses34[[#This Row],[Total_monthly_fuel_expense 
]]&gt;10040,Form_Responses34[[#This Row],[Total_monthly_fuel_expense 
]]&lt;-4760),"Outlier","Normal")</f>
        <v>Outlier</v>
      </c>
    </row>
    <row r="358" spans="1:30" x14ac:dyDescent="0.2">
      <c r="A358" s="20">
        <v>27</v>
      </c>
      <c r="B358" s="15" t="s">
        <v>73</v>
      </c>
      <c r="C358" s="12" t="s">
        <v>1889</v>
      </c>
      <c r="D358" s="20">
        <v>4</v>
      </c>
      <c r="E358" s="20">
        <v>1</v>
      </c>
      <c r="F358" s="15" t="s">
        <v>431</v>
      </c>
      <c r="I358" s="15" t="s">
        <v>47</v>
      </c>
      <c r="K358" s="21"/>
      <c r="L358" s="21"/>
      <c r="M358" s="21"/>
      <c r="N358" s="21"/>
      <c r="O358" s="21"/>
      <c r="P358" s="21"/>
      <c r="Q358" s="20">
        <v>4</v>
      </c>
      <c r="R358" s="20">
        <v>27</v>
      </c>
      <c r="S358" s="20">
        <v>25</v>
      </c>
      <c r="T358" s="21"/>
      <c r="U358" s="21"/>
      <c r="V358" s="21"/>
      <c r="W358" s="20">
        <v>3900</v>
      </c>
      <c r="X358" s="15" t="s">
        <v>276</v>
      </c>
      <c r="Y358" s="20">
        <v>13</v>
      </c>
      <c r="Z358" s="15" t="s">
        <v>255</v>
      </c>
      <c r="AA358" s="15" t="s">
        <v>362</v>
      </c>
      <c r="AB358" s="15" t="s">
        <v>307</v>
      </c>
      <c r="AC358" s="20" t="s">
        <v>68</v>
      </c>
      <c r="AD358" s="9" t="str">
        <f>IF(OR(Form_Responses34[[#This Row],[Total_monthly_fuel_expense 
]]&gt;10040,Form_Responses34[[#This Row],[Total_monthly_fuel_expense 
]]&lt;-4760),"Outlier","Normal")</f>
        <v>Normal</v>
      </c>
    </row>
    <row r="359" spans="1:30" x14ac:dyDescent="0.2">
      <c r="A359" s="20">
        <v>28</v>
      </c>
      <c r="B359" s="15" t="s">
        <v>42</v>
      </c>
      <c r="C359" s="12" t="s">
        <v>1888</v>
      </c>
      <c r="D359" s="20">
        <v>5</v>
      </c>
      <c r="E359" s="20">
        <v>1</v>
      </c>
      <c r="F359" s="15" t="s">
        <v>100</v>
      </c>
      <c r="H359" s="15" t="s">
        <v>47</v>
      </c>
      <c r="K359" s="21"/>
      <c r="L359" s="21"/>
      <c r="M359" s="21"/>
      <c r="N359" s="20">
        <v>5</v>
      </c>
      <c r="O359" s="20">
        <v>4</v>
      </c>
      <c r="P359" s="20">
        <v>3</v>
      </c>
      <c r="Q359" s="21"/>
      <c r="R359" s="21"/>
      <c r="S359" s="21"/>
      <c r="T359" s="21"/>
      <c r="U359" s="21"/>
      <c r="V359" s="21"/>
      <c r="W359" s="20">
        <v>350</v>
      </c>
      <c r="X359" s="15" t="s">
        <v>323</v>
      </c>
      <c r="Y359" s="20">
        <v>2</v>
      </c>
      <c r="Z359" s="15" t="s">
        <v>344</v>
      </c>
      <c r="AA359" s="15" t="s">
        <v>362</v>
      </c>
      <c r="AB359" s="15" t="s">
        <v>307</v>
      </c>
      <c r="AC359" s="20" t="s">
        <v>68</v>
      </c>
      <c r="AD359" s="9" t="str">
        <f>IF(OR(Form_Responses34[[#This Row],[Total_monthly_fuel_expense 
]]&gt;10040,Form_Responses34[[#This Row],[Total_monthly_fuel_expense 
]]&lt;-4760),"Outlier","Normal")</f>
        <v>Normal</v>
      </c>
    </row>
    <row r="360" spans="1:30" x14ac:dyDescent="0.2">
      <c r="A360" s="20">
        <v>40</v>
      </c>
      <c r="B360" s="15" t="s">
        <v>73</v>
      </c>
      <c r="C360" s="12" t="s">
        <v>1889</v>
      </c>
      <c r="D360" s="20">
        <v>4</v>
      </c>
      <c r="E360" s="20">
        <v>2</v>
      </c>
      <c r="F360" s="15" t="s">
        <v>246</v>
      </c>
      <c r="G360" s="15" t="s">
        <v>47</v>
      </c>
      <c r="I360" s="15" t="s">
        <v>47</v>
      </c>
      <c r="K360" s="20">
        <v>7</v>
      </c>
      <c r="L360" s="20">
        <v>8</v>
      </c>
      <c r="M360" s="20">
        <v>5</v>
      </c>
      <c r="N360" s="21"/>
      <c r="O360" s="21"/>
      <c r="P360" s="21"/>
      <c r="Q360" s="20">
        <v>5</v>
      </c>
      <c r="R360" s="20">
        <v>23</v>
      </c>
      <c r="S360" s="20">
        <v>21</v>
      </c>
      <c r="T360" s="21"/>
      <c r="U360" s="21"/>
      <c r="V360" s="21"/>
      <c r="W360" s="20">
        <v>3700</v>
      </c>
      <c r="X360" s="15" t="s">
        <v>252</v>
      </c>
      <c r="Y360" s="20">
        <v>11</v>
      </c>
      <c r="Z360" s="15" t="s">
        <v>559</v>
      </c>
      <c r="AA360" s="15" t="s">
        <v>85</v>
      </c>
      <c r="AB360" s="15" t="s">
        <v>335</v>
      </c>
      <c r="AC360" s="20" t="s">
        <v>257</v>
      </c>
      <c r="AD360" s="9" t="str">
        <f>IF(OR(Form_Responses34[[#This Row],[Total_monthly_fuel_expense 
]]&gt;10040,Form_Responses34[[#This Row],[Total_monthly_fuel_expense 
]]&lt;-4760),"Outlier","Normal")</f>
        <v>Normal</v>
      </c>
    </row>
    <row r="361" spans="1:30" x14ac:dyDescent="0.2">
      <c r="A361" s="20">
        <v>34</v>
      </c>
      <c r="B361" s="15" t="s">
        <v>42</v>
      </c>
      <c r="C361" s="12" t="s">
        <v>1889</v>
      </c>
      <c r="D361" s="20">
        <v>4</v>
      </c>
      <c r="E361" s="20">
        <v>1</v>
      </c>
      <c r="F361" s="15" t="s">
        <v>46</v>
      </c>
      <c r="G361" s="15" t="s">
        <v>47</v>
      </c>
      <c r="K361" s="20">
        <v>5</v>
      </c>
      <c r="L361" s="20">
        <v>17</v>
      </c>
      <c r="M361" s="20">
        <v>10</v>
      </c>
      <c r="N361" s="21"/>
      <c r="O361" s="21"/>
      <c r="P361" s="21"/>
      <c r="Q361" s="21"/>
      <c r="R361" s="21"/>
      <c r="S361" s="21"/>
      <c r="T361" s="21"/>
      <c r="U361" s="21"/>
      <c r="V361" s="21"/>
      <c r="W361" s="20">
        <v>1300</v>
      </c>
      <c r="X361" s="15" t="s">
        <v>252</v>
      </c>
      <c r="Y361" s="20">
        <v>8</v>
      </c>
      <c r="Z361" s="15" t="s">
        <v>255</v>
      </c>
      <c r="AA361" s="15" t="s">
        <v>85</v>
      </c>
      <c r="AB361" s="15" t="s">
        <v>256</v>
      </c>
      <c r="AC361" s="20" t="s">
        <v>257</v>
      </c>
      <c r="AD361" s="9" t="str">
        <f>IF(OR(Form_Responses34[[#This Row],[Total_monthly_fuel_expense 
]]&gt;10040,Form_Responses34[[#This Row],[Total_monthly_fuel_expense 
]]&lt;-4760),"Outlier","Normal")</f>
        <v>Normal</v>
      </c>
    </row>
    <row r="362" spans="1:30" x14ac:dyDescent="0.2">
      <c r="A362" s="20">
        <v>27</v>
      </c>
      <c r="B362" s="15" t="s">
        <v>73</v>
      </c>
      <c r="C362" s="12" t="s">
        <v>1889</v>
      </c>
      <c r="D362" s="20">
        <v>5</v>
      </c>
      <c r="E362" s="20">
        <v>1</v>
      </c>
      <c r="F362" s="15" t="s">
        <v>46</v>
      </c>
      <c r="G362" s="15" t="s">
        <v>47</v>
      </c>
      <c r="K362" s="20">
        <v>3</v>
      </c>
      <c r="L362" s="20">
        <v>16</v>
      </c>
      <c r="M362" s="20">
        <v>9</v>
      </c>
      <c r="N362" s="21"/>
      <c r="O362" s="21"/>
      <c r="P362" s="21"/>
      <c r="Q362" s="21"/>
      <c r="R362" s="21"/>
      <c r="S362" s="21"/>
      <c r="T362" s="21"/>
      <c r="U362" s="21"/>
      <c r="V362" s="21"/>
      <c r="W362" s="20">
        <v>1000</v>
      </c>
      <c r="X362" s="15" t="s">
        <v>360</v>
      </c>
      <c r="Y362" s="20">
        <v>8</v>
      </c>
      <c r="Z362" s="15" t="s">
        <v>255</v>
      </c>
      <c r="AA362" s="15" t="s">
        <v>85</v>
      </c>
      <c r="AB362" s="15" t="s">
        <v>256</v>
      </c>
      <c r="AC362" s="20" t="s">
        <v>68</v>
      </c>
      <c r="AD362" s="9" t="str">
        <f>IF(OR(Form_Responses34[[#This Row],[Total_monthly_fuel_expense 
]]&gt;10040,Form_Responses34[[#This Row],[Total_monthly_fuel_expense 
]]&lt;-4760),"Outlier","Normal")</f>
        <v>Normal</v>
      </c>
    </row>
    <row r="363" spans="1:30" x14ac:dyDescent="0.2">
      <c r="A363" s="20">
        <v>29</v>
      </c>
      <c r="B363" s="15" t="s">
        <v>42</v>
      </c>
      <c r="C363" s="12" t="s">
        <v>1889</v>
      </c>
      <c r="D363" s="20">
        <v>4</v>
      </c>
      <c r="E363" s="20">
        <v>1</v>
      </c>
      <c r="F363" s="15" t="s">
        <v>100</v>
      </c>
      <c r="H363" s="15" t="s">
        <v>47</v>
      </c>
      <c r="K363" s="21"/>
      <c r="L363" s="21"/>
      <c r="M363" s="21"/>
      <c r="N363" s="20">
        <v>3</v>
      </c>
      <c r="O363" s="20">
        <v>9</v>
      </c>
      <c r="P363" s="20">
        <v>6</v>
      </c>
      <c r="Q363" s="21"/>
      <c r="R363" s="21"/>
      <c r="S363" s="21"/>
      <c r="T363" s="21"/>
      <c r="U363" s="21"/>
      <c r="V363" s="21"/>
      <c r="W363" s="20">
        <v>780</v>
      </c>
      <c r="X363" s="15" t="s">
        <v>159</v>
      </c>
      <c r="Y363" s="20">
        <v>4</v>
      </c>
      <c r="Z363" s="15" t="s">
        <v>255</v>
      </c>
      <c r="AA363" s="15" t="s">
        <v>96</v>
      </c>
      <c r="AB363" s="15" t="s">
        <v>256</v>
      </c>
      <c r="AC363" s="20" t="s">
        <v>257</v>
      </c>
      <c r="AD363" s="9" t="str">
        <f>IF(OR(Form_Responses34[[#This Row],[Total_monthly_fuel_expense 
]]&gt;10040,Form_Responses34[[#This Row],[Total_monthly_fuel_expense 
]]&lt;-4760),"Outlier","Normal")</f>
        <v>Normal</v>
      </c>
    </row>
    <row r="364" spans="1:30" x14ac:dyDescent="0.2">
      <c r="A364" s="20">
        <v>36</v>
      </c>
      <c r="B364" s="15" t="s">
        <v>73</v>
      </c>
      <c r="C364" s="12" t="s">
        <v>1889</v>
      </c>
      <c r="D364" s="20">
        <v>4</v>
      </c>
      <c r="E364" s="20">
        <v>2</v>
      </c>
      <c r="F364" s="15" t="s">
        <v>246</v>
      </c>
      <c r="G364" s="15" t="s">
        <v>47</v>
      </c>
      <c r="I364" s="15" t="s">
        <v>47</v>
      </c>
      <c r="K364" s="20">
        <v>6</v>
      </c>
      <c r="L364" s="20">
        <v>7</v>
      </c>
      <c r="M364" s="20">
        <v>5</v>
      </c>
      <c r="N364" s="21"/>
      <c r="O364" s="21"/>
      <c r="P364" s="21"/>
      <c r="Q364" s="20">
        <v>5</v>
      </c>
      <c r="R364" s="20">
        <v>23</v>
      </c>
      <c r="S364" s="20">
        <v>21</v>
      </c>
      <c r="T364" s="21"/>
      <c r="U364" s="21"/>
      <c r="V364" s="21"/>
      <c r="W364" s="20">
        <v>3800</v>
      </c>
      <c r="X364" s="15" t="s">
        <v>159</v>
      </c>
      <c r="Y364" s="20">
        <v>11</v>
      </c>
      <c r="Z364" s="15" t="s">
        <v>559</v>
      </c>
      <c r="AA364" s="15" t="s">
        <v>362</v>
      </c>
      <c r="AB364" s="15" t="s">
        <v>307</v>
      </c>
      <c r="AC364" s="20" t="s">
        <v>68</v>
      </c>
      <c r="AD364" s="9" t="str">
        <f>IF(OR(Form_Responses34[[#This Row],[Total_monthly_fuel_expense 
]]&gt;10040,Form_Responses34[[#This Row],[Total_monthly_fuel_expense 
]]&lt;-4760),"Outlier","Normal")</f>
        <v>Normal</v>
      </c>
    </row>
    <row r="365" spans="1:30" x14ac:dyDescent="0.2">
      <c r="A365" s="20">
        <v>28</v>
      </c>
      <c r="B365" s="15" t="s">
        <v>73</v>
      </c>
      <c r="C365" s="12" t="s">
        <v>1889</v>
      </c>
      <c r="D365" s="20">
        <v>4</v>
      </c>
      <c r="E365" s="20">
        <v>1</v>
      </c>
      <c r="F365" s="15" t="s">
        <v>46</v>
      </c>
      <c r="G365" s="15" t="s">
        <v>47</v>
      </c>
      <c r="K365" s="20">
        <v>11</v>
      </c>
      <c r="L365" s="20">
        <v>6</v>
      </c>
      <c r="M365" s="20">
        <v>4</v>
      </c>
      <c r="N365" s="21"/>
      <c r="O365" s="21"/>
      <c r="P365" s="21"/>
      <c r="Q365" s="21"/>
      <c r="R365" s="21"/>
      <c r="S365" s="21"/>
      <c r="T365" s="21"/>
      <c r="U365" s="21"/>
      <c r="V365" s="21"/>
      <c r="W365" s="20">
        <v>520</v>
      </c>
      <c r="X365" s="15" t="s">
        <v>252</v>
      </c>
      <c r="Y365" s="20">
        <v>3</v>
      </c>
      <c r="Z365" s="15" t="s">
        <v>296</v>
      </c>
      <c r="AA365" s="15" t="s">
        <v>85</v>
      </c>
      <c r="AB365" s="15" t="s">
        <v>256</v>
      </c>
      <c r="AC365" s="20" t="s">
        <v>68</v>
      </c>
      <c r="AD365" s="9" t="str">
        <f>IF(OR(Form_Responses34[[#This Row],[Total_monthly_fuel_expense 
]]&gt;10040,Form_Responses34[[#This Row],[Total_monthly_fuel_expense 
]]&lt;-4760),"Outlier","Normal")</f>
        <v>Normal</v>
      </c>
    </row>
    <row r="366" spans="1:30" x14ac:dyDescent="0.2">
      <c r="A366" s="20">
        <v>21</v>
      </c>
      <c r="B366" s="15" t="s">
        <v>42</v>
      </c>
      <c r="C366" s="12" t="s">
        <v>182</v>
      </c>
      <c r="D366" s="20">
        <v>4</v>
      </c>
      <c r="E366" s="20">
        <v>1</v>
      </c>
      <c r="F366" s="15" t="s">
        <v>46</v>
      </c>
      <c r="G366" s="15" t="s">
        <v>47</v>
      </c>
      <c r="K366" s="20">
        <v>2</v>
      </c>
      <c r="L366" s="20">
        <v>13</v>
      </c>
      <c r="M366" s="20">
        <v>8</v>
      </c>
      <c r="N366" s="21"/>
      <c r="O366" s="21"/>
      <c r="P366" s="21"/>
      <c r="Q366" s="21"/>
      <c r="R366" s="21"/>
      <c r="S366" s="21"/>
      <c r="T366" s="21"/>
      <c r="U366" s="21"/>
      <c r="V366" s="21"/>
      <c r="W366" s="20">
        <v>900</v>
      </c>
      <c r="X366" s="15" t="s">
        <v>159</v>
      </c>
      <c r="Y366" s="20">
        <v>4</v>
      </c>
      <c r="Z366" s="15" t="s">
        <v>285</v>
      </c>
      <c r="AA366" s="15" t="s">
        <v>85</v>
      </c>
      <c r="AB366" s="15" t="s">
        <v>256</v>
      </c>
      <c r="AC366" s="20" t="s">
        <v>257</v>
      </c>
      <c r="AD366" s="9" t="str">
        <f>IF(OR(Form_Responses34[[#This Row],[Total_monthly_fuel_expense 
]]&gt;10040,Form_Responses34[[#This Row],[Total_monthly_fuel_expense 
]]&lt;-4760),"Outlier","Normal")</f>
        <v>Normal</v>
      </c>
    </row>
    <row r="367" spans="1:30" x14ac:dyDescent="0.2">
      <c r="A367" s="20">
        <v>54</v>
      </c>
      <c r="B367" s="15" t="s">
        <v>73</v>
      </c>
      <c r="C367" s="12" t="s">
        <v>1889</v>
      </c>
      <c r="D367" s="20">
        <v>6</v>
      </c>
      <c r="E367" s="20">
        <v>2</v>
      </c>
      <c r="F367" s="15" t="s">
        <v>290</v>
      </c>
      <c r="G367" s="15" t="s">
        <v>47</v>
      </c>
      <c r="J367" s="15" t="s">
        <v>291</v>
      </c>
      <c r="K367" s="20">
        <v>14</v>
      </c>
      <c r="L367" s="20">
        <v>5</v>
      </c>
      <c r="M367" s="20">
        <v>3</v>
      </c>
      <c r="N367" s="21"/>
      <c r="O367" s="21"/>
      <c r="P367" s="21"/>
      <c r="Q367" s="21"/>
      <c r="R367" s="21"/>
      <c r="S367" s="21"/>
      <c r="T367" s="20">
        <v>19</v>
      </c>
      <c r="U367" s="20">
        <v>50</v>
      </c>
      <c r="V367" s="20">
        <v>80</v>
      </c>
      <c r="W367" s="20">
        <v>9900</v>
      </c>
      <c r="X367" s="15" t="s">
        <v>252</v>
      </c>
      <c r="Y367" s="20">
        <v>6</v>
      </c>
      <c r="Z367" s="15" t="s">
        <v>296</v>
      </c>
      <c r="AA367" s="15" t="s">
        <v>85</v>
      </c>
      <c r="AB367" s="15" t="s">
        <v>256</v>
      </c>
      <c r="AC367" s="20" t="s">
        <v>68</v>
      </c>
      <c r="AD367" s="9" t="str">
        <f>IF(OR(Form_Responses34[[#This Row],[Total_monthly_fuel_expense 
]]&gt;10040,Form_Responses34[[#This Row],[Total_monthly_fuel_expense 
]]&lt;-4760),"Outlier","Normal")</f>
        <v>Normal</v>
      </c>
    </row>
    <row r="368" spans="1:30" x14ac:dyDescent="0.2">
      <c r="A368" s="20">
        <v>33</v>
      </c>
      <c r="B368" s="15" t="s">
        <v>73</v>
      </c>
      <c r="C368" s="12" t="s">
        <v>1889</v>
      </c>
      <c r="D368" s="20">
        <v>3</v>
      </c>
      <c r="E368" s="20">
        <v>1</v>
      </c>
      <c r="F368" s="15" t="s">
        <v>46</v>
      </c>
      <c r="G368" s="15" t="s">
        <v>47</v>
      </c>
      <c r="K368" s="20">
        <v>4</v>
      </c>
      <c r="L368" s="20">
        <v>20</v>
      </c>
      <c r="M368" s="20">
        <v>11</v>
      </c>
      <c r="N368" s="21"/>
      <c r="O368" s="21"/>
      <c r="P368" s="21"/>
      <c r="Q368" s="21"/>
      <c r="R368" s="21"/>
      <c r="S368" s="21"/>
      <c r="T368" s="21"/>
      <c r="U368" s="21"/>
      <c r="V368" s="21"/>
      <c r="W368" s="20">
        <v>11430</v>
      </c>
      <c r="X368" s="15" t="s">
        <v>252</v>
      </c>
      <c r="Y368" s="20">
        <v>10</v>
      </c>
      <c r="Z368" s="15" t="s">
        <v>255</v>
      </c>
      <c r="AA368" s="15" t="s">
        <v>85</v>
      </c>
      <c r="AB368" s="15" t="s">
        <v>256</v>
      </c>
      <c r="AC368" s="20" t="s">
        <v>152</v>
      </c>
      <c r="AD368" s="9" t="str">
        <f>IF(OR(Form_Responses34[[#This Row],[Total_monthly_fuel_expense 
]]&gt;10040,Form_Responses34[[#This Row],[Total_monthly_fuel_expense 
]]&lt;-4760),"Outlier","Normal")</f>
        <v>Outlier</v>
      </c>
    </row>
    <row r="369" spans="1:30" x14ac:dyDescent="0.2">
      <c r="A369" s="20">
        <v>41</v>
      </c>
      <c r="B369" s="15" t="s">
        <v>42</v>
      </c>
      <c r="C369" s="12" t="s">
        <v>1889</v>
      </c>
      <c r="D369" s="20">
        <v>5</v>
      </c>
      <c r="E369" s="20">
        <v>1</v>
      </c>
      <c r="F369" s="15" t="s">
        <v>100</v>
      </c>
      <c r="H369" s="15" t="s">
        <v>47</v>
      </c>
      <c r="K369" s="21"/>
      <c r="L369" s="21"/>
      <c r="M369" s="21"/>
      <c r="N369" s="20">
        <v>7</v>
      </c>
      <c r="O369" s="20">
        <v>4</v>
      </c>
      <c r="P369" s="20">
        <v>3</v>
      </c>
      <c r="Q369" s="21"/>
      <c r="R369" s="21"/>
      <c r="S369" s="21"/>
      <c r="T369" s="21"/>
      <c r="U369" s="21"/>
      <c r="V369" s="21"/>
      <c r="W369" s="20">
        <v>390</v>
      </c>
      <c r="X369" s="15" t="s">
        <v>323</v>
      </c>
      <c r="Y369" s="20">
        <v>3</v>
      </c>
      <c r="Z369" s="15" t="s">
        <v>344</v>
      </c>
      <c r="AA369" s="15" t="s">
        <v>277</v>
      </c>
      <c r="AB369" s="15" t="s">
        <v>335</v>
      </c>
      <c r="AC369" s="20" t="s">
        <v>257</v>
      </c>
      <c r="AD369" s="9" t="str">
        <f>IF(OR(Form_Responses34[[#This Row],[Total_monthly_fuel_expense 
]]&gt;10040,Form_Responses34[[#This Row],[Total_monthly_fuel_expense 
]]&lt;-4760),"Outlier","Normal")</f>
        <v>Normal</v>
      </c>
    </row>
    <row r="370" spans="1:30" x14ac:dyDescent="0.2">
      <c r="A370" s="20">
        <v>39</v>
      </c>
      <c r="B370" s="15" t="s">
        <v>73</v>
      </c>
      <c r="C370" s="12" t="s">
        <v>1889</v>
      </c>
      <c r="D370" s="20">
        <v>5</v>
      </c>
      <c r="E370" s="20">
        <v>2</v>
      </c>
      <c r="F370" s="15" t="s">
        <v>246</v>
      </c>
      <c r="G370" s="15" t="s">
        <v>47</v>
      </c>
      <c r="I370" s="15" t="s">
        <v>47</v>
      </c>
      <c r="K370" s="20">
        <v>6</v>
      </c>
      <c r="L370" s="20">
        <v>4</v>
      </c>
      <c r="M370" s="20">
        <v>5</v>
      </c>
      <c r="N370" s="21"/>
      <c r="O370" s="21"/>
      <c r="P370" s="21"/>
      <c r="Q370" s="20">
        <v>4</v>
      </c>
      <c r="R370" s="20">
        <v>24</v>
      </c>
      <c r="S370" s="20">
        <v>23</v>
      </c>
      <c r="T370" s="21"/>
      <c r="U370" s="21"/>
      <c r="V370" s="21"/>
      <c r="W370" s="20">
        <v>4000</v>
      </c>
      <c r="X370" s="15" t="s">
        <v>276</v>
      </c>
      <c r="Y370" s="20">
        <v>12</v>
      </c>
      <c r="Z370" s="15" t="s">
        <v>255</v>
      </c>
      <c r="AA370" s="15" t="s">
        <v>85</v>
      </c>
      <c r="AB370" s="15" t="s">
        <v>256</v>
      </c>
      <c r="AC370" s="20" t="s">
        <v>257</v>
      </c>
      <c r="AD370" s="9" t="str">
        <f>IF(OR(Form_Responses34[[#This Row],[Total_monthly_fuel_expense 
]]&gt;10040,Form_Responses34[[#This Row],[Total_monthly_fuel_expense 
]]&lt;-4760),"Outlier","Normal")</f>
        <v>Normal</v>
      </c>
    </row>
    <row r="371" spans="1:30" x14ac:dyDescent="0.2">
      <c r="A371" s="20">
        <v>46</v>
      </c>
      <c r="B371" s="15" t="s">
        <v>73</v>
      </c>
      <c r="C371" s="12" t="s">
        <v>1890</v>
      </c>
      <c r="D371" s="20">
        <v>4</v>
      </c>
      <c r="E371" s="20">
        <v>1</v>
      </c>
      <c r="F371" s="15" t="s">
        <v>431</v>
      </c>
      <c r="I371" s="15" t="s">
        <v>47</v>
      </c>
      <c r="K371" s="21"/>
      <c r="L371" s="21"/>
      <c r="M371" s="21"/>
      <c r="N371" s="21"/>
      <c r="O371" s="21"/>
      <c r="P371" s="21"/>
      <c r="Q371" s="20">
        <v>9</v>
      </c>
      <c r="R371" s="20">
        <v>19</v>
      </c>
      <c r="S371" s="20">
        <v>18</v>
      </c>
      <c r="T371" s="21"/>
      <c r="U371" s="21"/>
      <c r="V371" s="21"/>
      <c r="W371" s="20">
        <v>2900</v>
      </c>
      <c r="X371" s="15" t="s">
        <v>360</v>
      </c>
      <c r="Y371" s="20">
        <v>9</v>
      </c>
      <c r="Z371" s="15" t="s">
        <v>559</v>
      </c>
      <c r="AA371" s="15" t="s">
        <v>362</v>
      </c>
      <c r="AB371" s="15" t="s">
        <v>307</v>
      </c>
      <c r="AC371" s="20" t="s">
        <v>257</v>
      </c>
      <c r="AD371" s="9" t="str">
        <f>IF(OR(Form_Responses34[[#This Row],[Total_monthly_fuel_expense 
]]&gt;10040,Form_Responses34[[#This Row],[Total_monthly_fuel_expense 
]]&lt;-4760),"Outlier","Normal")</f>
        <v>Normal</v>
      </c>
    </row>
    <row r="372" spans="1:30" x14ac:dyDescent="0.2">
      <c r="A372" s="20">
        <v>26</v>
      </c>
      <c r="B372" s="15" t="s">
        <v>42</v>
      </c>
      <c r="C372" s="12" t="s">
        <v>1889</v>
      </c>
      <c r="D372" s="20">
        <v>4</v>
      </c>
      <c r="E372" s="20">
        <v>1</v>
      </c>
      <c r="F372" s="15" t="s">
        <v>100</v>
      </c>
      <c r="H372" s="15" t="s">
        <v>47</v>
      </c>
      <c r="K372" s="21"/>
      <c r="L372" s="21"/>
      <c r="M372" s="21"/>
      <c r="N372" s="20">
        <v>3</v>
      </c>
      <c r="O372" s="20">
        <v>15</v>
      </c>
      <c r="P372" s="20">
        <v>9</v>
      </c>
      <c r="Q372" s="21"/>
      <c r="R372" s="21"/>
      <c r="S372" s="21"/>
      <c r="T372" s="21"/>
      <c r="U372" s="21"/>
      <c r="V372" s="21"/>
      <c r="W372" s="20">
        <v>1070</v>
      </c>
      <c r="X372" s="15" t="s">
        <v>252</v>
      </c>
      <c r="Y372" s="20">
        <v>7</v>
      </c>
      <c r="Z372" s="15" t="s">
        <v>255</v>
      </c>
      <c r="AA372" s="15" t="s">
        <v>96</v>
      </c>
      <c r="AB372" s="15" t="s">
        <v>335</v>
      </c>
      <c r="AC372" s="20" t="s">
        <v>68</v>
      </c>
      <c r="AD372" s="9" t="str">
        <f>IF(OR(Form_Responses34[[#This Row],[Total_monthly_fuel_expense 
]]&gt;10040,Form_Responses34[[#This Row],[Total_monthly_fuel_expense 
]]&lt;-4760),"Outlier","Normal")</f>
        <v>Normal</v>
      </c>
    </row>
    <row r="373" spans="1:30" x14ac:dyDescent="0.2">
      <c r="A373" s="20">
        <v>21</v>
      </c>
      <c r="B373" s="15" t="s">
        <v>42</v>
      </c>
      <c r="C373" s="12" t="s">
        <v>182</v>
      </c>
      <c r="D373" s="20">
        <v>4</v>
      </c>
      <c r="E373" s="20">
        <v>1</v>
      </c>
      <c r="F373" s="15" t="s">
        <v>46</v>
      </c>
      <c r="G373" s="15" t="s">
        <v>47</v>
      </c>
      <c r="K373" s="20">
        <v>6</v>
      </c>
      <c r="L373" s="20">
        <v>10</v>
      </c>
      <c r="M373" s="20">
        <v>12</v>
      </c>
      <c r="N373" s="21"/>
      <c r="O373" s="21"/>
      <c r="P373" s="21"/>
      <c r="Q373" s="21"/>
      <c r="R373" s="21"/>
      <c r="S373" s="21"/>
      <c r="T373" s="21"/>
      <c r="U373" s="21"/>
      <c r="V373" s="21"/>
      <c r="W373" s="20">
        <v>1300</v>
      </c>
      <c r="X373" s="15" t="s">
        <v>252</v>
      </c>
      <c r="Y373" s="20">
        <v>5</v>
      </c>
      <c r="Z373" s="15" t="s">
        <v>285</v>
      </c>
      <c r="AA373" s="15" t="s">
        <v>85</v>
      </c>
      <c r="AB373" s="15" t="s">
        <v>256</v>
      </c>
      <c r="AC373" s="20" t="s">
        <v>257</v>
      </c>
      <c r="AD373" s="9" t="str">
        <f>IF(OR(Form_Responses34[[#This Row],[Total_monthly_fuel_expense 
]]&gt;10040,Form_Responses34[[#This Row],[Total_monthly_fuel_expense 
]]&lt;-4760),"Outlier","Normal")</f>
        <v>Normal</v>
      </c>
    </row>
    <row r="374" spans="1:30" x14ac:dyDescent="0.2">
      <c r="A374" s="20">
        <v>25</v>
      </c>
      <c r="B374" s="15" t="s">
        <v>73</v>
      </c>
      <c r="C374" s="12" t="s">
        <v>1889</v>
      </c>
      <c r="D374" s="20">
        <v>4</v>
      </c>
      <c r="E374" s="20">
        <v>2</v>
      </c>
      <c r="F374" s="15" t="s">
        <v>46</v>
      </c>
      <c r="G374" s="15" t="s">
        <v>47</v>
      </c>
      <c r="K374" s="20">
        <v>4</v>
      </c>
      <c r="L374" s="20">
        <v>18</v>
      </c>
      <c r="M374" s="20">
        <v>22</v>
      </c>
      <c r="N374" s="21"/>
      <c r="O374" s="21"/>
      <c r="P374" s="21"/>
      <c r="Q374" s="21"/>
      <c r="R374" s="21"/>
      <c r="S374" s="21"/>
      <c r="T374" s="21"/>
      <c r="U374" s="21"/>
      <c r="V374" s="21"/>
      <c r="W374" s="20">
        <v>2400</v>
      </c>
      <c r="X374" s="15" t="s">
        <v>323</v>
      </c>
      <c r="Y374" s="20">
        <v>7</v>
      </c>
      <c r="Z374" s="15" t="s">
        <v>255</v>
      </c>
      <c r="AA374" s="15" t="s">
        <v>362</v>
      </c>
      <c r="AB374" s="15" t="s">
        <v>307</v>
      </c>
      <c r="AC374" s="20" t="s">
        <v>68</v>
      </c>
      <c r="AD374" s="9" t="str">
        <f>IF(OR(Form_Responses34[[#This Row],[Total_monthly_fuel_expense 
]]&gt;10040,Form_Responses34[[#This Row],[Total_monthly_fuel_expense 
]]&lt;-4760),"Outlier","Normal")</f>
        <v>Normal</v>
      </c>
    </row>
    <row r="375" spans="1:30" x14ac:dyDescent="0.2">
      <c r="A375" s="20">
        <v>35</v>
      </c>
      <c r="B375" s="15" t="s">
        <v>73</v>
      </c>
      <c r="C375" s="12" t="s">
        <v>1889</v>
      </c>
      <c r="D375" s="20">
        <v>5</v>
      </c>
      <c r="E375" s="20">
        <v>1</v>
      </c>
      <c r="F375" s="15" t="s">
        <v>46</v>
      </c>
      <c r="G375" s="15" t="s">
        <v>47</v>
      </c>
      <c r="K375" s="20">
        <v>4</v>
      </c>
      <c r="L375" s="20">
        <v>12</v>
      </c>
      <c r="M375" s="20">
        <v>15</v>
      </c>
      <c r="N375" s="21"/>
      <c r="O375" s="21"/>
      <c r="P375" s="21"/>
      <c r="Q375" s="21"/>
      <c r="R375" s="21"/>
      <c r="S375" s="21"/>
      <c r="T375" s="21"/>
      <c r="U375" s="21"/>
      <c r="V375" s="21"/>
      <c r="W375" s="20">
        <v>1700</v>
      </c>
      <c r="X375" s="15" t="s">
        <v>159</v>
      </c>
      <c r="Y375" s="20">
        <v>7</v>
      </c>
      <c r="Z375" s="15" t="s">
        <v>559</v>
      </c>
      <c r="AA375" s="15" t="s">
        <v>362</v>
      </c>
      <c r="AB375" s="15" t="s">
        <v>307</v>
      </c>
      <c r="AC375" s="20" t="s">
        <v>68</v>
      </c>
      <c r="AD375" s="9" t="str">
        <f>IF(OR(Form_Responses34[[#This Row],[Total_monthly_fuel_expense 
]]&gt;10040,Form_Responses34[[#This Row],[Total_monthly_fuel_expense 
]]&lt;-4760),"Outlier","Normal")</f>
        <v>Normal</v>
      </c>
    </row>
    <row r="376" spans="1:30" x14ac:dyDescent="0.2">
      <c r="A376" s="20">
        <v>25</v>
      </c>
      <c r="B376" s="15" t="s">
        <v>73</v>
      </c>
      <c r="C376" s="12" t="s">
        <v>1889</v>
      </c>
      <c r="D376" s="20">
        <v>4</v>
      </c>
      <c r="E376" s="20">
        <v>1</v>
      </c>
      <c r="F376" s="15" t="s">
        <v>431</v>
      </c>
      <c r="I376" s="15" t="s">
        <v>47</v>
      </c>
      <c r="K376" s="21"/>
      <c r="L376" s="21"/>
      <c r="M376" s="21"/>
      <c r="N376" s="21"/>
      <c r="O376" s="21"/>
      <c r="P376" s="21"/>
      <c r="Q376" s="20">
        <v>6</v>
      </c>
      <c r="R376" s="20">
        <v>25</v>
      </c>
      <c r="S376" s="20">
        <v>55</v>
      </c>
      <c r="T376" s="21"/>
      <c r="U376" s="21"/>
      <c r="V376" s="21"/>
      <c r="W376" s="20">
        <v>6500</v>
      </c>
      <c r="X376" s="15" t="s">
        <v>323</v>
      </c>
      <c r="Y376" s="20">
        <v>12</v>
      </c>
      <c r="Z376" s="15" t="s">
        <v>255</v>
      </c>
      <c r="AA376" s="15" t="s">
        <v>85</v>
      </c>
      <c r="AB376" s="15" t="s">
        <v>256</v>
      </c>
      <c r="AC376" s="20" t="s">
        <v>257</v>
      </c>
      <c r="AD376" s="9" t="str">
        <f>IF(OR(Form_Responses34[[#This Row],[Total_monthly_fuel_expense 
]]&gt;10040,Form_Responses34[[#This Row],[Total_monthly_fuel_expense 
]]&lt;-4760),"Outlier","Normal")</f>
        <v>Normal</v>
      </c>
    </row>
    <row r="377" spans="1:30" x14ac:dyDescent="0.2">
      <c r="A377" s="20">
        <v>32</v>
      </c>
      <c r="B377" s="15" t="s">
        <v>42</v>
      </c>
      <c r="C377" s="12" t="s">
        <v>182</v>
      </c>
      <c r="D377" s="20">
        <v>5</v>
      </c>
      <c r="E377" s="20">
        <v>1</v>
      </c>
      <c r="F377" s="15" t="s">
        <v>100</v>
      </c>
      <c r="H377" s="15" t="s">
        <v>47</v>
      </c>
      <c r="K377" s="21"/>
      <c r="L377" s="21"/>
      <c r="M377" s="21"/>
      <c r="N377" s="20">
        <v>5</v>
      </c>
      <c r="O377" s="20">
        <v>6</v>
      </c>
      <c r="P377" s="20">
        <v>8</v>
      </c>
      <c r="Q377" s="21"/>
      <c r="R377" s="21"/>
      <c r="S377" s="21"/>
      <c r="T377" s="21"/>
      <c r="U377" s="21"/>
      <c r="V377" s="21"/>
      <c r="W377" s="20">
        <v>900</v>
      </c>
      <c r="X377" s="15" t="s">
        <v>323</v>
      </c>
      <c r="Y377" s="20">
        <v>3</v>
      </c>
      <c r="Z377" s="15" t="s">
        <v>344</v>
      </c>
      <c r="AA377" s="15" t="s">
        <v>85</v>
      </c>
      <c r="AB377" s="15" t="s">
        <v>325</v>
      </c>
      <c r="AC377" s="20" t="s">
        <v>257</v>
      </c>
      <c r="AD377" s="9" t="str">
        <f>IF(OR(Form_Responses34[[#This Row],[Total_monthly_fuel_expense 
]]&gt;10040,Form_Responses34[[#This Row],[Total_monthly_fuel_expense 
]]&lt;-4760),"Outlier","Normal")</f>
        <v>Normal</v>
      </c>
    </row>
    <row r="378" spans="1:30" x14ac:dyDescent="0.2">
      <c r="A378" s="20">
        <v>41</v>
      </c>
      <c r="B378" s="15" t="s">
        <v>73</v>
      </c>
      <c r="C378" s="12" t="s">
        <v>1890</v>
      </c>
      <c r="D378" s="20">
        <v>5</v>
      </c>
      <c r="E378" s="20">
        <v>1</v>
      </c>
      <c r="F378" s="15" t="s">
        <v>46</v>
      </c>
      <c r="G378" s="15" t="s">
        <v>47</v>
      </c>
      <c r="K378" s="20">
        <v>8</v>
      </c>
      <c r="L378" s="20">
        <v>14</v>
      </c>
      <c r="M378" s="20">
        <v>18</v>
      </c>
      <c r="N378" s="21"/>
      <c r="O378" s="21"/>
      <c r="P378" s="21"/>
      <c r="Q378" s="21"/>
      <c r="R378" s="21"/>
      <c r="S378" s="21"/>
      <c r="T378" s="21"/>
      <c r="U378" s="21"/>
      <c r="V378" s="21"/>
      <c r="W378" s="20">
        <v>2000</v>
      </c>
      <c r="X378" s="15" t="s">
        <v>252</v>
      </c>
      <c r="Y378" s="20">
        <v>6</v>
      </c>
      <c r="Z378" s="15" t="s">
        <v>296</v>
      </c>
      <c r="AA378" s="15" t="s">
        <v>85</v>
      </c>
      <c r="AB378" s="15" t="s">
        <v>256</v>
      </c>
      <c r="AC378" s="20" t="s">
        <v>68</v>
      </c>
      <c r="AD378" s="9" t="str">
        <f>IF(OR(Form_Responses34[[#This Row],[Total_monthly_fuel_expense 
]]&gt;10040,Form_Responses34[[#This Row],[Total_monthly_fuel_expense 
]]&lt;-4760),"Outlier","Normal")</f>
        <v>Normal</v>
      </c>
    </row>
    <row r="379" spans="1:30" x14ac:dyDescent="0.2">
      <c r="A379" s="20">
        <v>15</v>
      </c>
      <c r="B379" s="15" t="s">
        <v>73</v>
      </c>
      <c r="C379" s="12" t="s">
        <v>1889</v>
      </c>
      <c r="D379" s="20">
        <v>4</v>
      </c>
      <c r="E379" s="20">
        <v>1</v>
      </c>
      <c r="F379" s="15" t="s">
        <v>46</v>
      </c>
      <c r="G379" s="15" t="s">
        <v>47</v>
      </c>
      <c r="K379" s="20">
        <v>3</v>
      </c>
      <c r="L379" s="20">
        <v>20</v>
      </c>
      <c r="M379" s="20">
        <v>24</v>
      </c>
      <c r="N379" s="21"/>
      <c r="O379" s="21"/>
      <c r="P379" s="21"/>
      <c r="Q379" s="21"/>
      <c r="R379" s="21"/>
      <c r="S379" s="21"/>
      <c r="T379" s="21"/>
      <c r="U379" s="21"/>
      <c r="V379" s="21"/>
      <c r="W379" s="20">
        <v>2600</v>
      </c>
      <c r="X379" s="15" t="s">
        <v>159</v>
      </c>
      <c r="Y379" s="20">
        <v>7</v>
      </c>
      <c r="Z379" s="15" t="s">
        <v>255</v>
      </c>
      <c r="AA379" s="15" t="s">
        <v>85</v>
      </c>
      <c r="AB379" s="15" t="s">
        <v>256</v>
      </c>
      <c r="AC379" s="20" t="s">
        <v>257</v>
      </c>
      <c r="AD379" s="9" t="str">
        <f>IF(OR(Form_Responses34[[#This Row],[Total_monthly_fuel_expense 
]]&gt;10040,Form_Responses34[[#This Row],[Total_monthly_fuel_expense 
]]&lt;-4760),"Outlier","Normal")</f>
        <v>Normal</v>
      </c>
    </row>
    <row r="380" spans="1:30" x14ac:dyDescent="0.2">
      <c r="A380" s="20">
        <v>55</v>
      </c>
      <c r="B380" s="15" t="s">
        <v>73</v>
      </c>
      <c r="C380" s="12" t="s">
        <v>1890</v>
      </c>
      <c r="D380" s="20">
        <v>6</v>
      </c>
      <c r="E380" s="20">
        <v>2</v>
      </c>
      <c r="F380" s="15" t="s">
        <v>46</v>
      </c>
      <c r="G380" s="15" t="s">
        <v>47</v>
      </c>
      <c r="K380" s="20">
        <v>6</v>
      </c>
      <c r="L380" s="20">
        <v>16</v>
      </c>
      <c r="M380" s="20">
        <v>20</v>
      </c>
      <c r="N380" s="21"/>
      <c r="O380" s="21"/>
      <c r="P380" s="21"/>
      <c r="Q380" s="21"/>
      <c r="R380" s="21"/>
      <c r="S380" s="21"/>
      <c r="T380" s="21"/>
      <c r="U380" s="21"/>
      <c r="V380" s="21"/>
      <c r="W380" s="20">
        <v>2200</v>
      </c>
      <c r="X380" s="15" t="s">
        <v>159</v>
      </c>
      <c r="Y380" s="20">
        <v>6</v>
      </c>
      <c r="Z380" s="15" t="s">
        <v>255</v>
      </c>
      <c r="AA380" s="15" t="s">
        <v>362</v>
      </c>
      <c r="AB380" s="15" t="s">
        <v>307</v>
      </c>
      <c r="AC380" s="20" t="s">
        <v>257</v>
      </c>
      <c r="AD380" s="9" t="str">
        <f>IF(OR(Form_Responses34[[#This Row],[Total_monthly_fuel_expense 
]]&gt;10040,Form_Responses34[[#This Row],[Total_monthly_fuel_expense 
]]&lt;-4760),"Outlier","Normal")</f>
        <v>Normal</v>
      </c>
    </row>
    <row r="381" spans="1:30" x14ac:dyDescent="0.2">
      <c r="A381" s="20">
        <v>34</v>
      </c>
      <c r="B381" s="15" t="s">
        <v>73</v>
      </c>
      <c r="C381" s="12" t="s">
        <v>1889</v>
      </c>
      <c r="D381" s="20">
        <v>5</v>
      </c>
      <c r="E381" s="20">
        <v>1</v>
      </c>
      <c r="F381" s="15" t="s">
        <v>431</v>
      </c>
      <c r="I381" s="15" t="s">
        <v>47</v>
      </c>
      <c r="K381" s="21"/>
      <c r="L381" s="21"/>
      <c r="M381" s="21"/>
      <c r="N381" s="21"/>
      <c r="O381" s="21"/>
      <c r="P381" s="21"/>
      <c r="Q381" s="20">
        <v>4</v>
      </c>
      <c r="R381" s="20">
        <v>26</v>
      </c>
      <c r="S381" s="20">
        <v>24</v>
      </c>
      <c r="T381" s="21"/>
      <c r="U381" s="21"/>
      <c r="V381" s="21"/>
      <c r="W381" s="20">
        <v>3800</v>
      </c>
      <c r="X381" s="15" t="s">
        <v>276</v>
      </c>
      <c r="Y381" s="20">
        <v>13</v>
      </c>
      <c r="Z381" s="15" t="s">
        <v>255</v>
      </c>
      <c r="AA381" s="15" t="s">
        <v>85</v>
      </c>
      <c r="AB381" s="15" t="s">
        <v>256</v>
      </c>
      <c r="AC381" s="20" t="s">
        <v>257</v>
      </c>
      <c r="AD381" s="9" t="str">
        <f>IF(OR(Form_Responses34[[#This Row],[Total_monthly_fuel_expense 
]]&gt;10040,Form_Responses34[[#This Row],[Total_monthly_fuel_expense 
]]&lt;-4760),"Outlier","Normal")</f>
        <v>Normal</v>
      </c>
    </row>
    <row r="382" spans="1:30" x14ac:dyDescent="0.2">
      <c r="A382" s="20">
        <v>23</v>
      </c>
      <c r="B382" s="15" t="s">
        <v>42</v>
      </c>
      <c r="C382" s="12" t="s">
        <v>182</v>
      </c>
      <c r="D382" s="20">
        <v>4</v>
      </c>
      <c r="E382" s="20">
        <v>1</v>
      </c>
      <c r="F382" s="15" t="s">
        <v>100</v>
      </c>
      <c r="H382" s="15" t="s">
        <v>47</v>
      </c>
      <c r="K382" s="21"/>
      <c r="L382" s="21"/>
      <c r="M382" s="21"/>
      <c r="N382" s="20">
        <v>1</v>
      </c>
      <c r="O382" s="20">
        <v>6</v>
      </c>
      <c r="P382" s="20">
        <v>4</v>
      </c>
      <c r="Q382" s="21"/>
      <c r="R382" s="21"/>
      <c r="S382" s="21"/>
      <c r="T382" s="21"/>
      <c r="U382" s="21"/>
      <c r="V382" s="21"/>
      <c r="W382" s="20">
        <v>520</v>
      </c>
      <c r="X382" s="15" t="s">
        <v>360</v>
      </c>
      <c r="Y382" s="20">
        <v>3</v>
      </c>
      <c r="Z382" s="15" t="s">
        <v>255</v>
      </c>
      <c r="AA382" s="15" t="s">
        <v>277</v>
      </c>
      <c r="AB382" s="15" t="s">
        <v>256</v>
      </c>
      <c r="AC382" s="20" t="s">
        <v>257</v>
      </c>
      <c r="AD382" s="9" t="str">
        <f>IF(OR(Form_Responses34[[#This Row],[Total_monthly_fuel_expense 
]]&gt;10040,Form_Responses34[[#This Row],[Total_monthly_fuel_expense 
]]&lt;-4760),"Outlier","Normal")</f>
        <v>Normal</v>
      </c>
    </row>
    <row r="383" spans="1:30" x14ac:dyDescent="0.2">
      <c r="A383" s="20">
        <v>51</v>
      </c>
      <c r="B383" s="15" t="s">
        <v>73</v>
      </c>
      <c r="C383" s="12" t="s">
        <v>1890</v>
      </c>
      <c r="D383" s="20">
        <v>5</v>
      </c>
      <c r="E383" s="20">
        <v>2</v>
      </c>
      <c r="F383" s="15" t="s">
        <v>290</v>
      </c>
      <c r="G383" s="15" t="s">
        <v>47</v>
      </c>
      <c r="J383" s="15" t="s">
        <v>291</v>
      </c>
      <c r="K383" s="20">
        <v>12</v>
      </c>
      <c r="L383" s="20">
        <v>5</v>
      </c>
      <c r="M383" s="20">
        <v>3</v>
      </c>
      <c r="N383" s="21"/>
      <c r="O383" s="21"/>
      <c r="P383" s="21"/>
      <c r="Q383" s="21"/>
      <c r="R383" s="21"/>
      <c r="S383" s="21"/>
      <c r="T383" s="20">
        <v>16</v>
      </c>
      <c r="U383" s="20">
        <v>56</v>
      </c>
      <c r="V383" s="20">
        <v>90</v>
      </c>
      <c r="W383" s="20">
        <v>11000</v>
      </c>
      <c r="X383" s="15" t="s">
        <v>252</v>
      </c>
      <c r="Y383" s="20">
        <v>6</v>
      </c>
      <c r="Z383" s="15" t="s">
        <v>296</v>
      </c>
      <c r="AA383" s="15" t="s">
        <v>85</v>
      </c>
      <c r="AB383" s="15" t="s">
        <v>256</v>
      </c>
      <c r="AC383" s="20" t="s">
        <v>68</v>
      </c>
      <c r="AD383" s="9" t="str">
        <f>IF(OR(Form_Responses34[[#This Row],[Total_monthly_fuel_expense 
]]&gt;10040,Form_Responses34[[#This Row],[Total_monthly_fuel_expense 
]]&lt;-4760),"Outlier","Normal")</f>
        <v>Outlier</v>
      </c>
    </row>
    <row r="384" spans="1:30" x14ac:dyDescent="0.2">
      <c r="A384" s="20">
        <v>29</v>
      </c>
      <c r="B384" s="15" t="s">
        <v>42</v>
      </c>
      <c r="C384" s="12" t="s">
        <v>1889</v>
      </c>
      <c r="D384" s="20">
        <v>3</v>
      </c>
      <c r="E384" s="20">
        <v>1</v>
      </c>
      <c r="F384" s="15" t="s">
        <v>46</v>
      </c>
      <c r="G384" s="15" t="s">
        <v>47</v>
      </c>
      <c r="K384" s="20">
        <v>4</v>
      </c>
      <c r="L384" s="20">
        <v>15</v>
      </c>
      <c r="M384" s="20">
        <v>9</v>
      </c>
      <c r="N384" s="21"/>
      <c r="O384" s="21"/>
      <c r="P384" s="21"/>
      <c r="Q384" s="21"/>
      <c r="R384" s="21"/>
      <c r="S384" s="21"/>
      <c r="T384" s="21"/>
      <c r="U384" s="21"/>
      <c r="V384" s="21"/>
      <c r="W384" s="20">
        <v>1000</v>
      </c>
      <c r="X384" s="15" t="s">
        <v>252</v>
      </c>
      <c r="Y384" s="20">
        <v>7</v>
      </c>
      <c r="Z384" s="15" t="s">
        <v>255</v>
      </c>
      <c r="AA384" s="15" t="s">
        <v>85</v>
      </c>
      <c r="AB384" s="15" t="s">
        <v>256</v>
      </c>
      <c r="AC384" s="20" t="s">
        <v>257</v>
      </c>
      <c r="AD384" s="9" t="str">
        <f>IF(OR(Form_Responses34[[#This Row],[Total_monthly_fuel_expense 
]]&gt;10040,Form_Responses34[[#This Row],[Total_monthly_fuel_expense 
]]&lt;-4760),"Outlier","Normal")</f>
        <v>Normal</v>
      </c>
    </row>
    <row r="385" spans="1:30" x14ac:dyDescent="0.2">
      <c r="A385" s="20">
        <v>27</v>
      </c>
      <c r="B385" s="15" t="s">
        <v>73</v>
      </c>
      <c r="C385" s="12" t="s">
        <v>1889</v>
      </c>
      <c r="D385" s="20">
        <v>5</v>
      </c>
      <c r="E385" s="20">
        <v>1</v>
      </c>
      <c r="F385" s="15" t="s">
        <v>988</v>
      </c>
      <c r="G385" s="15"/>
      <c r="J385" s="45" t="s">
        <v>291</v>
      </c>
      <c r="K385" s="20"/>
      <c r="L385" s="21"/>
      <c r="M385" s="21"/>
      <c r="N385" s="21"/>
      <c r="O385" s="21"/>
      <c r="P385" s="21"/>
      <c r="Q385" s="21"/>
      <c r="R385" s="21"/>
      <c r="S385" s="21"/>
      <c r="T385" s="20">
        <v>20</v>
      </c>
      <c r="U385" s="20">
        <v>58</v>
      </c>
      <c r="V385" s="21">
        <v>70</v>
      </c>
      <c r="W385" s="20">
        <v>9400</v>
      </c>
      <c r="X385" s="15" t="s">
        <v>252</v>
      </c>
      <c r="Y385" s="20">
        <v>6</v>
      </c>
      <c r="Z385" s="15" t="s">
        <v>296</v>
      </c>
      <c r="AA385" s="15" t="s">
        <v>362</v>
      </c>
      <c r="AB385" s="15" t="s">
        <v>307</v>
      </c>
      <c r="AC385" s="20" t="s">
        <v>68</v>
      </c>
      <c r="AD385" s="9" t="str">
        <f>IF(OR(Form_Responses34[[#This Row],[Total_monthly_fuel_expense 
]]&gt;10040,Form_Responses34[[#This Row],[Total_monthly_fuel_expense 
]]&lt;-4760),"Outlier","Normal")</f>
        <v>Normal</v>
      </c>
    </row>
    <row r="386" spans="1:30" x14ac:dyDescent="0.2">
      <c r="A386" s="20">
        <v>28</v>
      </c>
      <c r="B386" s="15" t="s">
        <v>73</v>
      </c>
      <c r="C386" s="12" t="s">
        <v>1889</v>
      </c>
      <c r="D386" s="20">
        <v>5</v>
      </c>
      <c r="E386" s="20">
        <v>1</v>
      </c>
      <c r="F386" s="15" t="s">
        <v>988</v>
      </c>
      <c r="J386" s="15" t="s">
        <v>291</v>
      </c>
      <c r="K386" s="21"/>
      <c r="L386" s="21"/>
      <c r="M386" s="21"/>
      <c r="N386" s="21"/>
      <c r="O386" s="21"/>
      <c r="P386" s="21"/>
      <c r="Q386" s="21"/>
      <c r="R386" s="21"/>
      <c r="S386" s="21"/>
      <c r="T386" s="20">
        <v>21</v>
      </c>
      <c r="U386" s="20">
        <v>58</v>
      </c>
      <c r="V386" s="20">
        <v>85</v>
      </c>
      <c r="W386" s="20">
        <v>6800</v>
      </c>
      <c r="X386" s="15" t="s">
        <v>159</v>
      </c>
      <c r="Y386" s="20">
        <v>5</v>
      </c>
      <c r="Z386" s="15" t="s">
        <v>296</v>
      </c>
      <c r="AA386" s="15" t="s">
        <v>96</v>
      </c>
      <c r="AB386" s="15" t="s">
        <v>325</v>
      </c>
      <c r="AC386" s="20" t="s">
        <v>257</v>
      </c>
      <c r="AD386" s="9" t="str">
        <f>IF(OR(Form_Responses34[[#This Row],[Total_monthly_fuel_expense 
]]&gt;10040,Form_Responses34[[#This Row],[Total_monthly_fuel_expense 
]]&lt;-4760),"Outlier","Normal")</f>
        <v>Normal</v>
      </c>
    </row>
    <row r="387" spans="1:30" x14ac:dyDescent="0.2">
      <c r="A387" s="20">
        <v>28</v>
      </c>
      <c r="B387" s="15" t="s">
        <v>73</v>
      </c>
      <c r="C387" s="12" t="s">
        <v>1889</v>
      </c>
      <c r="D387" s="20">
        <v>4</v>
      </c>
      <c r="E387" s="20">
        <v>2</v>
      </c>
      <c r="F387" s="15" t="s">
        <v>246</v>
      </c>
      <c r="G387" s="15" t="s">
        <v>47</v>
      </c>
      <c r="I387" s="15" t="s">
        <v>47</v>
      </c>
      <c r="K387" s="20">
        <v>6</v>
      </c>
      <c r="L387" s="20">
        <v>7</v>
      </c>
      <c r="M387" s="20">
        <v>5</v>
      </c>
      <c r="N387" s="21"/>
      <c r="O387" s="21"/>
      <c r="P387" s="21"/>
      <c r="Q387" s="20">
        <v>4</v>
      </c>
      <c r="R387" s="20">
        <v>25</v>
      </c>
      <c r="S387" s="20">
        <v>23</v>
      </c>
      <c r="T387" s="21"/>
      <c r="U387" s="21"/>
      <c r="V387" s="21"/>
      <c r="W387" s="20">
        <v>4000</v>
      </c>
      <c r="X387" s="15" t="s">
        <v>159</v>
      </c>
      <c r="Y387" s="20">
        <v>12</v>
      </c>
      <c r="Z387" s="15" t="s">
        <v>255</v>
      </c>
      <c r="AA387" s="15" t="s">
        <v>85</v>
      </c>
      <c r="AB387" s="15" t="s">
        <v>256</v>
      </c>
      <c r="AC387" s="20" t="s">
        <v>257</v>
      </c>
      <c r="AD387" s="9" t="str">
        <f>IF(OR(Form_Responses34[[#This Row],[Total_monthly_fuel_expense 
]]&gt;10040,Form_Responses34[[#This Row],[Total_monthly_fuel_expense 
]]&lt;-4760),"Outlier","Normal")</f>
        <v>Normal</v>
      </c>
    </row>
    <row r="388" spans="1:30" x14ac:dyDescent="0.2">
      <c r="A388" s="20">
        <v>38</v>
      </c>
      <c r="B388" s="15" t="s">
        <v>73</v>
      </c>
      <c r="C388" s="12" t="s">
        <v>1888</v>
      </c>
      <c r="D388" s="20">
        <v>5</v>
      </c>
      <c r="E388" s="20">
        <v>1</v>
      </c>
      <c r="F388" s="15" t="s">
        <v>100</v>
      </c>
      <c r="H388" s="15" t="s">
        <v>47</v>
      </c>
      <c r="K388" s="21"/>
      <c r="L388" s="21"/>
      <c r="M388" s="21"/>
      <c r="N388" s="20">
        <v>6</v>
      </c>
      <c r="O388" s="20">
        <v>4</v>
      </c>
      <c r="P388" s="20">
        <v>3</v>
      </c>
      <c r="Q388" s="21"/>
      <c r="R388" s="21"/>
      <c r="S388" s="21"/>
      <c r="T388" s="21"/>
      <c r="U388" s="21"/>
      <c r="V388" s="21"/>
      <c r="W388" s="20">
        <v>390</v>
      </c>
      <c r="X388" s="15" t="s">
        <v>276</v>
      </c>
      <c r="Y388" s="20">
        <v>2</v>
      </c>
      <c r="Z388" s="15" t="s">
        <v>306</v>
      </c>
      <c r="AA388" s="15" t="s">
        <v>85</v>
      </c>
      <c r="AB388" s="15" t="s">
        <v>335</v>
      </c>
      <c r="AC388" s="20" t="s">
        <v>68</v>
      </c>
      <c r="AD388" s="9" t="str">
        <f>IF(OR(Form_Responses34[[#This Row],[Total_monthly_fuel_expense 
]]&gt;10040,Form_Responses34[[#This Row],[Total_monthly_fuel_expense 
]]&lt;-4760),"Outlier","Normal")</f>
        <v>Normal</v>
      </c>
    </row>
    <row r="389" spans="1:30" x14ac:dyDescent="0.2">
      <c r="A389" s="20">
        <v>48</v>
      </c>
      <c r="B389" s="15" t="s">
        <v>73</v>
      </c>
      <c r="C389" s="12" t="s">
        <v>1890</v>
      </c>
      <c r="D389" s="20">
        <v>4</v>
      </c>
      <c r="E389" s="20">
        <v>2</v>
      </c>
      <c r="F389" s="15" t="s">
        <v>246</v>
      </c>
      <c r="G389" s="15" t="s">
        <v>47</v>
      </c>
      <c r="I389" s="15" t="s">
        <v>47</v>
      </c>
      <c r="K389" s="20">
        <v>8</v>
      </c>
      <c r="L389" s="20">
        <v>8</v>
      </c>
      <c r="M389" s="20">
        <v>5</v>
      </c>
      <c r="N389" s="21"/>
      <c r="O389" s="21"/>
      <c r="P389" s="21"/>
      <c r="Q389" s="20">
        <v>6</v>
      </c>
      <c r="R389" s="20">
        <v>24</v>
      </c>
      <c r="S389" s="20">
        <v>22</v>
      </c>
      <c r="T389" s="21"/>
      <c r="U389" s="21"/>
      <c r="V389" s="21"/>
      <c r="W389" s="20">
        <v>3900</v>
      </c>
      <c r="X389" s="15" t="s">
        <v>159</v>
      </c>
      <c r="Y389" s="20">
        <v>12</v>
      </c>
      <c r="Z389" s="15" t="s">
        <v>559</v>
      </c>
      <c r="AA389" s="15" t="s">
        <v>362</v>
      </c>
      <c r="AB389" s="15" t="s">
        <v>307</v>
      </c>
      <c r="AC389" s="20" t="s">
        <v>68</v>
      </c>
      <c r="AD389" s="9" t="str">
        <f>IF(OR(Form_Responses34[[#This Row],[Total_monthly_fuel_expense 
]]&gt;10040,Form_Responses34[[#This Row],[Total_monthly_fuel_expense 
]]&lt;-4760),"Outlier","Normal")</f>
        <v>Normal</v>
      </c>
    </row>
    <row r="390" spans="1:30" x14ac:dyDescent="0.2">
      <c r="A390" s="20">
        <v>31</v>
      </c>
      <c r="B390" s="15" t="s">
        <v>42</v>
      </c>
      <c r="C390" s="12" t="s">
        <v>1889</v>
      </c>
      <c r="D390" s="20">
        <v>5</v>
      </c>
      <c r="E390" s="20">
        <v>1</v>
      </c>
      <c r="F390" s="15" t="s">
        <v>46</v>
      </c>
      <c r="G390" s="15" t="s">
        <v>47</v>
      </c>
      <c r="K390" s="20">
        <v>4</v>
      </c>
      <c r="L390" s="20">
        <v>16</v>
      </c>
      <c r="M390" s="20">
        <v>9</v>
      </c>
      <c r="N390" s="21"/>
      <c r="O390" s="21"/>
      <c r="P390" s="21"/>
      <c r="Q390" s="21"/>
      <c r="R390" s="21"/>
      <c r="S390" s="21"/>
      <c r="T390" s="21"/>
      <c r="U390" s="21"/>
      <c r="V390" s="21"/>
      <c r="W390" s="20">
        <v>1070</v>
      </c>
      <c r="X390" s="15" t="s">
        <v>252</v>
      </c>
      <c r="Y390" s="20">
        <v>8</v>
      </c>
      <c r="Z390" s="15" t="s">
        <v>255</v>
      </c>
      <c r="AA390" s="15" t="s">
        <v>85</v>
      </c>
      <c r="AB390" s="15" t="s">
        <v>256</v>
      </c>
      <c r="AC390" s="20" t="s">
        <v>257</v>
      </c>
      <c r="AD390" s="9" t="str">
        <f>IF(OR(Form_Responses34[[#This Row],[Total_monthly_fuel_expense 
]]&gt;10040,Form_Responses34[[#This Row],[Total_monthly_fuel_expense 
]]&lt;-4760),"Outlier","Normal")</f>
        <v>Normal</v>
      </c>
    </row>
    <row r="391" spans="1:30" x14ac:dyDescent="0.2">
      <c r="A391" s="20">
        <v>37</v>
      </c>
      <c r="B391" s="15" t="s">
        <v>73</v>
      </c>
      <c r="C391" s="12" t="s">
        <v>1889</v>
      </c>
      <c r="D391" s="20">
        <v>4</v>
      </c>
      <c r="E391" s="20">
        <v>1</v>
      </c>
      <c r="F391" s="15" t="s">
        <v>46</v>
      </c>
      <c r="G391" s="15" t="s">
        <v>47</v>
      </c>
      <c r="K391" s="20">
        <v>3</v>
      </c>
      <c r="L391" s="20">
        <v>17</v>
      </c>
      <c r="M391" s="20">
        <v>10</v>
      </c>
      <c r="N391" s="21"/>
      <c r="O391" s="21"/>
      <c r="P391" s="21"/>
      <c r="Q391" s="21"/>
      <c r="R391" s="21"/>
      <c r="S391" s="21"/>
      <c r="T391" s="21"/>
      <c r="U391" s="21"/>
      <c r="V391" s="21"/>
      <c r="W391" s="20">
        <v>1300</v>
      </c>
      <c r="X391" s="15" t="s">
        <v>252</v>
      </c>
      <c r="Y391" s="20">
        <v>8</v>
      </c>
      <c r="Z391" s="15" t="s">
        <v>255</v>
      </c>
      <c r="AA391" s="15" t="s">
        <v>362</v>
      </c>
      <c r="AB391" s="15" t="s">
        <v>307</v>
      </c>
      <c r="AC391" s="20" t="s">
        <v>68</v>
      </c>
      <c r="AD391" s="9" t="str">
        <f>IF(OR(Form_Responses34[[#This Row],[Total_monthly_fuel_expense 
]]&gt;10040,Form_Responses34[[#This Row],[Total_monthly_fuel_expense 
]]&lt;-4760),"Outlier","Normal")</f>
        <v>Normal</v>
      </c>
    </row>
    <row r="392" spans="1:30" x14ac:dyDescent="0.2">
      <c r="A392" s="20">
        <v>37</v>
      </c>
      <c r="B392" s="15" t="s">
        <v>73</v>
      </c>
      <c r="C392" s="12" t="s">
        <v>1890</v>
      </c>
      <c r="D392" s="20">
        <v>4</v>
      </c>
      <c r="E392" s="20">
        <v>2</v>
      </c>
      <c r="F392" s="15" t="s">
        <v>61</v>
      </c>
      <c r="G392" s="15" t="s">
        <v>47</v>
      </c>
      <c r="H392" s="15" t="s">
        <v>47</v>
      </c>
      <c r="K392" s="20">
        <v>7</v>
      </c>
      <c r="L392" s="20">
        <v>12</v>
      </c>
      <c r="M392" s="20">
        <v>7</v>
      </c>
      <c r="N392" s="20">
        <v>5</v>
      </c>
      <c r="O392" s="20">
        <v>5</v>
      </c>
      <c r="P392" s="20">
        <v>3</v>
      </c>
      <c r="Q392" s="21"/>
      <c r="R392" s="21"/>
      <c r="S392" s="21"/>
      <c r="T392" s="21"/>
      <c r="U392" s="21"/>
      <c r="V392" s="21"/>
      <c r="W392" s="20">
        <v>1300</v>
      </c>
      <c r="X392" s="15" t="s">
        <v>252</v>
      </c>
      <c r="Y392" s="20">
        <v>6</v>
      </c>
      <c r="Z392" s="15" t="s">
        <v>255</v>
      </c>
      <c r="AA392" s="15" t="s">
        <v>85</v>
      </c>
      <c r="AB392" s="15" t="s">
        <v>256</v>
      </c>
      <c r="AC392" s="20" t="s">
        <v>257</v>
      </c>
      <c r="AD392" s="9" t="str">
        <f>IF(OR(Form_Responses34[[#This Row],[Total_monthly_fuel_expense 
]]&gt;10040,Form_Responses34[[#This Row],[Total_monthly_fuel_expense 
]]&lt;-4760),"Outlier","Normal")</f>
        <v>Normal</v>
      </c>
    </row>
    <row r="393" spans="1:30" x14ac:dyDescent="0.2">
      <c r="A393" s="20">
        <v>39</v>
      </c>
      <c r="B393" s="15" t="s">
        <v>42</v>
      </c>
      <c r="C393" s="12" t="s">
        <v>1889</v>
      </c>
      <c r="D393" s="20">
        <v>5</v>
      </c>
      <c r="E393" s="20">
        <v>1</v>
      </c>
      <c r="F393" s="15" t="s">
        <v>100</v>
      </c>
      <c r="H393" s="15" t="s">
        <v>47</v>
      </c>
      <c r="K393" s="21"/>
      <c r="L393" s="21"/>
      <c r="M393" s="21"/>
      <c r="N393" s="20">
        <v>2</v>
      </c>
      <c r="O393" s="20">
        <v>7</v>
      </c>
      <c r="P393" s="20">
        <v>5</v>
      </c>
      <c r="Q393" s="21"/>
      <c r="R393" s="21"/>
      <c r="S393" s="21"/>
      <c r="T393" s="21"/>
      <c r="U393" s="21"/>
      <c r="V393" s="21"/>
      <c r="W393" s="20">
        <v>650</v>
      </c>
      <c r="X393" s="15" t="s">
        <v>159</v>
      </c>
      <c r="Y393" s="20">
        <v>4</v>
      </c>
      <c r="Z393" s="15" t="s">
        <v>255</v>
      </c>
      <c r="AA393" s="15" t="s">
        <v>85</v>
      </c>
      <c r="AB393" s="15" t="s">
        <v>256</v>
      </c>
      <c r="AC393" s="20" t="s">
        <v>68</v>
      </c>
      <c r="AD393" s="9" t="str">
        <f>IF(OR(Form_Responses34[[#This Row],[Total_monthly_fuel_expense 
]]&gt;10040,Form_Responses34[[#This Row],[Total_monthly_fuel_expense 
]]&lt;-4760),"Outlier","Normal")</f>
        <v>Normal</v>
      </c>
    </row>
    <row r="394" spans="1:30" x14ac:dyDescent="0.2">
      <c r="A394" s="20">
        <v>48</v>
      </c>
      <c r="B394" s="15" t="s">
        <v>73</v>
      </c>
      <c r="C394" s="12" t="s">
        <v>1889</v>
      </c>
      <c r="D394" s="20">
        <v>4</v>
      </c>
      <c r="E394" s="20">
        <v>1</v>
      </c>
      <c r="F394" s="15" t="s">
        <v>46</v>
      </c>
      <c r="G394" s="15" t="s">
        <v>47</v>
      </c>
      <c r="K394" s="20">
        <v>14</v>
      </c>
      <c r="L394" s="20">
        <v>6</v>
      </c>
      <c r="M394" s="20">
        <v>4</v>
      </c>
      <c r="N394" s="21"/>
      <c r="O394" s="21"/>
      <c r="P394" s="21"/>
      <c r="Q394" s="21"/>
      <c r="R394" s="21"/>
      <c r="S394" s="21"/>
      <c r="T394" s="21"/>
      <c r="U394" s="21"/>
      <c r="V394" s="21"/>
      <c r="W394" s="20">
        <v>520</v>
      </c>
      <c r="X394" s="15" t="s">
        <v>252</v>
      </c>
      <c r="Y394" s="20">
        <v>4</v>
      </c>
      <c r="Z394" s="15" t="s">
        <v>296</v>
      </c>
      <c r="AA394" s="15" t="s">
        <v>85</v>
      </c>
      <c r="AB394" s="15" t="s">
        <v>265</v>
      </c>
      <c r="AC394" s="20" t="s">
        <v>68</v>
      </c>
      <c r="AD394" s="9" t="str">
        <f>IF(OR(Form_Responses34[[#This Row],[Total_monthly_fuel_expense 
]]&gt;10040,Form_Responses34[[#This Row],[Total_monthly_fuel_expense 
]]&lt;-4760),"Outlier","Normal")</f>
        <v>Normal</v>
      </c>
    </row>
    <row r="395" spans="1:30" x14ac:dyDescent="0.2">
      <c r="A395" s="20">
        <v>39</v>
      </c>
      <c r="B395" s="15" t="s">
        <v>42</v>
      </c>
      <c r="C395" s="12" t="s">
        <v>1888</v>
      </c>
      <c r="D395" s="20">
        <v>5</v>
      </c>
      <c r="E395" s="20">
        <v>1</v>
      </c>
      <c r="F395" s="15" t="s">
        <v>100</v>
      </c>
      <c r="H395" s="15" t="s">
        <v>47</v>
      </c>
      <c r="K395" s="21"/>
      <c r="L395" s="21"/>
      <c r="M395" s="21"/>
      <c r="N395" s="20">
        <v>6</v>
      </c>
      <c r="O395" s="20">
        <v>4</v>
      </c>
      <c r="P395" s="20">
        <v>3</v>
      </c>
      <c r="Q395" s="21"/>
      <c r="R395" s="21"/>
      <c r="S395" s="21"/>
      <c r="T395" s="21"/>
      <c r="U395" s="21"/>
      <c r="V395" s="21"/>
      <c r="W395" s="20">
        <v>390</v>
      </c>
      <c r="X395" s="15" t="s">
        <v>323</v>
      </c>
      <c r="Y395" s="20">
        <v>2</v>
      </c>
      <c r="Z395" s="15" t="s">
        <v>344</v>
      </c>
      <c r="AA395" s="15" t="s">
        <v>85</v>
      </c>
      <c r="AB395" s="15" t="s">
        <v>265</v>
      </c>
      <c r="AC395" s="20" t="s">
        <v>257</v>
      </c>
      <c r="AD395" s="9" t="str">
        <f>IF(OR(Form_Responses34[[#This Row],[Total_monthly_fuel_expense 
]]&gt;10040,Form_Responses34[[#This Row],[Total_monthly_fuel_expense 
]]&lt;-4760),"Outlier","Normal")</f>
        <v>Normal</v>
      </c>
    </row>
    <row r="396" spans="1:30" x14ac:dyDescent="0.2">
      <c r="A396" s="20">
        <v>41</v>
      </c>
      <c r="B396" s="15" t="s">
        <v>73</v>
      </c>
      <c r="C396" s="12" t="s">
        <v>1890</v>
      </c>
      <c r="D396" s="20">
        <v>4</v>
      </c>
      <c r="E396" s="20">
        <v>3</v>
      </c>
      <c r="F396" s="15" t="s">
        <v>390</v>
      </c>
      <c r="G396" s="15" t="s">
        <v>47</v>
      </c>
      <c r="H396" s="15" t="s">
        <v>47</v>
      </c>
      <c r="I396" s="15" t="s">
        <v>47</v>
      </c>
      <c r="K396" s="20">
        <v>9</v>
      </c>
      <c r="L396" s="20">
        <v>8</v>
      </c>
      <c r="M396" s="20">
        <v>5</v>
      </c>
      <c r="N396" s="20">
        <v>4</v>
      </c>
      <c r="O396" s="20">
        <v>6</v>
      </c>
      <c r="P396" s="20">
        <v>4</v>
      </c>
      <c r="Q396" s="20">
        <v>7</v>
      </c>
      <c r="R396" s="20">
        <v>22</v>
      </c>
      <c r="S396" s="20">
        <v>20</v>
      </c>
      <c r="T396" s="21"/>
      <c r="U396" s="21"/>
      <c r="V396" s="21"/>
      <c r="W396" s="20">
        <v>4500</v>
      </c>
      <c r="X396" s="15" t="s">
        <v>252</v>
      </c>
      <c r="Y396" s="20">
        <v>10</v>
      </c>
      <c r="Z396" s="15" t="s">
        <v>559</v>
      </c>
      <c r="AA396" s="15" t="s">
        <v>85</v>
      </c>
      <c r="AB396" s="15" t="s">
        <v>256</v>
      </c>
      <c r="AC396" s="20" t="s">
        <v>257</v>
      </c>
      <c r="AD396" s="9" t="str">
        <f>IF(OR(Form_Responses34[[#This Row],[Total_monthly_fuel_expense 
]]&gt;10040,Form_Responses34[[#This Row],[Total_monthly_fuel_expense 
]]&lt;-4760),"Outlier","Normal")</f>
        <v>Normal</v>
      </c>
    </row>
    <row r="397" spans="1:30" x14ac:dyDescent="0.2">
      <c r="A397" s="20">
        <v>49</v>
      </c>
      <c r="B397" s="15" t="s">
        <v>42</v>
      </c>
      <c r="C397" s="12" t="s">
        <v>1889</v>
      </c>
      <c r="D397" s="20">
        <v>5</v>
      </c>
      <c r="E397" s="20">
        <v>1</v>
      </c>
      <c r="F397" s="15" t="s">
        <v>46</v>
      </c>
      <c r="G397" s="15" t="s">
        <v>47</v>
      </c>
      <c r="K397" s="20">
        <v>5</v>
      </c>
      <c r="L397" s="20">
        <v>18</v>
      </c>
      <c r="M397" s="20">
        <v>11</v>
      </c>
      <c r="N397" s="21"/>
      <c r="O397" s="21"/>
      <c r="P397" s="21"/>
      <c r="Q397" s="21"/>
      <c r="R397" s="21"/>
      <c r="S397" s="21"/>
      <c r="T397" s="21"/>
      <c r="U397" s="21"/>
      <c r="V397" s="21"/>
      <c r="W397" s="20">
        <v>1430</v>
      </c>
      <c r="X397" s="15" t="s">
        <v>159</v>
      </c>
      <c r="Y397" s="20">
        <v>9</v>
      </c>
      <c r="Z397" s="15" t="s">
        <v>255</v>
      </c>
      <c r="AA397" s="15" t="s">
        <v>362</v>
      </c>
      <c r="AB397" s="15" t="s">
        <v>307</v>
      </c>
      <c r="AC397" s="20" t="s">
        <v>68</v>
      </c>
      <c r="AD397" s="9" t="str">
        <f>IF(OR(Form_Responses34[[#This Row],[Total_monthly_fuel_expense 
]]&gt;10040,Form_Responses34[[#This Row],[Total_monthly_fuel_expense 
]]&lt;-4760),"Outlier","Normal")</f>
        <v>Normal</v>
      </c>
    </row>
    <row r="398" spans="1:30" x14ac:dyDescent="0.2">
      <c r="A398" s="20">
        <v>43</v>
      </c>
      <c r="B398" s="15" t="s">
        <v>42</v>
      </c>
      <c r="C398" s="12" t="s">
        <v>1888</v>
      </c>
      <c r="D398" s="20">
        <v>5</v>
      </c>
      <c r="E398" s="20">
        <v>1</v>
      </c>
      <c r="F398" s="15" t="s">
        <v>100</v>
      </c>
      <c r="H398" s="15" t="s">
        <v>47</v>
      </c>
      <c r="K398" s="21"/>
      <c r="L398" s="21"/>
      <c r="M398" s="21"/>
      <c r="N398" s="20">
        <v>8</v>
      </c>
      <c r="O398" s="20">
        <v>3</v>
      </c>
      <c r="P398" s="20">
        <v>2</v>
      </c>
      <c r="Q398" s="21"/>
      <c r="R398" s="21"/>
      <c r="S398" s="21"/>
      <c r="T398" s="21"/>
      <c r="U398" s="21"/>
      <c r="V398" s="21"/>
      <c r="W398" s="20">
        <v>260</v>
      </c>
      <c r="X398" s="15" t="s">
        <v>252</v>
      </c>
      <c r="Y398" s="20">
        <v>2</v>
      </c>
      <c r="Z398" s="15" t="s">
        <v>344</v>
      </c>
      <c r="AA398" s="15" t="s">
        <v>85</v>
      </c>
      <c r="AB398" s="15" t="s">
        <v>256</v>
      </c>
      <c r="AC398" s="20" t="s">
        <v>257</v>
      </c>
      <c r="AD398" s="9" t="str">
        <f>IF(OR(Form_Responses34[[#This Row],[Total_monthly_fuel_expense 
]]&gt;10040,Form_Responses34[[#This Row],[Total_monthly_fuel_expense 
]]&lt;-4760),"Outlier","Normal")</f>
        <v>Normal</v>
      </c>
    </row>
    <row r="399" spans="1:30" x14ac:dyDescent="0.2">
      <c r="A399" s="20">
        <v>21</v>
      </c>
      <c r="B399" s="15" t="s">
        <v>73</v>
      </c>
      <c r="C399" s="12" t="s">
        <v>182</v>
      </c>
      <c r="D399" s="20">
        <v>4</v>
      </c>
      <c r="E399" s="20">
        <v>1</v>
      </c>
      <c r="F399" s="15" t="s">
        <v>46</v>
      </c>
      <c r="G399" s="15" t="s">
        <v>47</v>
      </c>
      <c r="K399" s="20">
        <v>2</v>
      </c>
      <c r="L399" s="20">
        <v>20</v>
      </c>
      <c r="M399" s="20">
        <v>12</v>
      </c>
      <c r="N399" s="21"/>
      <c r="O399" s="21"/>
      <c r="P399" s="21"/>
      <c r="Q399" s="21"/>
      <c r="R399" s="21"/>
      <c r="S399" s="21"/>
      <c r="T399" s="21"/>
      <c r="U399" s="21"/>
      <c r="V399" s="21"/>
      <c r="W399" s="20">
        <v>1560</v>
      </c>
      <c r="X399" s="15" t="s">
        <v>276</v>
      </c>
      <c r="Y399" s="20">
        <v>10</v>
      </c>
      <c r="Z399" s="15" t="s">
        <v>285</v>
      </c>
      <c r="AA399" s="15" t="s">
        <v>362</v>
      </c>
      <c r="AB399" s="15" t="s">
        <v>307</v>
      </c>
      <c r="AC399" s="20" t="s">
        <v>68</v>
      </c>
      <c r="AD399" s="9" t="str">
        <f>IF(OR(Form_Responses34[[#This Row],[Total_monthly_fuel_expense 
]]&gt;10040,Form_Responses34[[#This Row],[Total_monthly_fuel_expense 
]]&lt;-4760),"Outlier","Normal")</f>
        <v>Normal</v>
      </c>
    </row>
    <row r="400" spans="1:30" x14ac:dyDescent="0.2">
      <c r="A400" s="20">
        <v>27</v>
      </c>
      <c r="B400" s="15" t="s">
        <v>73</v>
      </c>
      <c r="C400" s="12" t="s">
        <v>1889</v>
      </c>
      <c r="D400" s="20">
        <v>5</v>
      </c>
      <c r="E400" s="20">
        <v>1</v>
      </c>
      <c r="F400" s="15" t="s">
        <v>46</v>
      </c>
      <c r="G400" s="15" t="s">
        <v>47</v>
      </c>
      <c r="K400" s="20">
        <v>3</v>
      </c>
      <c r="L400" s="20">
        <v>22</v>
      </c>
      <c r="M400" s="20">
        <v>12</v>
      </c>
      <c r="N400" s="21"/>
      <c r="O400" s="21"/>
      <c r="P400" s="21"/>
      <c r="Q400" s="21"/>
      <c r="R400" s="21"/>
      <c r="S400" s="21"/>
      <c r="T400" s="21"/>
      <c r="U400" s="21"/>
      <c r="V400" s="21"/>
      <c r="W400" s="20">
        <v>1690</v>
      </c>
      <c r="X400" s="15" t="s">
        <v>159</v>
      </c>
      <c r="Y400" s="20">
        <v>11</v>
      </c>
      <c r="Z400" s="15" t="s">
        <v>255</v>
      </c>
      <c r="AA400" s="15" t="s">
        <v>277</v>
      </c>
      <c r="AB400" s="15" t="s">
        <v>256</v>
      </c>
      <c r="AC400" s="20" t="s">
        <v>68</v>
      </c>
      <c r="AD400" s="9" t="str">
        <f>IF(OR(Form_Responses34[[#This Row],[Total_monthly_fuel_expense 
]]&gt;10040,Form_Responses34[[#This Row],[Total_monthly_fuel_expense 
]]&lt;-4760),"Outlier","Normal")</f>
        <v>Normal</v>
      </c>
    </row>
    <row r="401" spans="1:30" x14ac:dyDescent="0.2">
      <c r="A401" s="20">
        <v>62</v>
      </c>
      <c r="B401" s="15" t="s">
        <v>42</v>
      </c>
      <c r="C401" s="12" t="s">
        <v>1888</v>
      </c>
      <c r="D401" s="20">
        <v>5</v>
      </c>
      <c r="E401" s="20">
        <v>1</v>
      </c>
      <c r="F401" s="15" t="s">
        <v>46</v>
      </c>
      <c r="G401" s="15" t="s">
        <v>47</v>
      </c>
      <c r="K401" s="20">
        <v>11</v>
      </c>
      <c r="L401" s="20">
        <v>4</v>
      </c>
      <c r="M401" s="20">
        <v>3</v>
      </c>
      <c r="N401" s="21"/>
      <c r="O401" s="21"/>
      <c r="P401" s="21"/>
      <c r="Q401" s="21"/>
      <c r="R401" s="21"/>
      <c r="S401" s="21"/>
      <c r="T401" s="21"/>
      <c r="U401" s="21"/>
      <c r="V401" s="21"/>
      <c r="W401" s="20">
        <v>390</v>
      </c>
      <c r="X401" s="15" t="s">
        <v>252</v>
      </c>
      <c r="Y401" s="20">
        <v>2</v>
      </c>
      <c r="Z401" s="15" t="s">
        <v>306</v>
      </c>
      <c r="AA401" s="15" t="s">
        <v>85</v>
      </c>
      <c r="AB401" s="15" t="s">
        <v>335</v>
      </c>
      <c r="AC401" s="20" t="s">
        <v>68</v>
      </c>
      <c r="AD401" s="9" t="str">
        <f>IF(OR(Form_Responses34[[#This Row],[Total_monthly_fuel_expense 
]]&gt;10040,Form_Responses34[[#This Row],[Total_monthly_fuel_expense 
]]&lt;-4760),"Outlier","Normal")</f>
        <v>Normal</v>
      </c>
    </row>
    <row r="402" spans="1:30" x14ac:dyDescent="0.2">
      <c r="A402" s="20">
        <v>35</v>
      </c>
      <c r="B402" s="15" t="s">
        <v>73</v>
      </c>
      <c r="C402" s="12" t="s">
        <v>1889</v>
      </c>
      <c r="D402" s="20">
        <v>4</v>
      </c>
      <c r="E402" s="20">
        <v>2</v>
      </c>
      <c r="F402" s="15" t="s">
        <v>246</v>
      </c>
      <c r="G402" s="15" t="s">
        <v>47</v>
      </c>
      <c r="I402" s="15" t="s">
        <v>47</v>
      </c>
      <c r="K402" s="20">
        <v>6</v>
      </c>
      <c r="L402" s="20">
        <v>10</v>
      </c>
      <c r="M402" s="20">
        <v>6</v>
      </c>
      <c r="N402" s="21"/>
      <c r="O402" s="21"/>
      <c r="P402" s="21"/>
      <c r="Q402" s="20">
        <v>5</v>
      </c>
      <c r="R402" s="20">
        <v>22</v>
      </c>
      <c r="S402" s="20">
        <v>21</v>
      </c>
      <c r="T402" s="21"/>
      <c r="U402" s="21"/>
      <c r="V402" s="21"/>
      <c r="W402" s="20">
        <v>3600</v>
      </c>
      <c r="X402" s="15" t="s">
        <v>323</v>
      </c>
      <c r="Y402" s="20">
        <v>11</v>
      </c>
      <c r="Z402" s="15" t="s">
        <v>255</v>
      </c>
      <c r="AA402" s="15" t="s">
        <v>85</v>
      </c>
      <c r="AB402" s="15" t="s">
        <v>256</v>
      </c>
      <c r="AC402" s="20" t="s">
        <v>257</v>
      </c>
      <c r="AD402" s="9" t="str">
        <f>IF(OR(Form_Responses34[[#This Row],[Total_monthly_fuel_expense 
]]&gt;10040,Form_Responses34[[#This Row],[Total_monthly_fuel_expense 
]]&lt;-4760),"Outlier","Normal")</f>
        <v>Normal</v>
      </c>
    </row>
    <row r="403" spans="1:30" x14ac:dyDescent="0.2">
      <c r="A403" s="20">
        <v>28</v>
      </c>
      <c r="B403" s="15" t="s">
        <v>42</v>
      </c>
      <c r="C403" s="12" t="s">
        <v>1889</v>
      </c>
      <c r="D403" s="20">
        <v>5</v>
      </c>
      <c r="E403" s="20">
        <v>1</v>
      </c>
      <c r="F403" s="15" t="s">
        <v>100</v>
      </c>
      <c r="H403" s="15" t="s">
        <v>47</v>
      </c>
      <c r="K403" s="21"/>
      <c r="L403" s="21"/>
      <c r="M403" s="21"/>
      <c r="N403" s="20">
        <v>3</v>
      </c>
      <c r="O403" s="20">
        <v>8</v>
      </c>
      <c r="P403" s="20">
        <v>5</v>
      </c>
      <c r="Q403" s="21"/>
      <c r="R403" s="21"/>
      <c r="S403" s="21"/>
      <c r="T403" s="21"/>
      <c r="U403" s="21"/>
      <c r="V403" s="21"/>
      <c r="W403" s="20">
        <v>650</v>
      </c>
      <c r="X403" s="15" t="s">
        <v>323</v>
      </c>
      <c r="Y403" s="20">
        <v>4</v>
      </c>
      <c r="Z403" s="15" t="s">
        <v>255</v>
      </c>
      <c r="AA403" s="15" t="s">
        <v>85</v>
      </c>
      <c r="AB403" s="15" t="s">
        <v>256</v>
      </c>
      <c r="AC403" s="20" t="s">
        <v>257</v>
      </c>
      <c r="AD403" s="9" t="str">
        <f>IF(OR(Form_Responses34[[#This Row],[Total_monthly_fuel_expense 
]]&gt;10040,Form_Responses34[[#This Row],[Total_monthly_fuel_expense 
]]&lt;-4760),"Outlier","Normal")</f>
        <v>Normal</v>
      </c>
    </row>
    <row r="404" spans="1:30" x14ac:dyDescent="0.2">
      <c r="A404" s="20">
        <v>54</v>
      </c>
      <c r="B404" s="15" t="s">
        <v>73</v>
      </c>
      <c r="C404" s="12" t="s">
        <v>1891</v>
      </c>
      <c r="D404" s="20">
        <v>6</v>
      </c>
      <c r="E404" s="20">
        <v>1</v>
      </c>
      <c r="F404" s="15" t="s">
        <v>988</v>
      </c>
      <c r="J404" s="15" t="s">
        <v>291</v>
      </c>
      <c r="K404" s="21"/>
      <c r="L404" s="21"/>
      <c r="M404" s="21"/>
      <c r="N404" s="21"/>
      <c r="O404" s="21"/>
      <c r="P404" s="21"/>
      <c r="Q404" s="21"/>
      <c r="R404" s="21"/>
      <c r="S404" s="21"/>
      <c r="T404" s="20">
        <v>18</v>
      </c>
      <c r="U404" s="20">
        <v>60</v>
      </c>
      <c r="V404" s="20">
        <v>95</v>
      </c>
      <c r="W404" s="20">
        <v>9600</v>
      </c>
      <c r="X404" s="15" t="s">
        <v>360</v>
      </c>
      <c r="Y404" s="20">
        <v>30</v>
      </c>
      <c r="Z404" s="15" t="s">
        <v>296</v>
      </c>
      <c r="AA404" s="15" t="s">
        <v>85</v>
      </c>
      <c r="AB404" s="15" t="s">
        <v>256</v>
      </c>
      <c r="AC404" s="20" t="s">
        <v>257</v>
      </c>
      <c r="AD404" s="9" t="str">
        <f>IF(OR(Form_Responses34[[#This Row],[Total_monthly_fuel_expense 
]]&gt;10040,Form_Responses34[[#This Row],[Total_monthly_fuel_expense 
]]&lt;-4760),"Outlier","Normal")</f>
        <v>Normal</v>
      </c>
    </row>
    <row r="405" spans="1:30" x14ac:dyDescent="0.2">
      <c r="A405" s="20">
        <v>21</v>
      </c>
      <c r="B405" s="15" t="s">
        <v>42</v>
      </c>
      <c r="C405" s="12" t="s">
        <v>182</v>
      </c>
      <c r="D405" s="20">
        <v>4</v>
      </c>
      <c r="E405" s="20">
        <v>1</v>
      </c>
      <c r="F405" s="15" t="s">
        <v>46</v>
      </c>
      <c r="G405" s="15" t="s">
        <v>47</v>
      </c>
      <c r="K405" s="20">
        <v>2</v>
      </c>
      <c r="L405" s="20">
        <v>18</v>
      </c>
      <c r="M405" s="20">
        <v>11</v>
      </c>
      <c r="N405" s="21"/>
      <c r="O405" s="21"/>
      <c r="P405" s="21"/>
      <c r="Q405" s="21"/>
      <c r="R405" s="21"/>
      <c r="S405" s="21"/>
      <c r="T405" s="21"/>
      <c r="U405" s="21"/>
      <c r="V405" s="21"/>
      <c r="W405" s="20">
        <v>1430</v>
      </c>
      <c r="X405" s="15" t="s">
        <v>159</v>
      </c>
      <c r="Y405" s="20">
        <v>9</v>
      </c>
      <c r="Z405" s="15" t="s">
        <v>285</v>
      </c>
      <c r="AA405" s="15" t="s">
        <v>277</v>
      </c>
      <c r="AB405" s="15" t="s">
        <v>256</v>
      </c>
      <c r="AC405" s="20" t="s">
        <v>68</v>
      </c>
      <c r="AD405" s="9" t="str">
        <f>IF(OR(Form_Responses34[[#This Row],[Total_monthly_fuel_expense 
]]&gt;10040,Form_Responses34[[#This Row],[Total_monthly_fuel_expense 
]]&lt;-4760),"Outlier","Normal")</f>
        <v>Normal</v>
      </c>
    </row>
    <row r="406" spans="1:30" x14ac:dyDescent="0.2">
      <c r="A406" s="20">
        <v>42</v>
      </c>
      <c r="B406" s="15" t="s">
        <v>73</v>
      </c>
      <c r="C406" s="12" t="s">
        <v>1890</v>
      </c>
      <c r="D406" s="20">
        <v>5</v>
      </c>
      <c r="E406" s="20">
        <v>2</v>
      </c>
      <c r="F406" s="15" t="s">
        <v>290</v>
      </c>
      <c r="G406" s="15" t="s">
        <v>47</v>
      </c>
      <c r="J406" s="15" t="s">
        <v>291</v>
      </c>
      <c r="K406" s="20">
        <v>10</v>
      </c>
      <c r="L406" s="20">
        <v>9</v>
      </c>
      <c r="M406" s="20">
        <v>6</v>
      </c>
      <c r="N406" s="21"/>
      <c r="O406" s="21"/>
      <c r="P406" s="21"/>
      <c r="Q406" s="21"/>
      <c r="R406" s="21"/>
      <c r="S406" s="21"/>
      <c r="T406" s="20">
        <v>14</v>
      </c>
      <c r="U406" s="20">
        <v>48</v>
      </c>
      <c r="V406" s="20">
        <v>80</v>
      </c>
      <c r="W406" s="20">
        <v>9200</v>
      </c>
      <c r="X406" s="15" t="s">
        <v>252</v>
      </c>
      <c r="Y406" s="20">
        <v>5</v>
      </c>
      <c r="Z406" s="15" t="s">
        <v>296</v>
      </c>
      <c r="AA406" s="15" t="s">
        <v>362</v>
      </c>
      <c r="AB406" s="15" t="s">
        <v>307</v>
      </c>
      <c r="AC406" s="20" t="s">
        <v>68</v>
      </c>
      <c r="AD406" s="9" t="str">
        <f>IF(OR(Form_Responses34[[#This Row],[Total_monthly_fuel_expense 
]]&gt;10040,Form_Responses34[[#This Row],[Total_monthly_fuel_expense 
]]&lt;-4760),"Outlier","Normal")</f>
        <v>Normal</v>
      </c>
    </row>
    <row r="407" spans="1:30" x14ac:dyDescent="0.2">
      <c r="A407" s="20">
        <v>41</v>
      </c>
      <c r="B407" s="15" t="s">
        <v>42</v>
      </c>
      <c r="C407" s="12" t="s">
        <v>182</v>
      </c>
      <c r="D407" s="20">
        <v>5</v>
      </c>
      <c r="E407" s="20">
        <v>1</v>
      </c>
      <c r="F407" s="15" t="s">
        <v>100</v>
      </c>
      <c r="H407" s="15" t="s">
        <v>47</v>
      </c>
      <c r="K407" s="21"/>
      <c r="L407" s="21"/>
      <c r="M407" s="21"/>
      <c r="N407" s="20">
        <v>7</v>
      </c>
      <c r="O407" s="20">
        <v>4</v>
      </c>
      <c r="P407" s="20">
        <v>5</v>
      </c>
      <c r="Q407" s="21"/>
      <c r="R407" s="21"/>
      <c r="S407" s="21"/>
      <c r="T407" s="21"/>
      <c r="U407" s="21"/>
      <c r="V407" s="21"/>
      <c r="W407" s="20">
        <v>520</v>
      </c>
      <c r="X407" s="15" t="s">
        <v>252</v>
      </c>
      <c r="Y407" s="20">
        <v>3</v>
      </c>
      <c r="Z407" s="15" t="s">
        <v>344</v>
      </c>
      <c r="AA407" s="15" t="s">
        <v>85</v>
      </c>
      <c r="AB407" s="15" t="s">
        <v>335</v>
      </c>
      <c r="AC407" s="20" t="s">
        <v>257</v>
      </c>
      <c r="AD407" s="9" t="str">
        <f>IF(OR(Form_Responses34[[#This Row],[Total_monthly_fuel_expense 
]]&gt;10040,Form_Responses34[[#This Row],[Total_monthly_fuel_expense 
]]&lt;-4760),"Outlier","Normal")</f>
        <v>Normal</v>
      </c>
    </row>
    <row r="408" spans="1:30" x14ac:dyDescent="0.2">
      <c r="A408" s="20">
        <v>31</v>
      </c>
      <c r="B408" s="15" t="s">
        <v>73</v>
      </c>
      <c r="C408" s="12" t="s">
        <v>1889</v>
      </c>
      <c r="D408" s="20">
        <v>5</v>
      </c>
      <c r="E408" s="20">
        <v>1</v>
      </c>
      <c r="F408" s="15" t="s">
        <v>46</v>
      </c>
      <c r="G408" s="15" t="s">
        <v>47</v>
      </c>
      <c r="K408" s="20">
        <v>4</v>
      </c>
      <c r="L408" s="20">
        <v>20</v>
      </c>
      <c r="M408" s="20">
        <v>12</v>
      </c>
      <c r="N408" s="21"/>
      <c r="O408" s="21"/>
      <c r="P408" s="21"/>
      <c r="Q408" s="21"/>
      <c r="R408" s="21"/>
      <c r="S408" s="21"/>
      <c r="T408" s="21"/>
      <c r="U408" s="21"/>
      <c r="V408" s="21"/>
      <c r="W408" s="20">
        <v>1560</v>
      </c>
      <c r="X408" s="15" t="s">
        <v>252</v>
      </c>
      <c r="Y408" s="20">
        <v>6</v>
      </c>
      <c r="Z408" s="15" t="s">
        <v>255</v>
      </c>
      <c r="AA408" s="15" t="s">
        <v>85</v>
      </c>
      <c r="AB408" s="15" t="s">
        <v>256</v>
      </c>
      <c r="AC408" s="20" t="s">
        <v>68</v>
      </c>
      <c r="AD408" s="9" t="str">
        <f>IF(OR(Form_Responses34[[#This Row],[Total_monthly_fuel_expense 
]]&gt;10040,Form_Responses34[[#This Row],[Total_monthly_fuel_expense 
]]&lt;-4760),"Outlier","Normal")</f>
        <v>Normal</v>
      </c>
    </row>
    <row r="409" spans="1:30" x14ac:dyDescent="0.2">
      <c r="A409" s="20">
        <v>46</v>
      </c>
      <c r="B409" s="15" t="s">
        <v>42</v>
      </c>
      <c r="C409" s="12" t="s">
        <v>1888</v>
      </c>
      <c r="D409" s="20">
        <v>5</v>
      </c>
      <c r="E409" s="20">
        <v>1</v>
      </c>
      <c r="F409" s="15" t="s">
        <v>46</v>
      </c>
      <c r="G409" s="15" t="s">
        <v>47</v>
      </c>
      <c r="K409" s="20">
        <v>13</v>
      </c>
      <c r="L409" s="20">
        <v>4</v>
      </c>
      <c r="M409" s="20">
        <v>3</v>
      </c>
      <c r="N409" s="21"/>
      <c r="O409" s="21"/>
      <c r="P409" s="21"/>
      <c r="Q409" s="21"/>
      <c r="R409" s="21"/>
      <c r="S409" s="21"/>
      <c r="T409" s="21"/>
      <c r="U409" s="21"/>
      <c r="V409" s="21"/>
      <c r="W409" s="20">
        <v>390</v>
      </c>
      <c r="X409" s="15" t="s">
        <v>252</v>
      </c>
      <c r="Y409" s="20">
        <v>2</v>
      </c>
      <c r="Z409" s="15" t="s">
        <v>344</v>
      </c>
      <c r="AA409" s="15" t="s">
        <v>85</v>
      </c>
      <c r="AB409" s="15" t="s">
        <v>335</v>
      </c>
      <c r="AC409" s="20" t="s">
        <v>68</v>
      </c>
      <c r="AD409" s="9" t="str">
        <f>IF(OR(Form_Responses34[[#This Row],[Total_monthly_fuel_expense 
]]&gt;10040,Form_Responses34[[#This Row],[Total_monthly_fuel_expense 
]]&lt;-4760),"Outlier","Normal")</f>
        <v>Normal</v>
      </c>
    </row>
    <row r="410" spans="1:30" x14ac:dyDescent="0.2">
      <c r="A410" s="20">
        <v>27</v>
      </c>
      <c r="B410" s="15" t="s">
        <v>73</v>
      </c>
      <c r="C410" s="12" t="s">
        <v>1888</v>
      </c>
      <c r="D410" s="20">
        <v>5</v>
      </c>
      <c r="E410" s="20">
        <v>1</v>
      </c>
      <c r="F410" s="15" t="s">
        <v>46</v>
      </c>
      <c r="G410" s="15" t="s">
        <v>47</v>
      </c>
      <c r="K410" s="20">
        <v>2</v>
      </c>
      <c r="L410" s="20">
        <v>14</v>
      </c>
      <c r="M410" s="20">
        <v>24</v>
      </c>
      <c r="N410" s="21"/>
      <c r="O410" s="21"/>
      <c r="P410" s="21"/>
      <c r="Q410" s="21"/>
      <c r="R410" s="21"/>
      <c r="S410" s="21"/>
      <c r="T410" s="21"/>
      <c r="U410" s="21"/>
      <c r="V410" s="21"/>
      <c r="W410" s="20">
        <v>1820</v>
      </c>
      <c r="X410" s="15" t="s">
        <v>252</v>
      </c>
      <c r="Y410" s="20">
        <v>12</v>
      </c>
      <c r="Z410" s="15" t="s">
        <v>255</v>
      </c>
      <c r="AA410" s="15" t="s">
        <v>85</v>
      </c>
      <c r="AB410" s="15" t="s">
        <v>335</v>
      </c>
      <c r="AC410" s="20" t="s">
        <v>68</v>
      </c>
      <c r="AD410" s="9" t="str">
        <f>IF(OR(Form_Responses34[[#This Row],[Total_monthly_fuel_expense 
]]&gt;10040,Form_Responses34[[#This Row],[Total_monthly_fuel_expense 
]]&lt;-4760),"Outlier","Normal")</f>
        <v>Normal</v>
      </c>
    </row>
    <row r="411" spans="1:30" x14ac:dyDescent="0.2">
      <c r="A411" s="20">
        <v>57</v>
      </c>
      <c r="B411" s="15" t="s">
        <v>42</v>
      </c>
      <c r="C411" s="12" t="s">
        <v>1888</v>
      </c>
      <c r="D411" s="20">
        <v>5</v>
      </c>
      <c r="E411" s="20">
        <v>1</v>
      </c>
      <c r="F411" s="15" t="s">
        <v>100</v>
      </c>
      <c r="H411" s="15" t="s">
        <v>47</v>
      </c>
      <c r="K411" s="21"/>
      <c r="L411" s="21"/>
      <c r="M411" s="21"/>
      <c r="N411" s="20">
        <v>10</v>
      </c>
      <c r="O411" s="20">
        <v>3</v>
      </c>
      <c r="P411" s="20">
        <v>2</v>
      </c>
      <c r="Q411" s="21"/>
      <c r="R411" s="21"/>
      <c r="S411" s="21"/>
      <c r="T411" s="21"/>
      <c r="U411" s="21"/>
      <c r="V411" s="21"/>
      <c r="W411" s="20">
        <v>260</v>
      </c>
      <c r="X411" s="15" t="s">
        <v>159</v>
      </c>
      <c r="Y411" s="20">
        <v>2</v>
      </c>
      <c r="Z411" s="15" t="s">
        <v>344</v>
      </c>
      <c r="AA411" s="15" t="s">
        <v>85</v>
      </c>
      <c r="AB411" s="15" t="s">
        <v>256</v>
      </c>
      <c r="AC411" s="20" t="s">
        <v>68</v>
      </c>
      <c r="AD411" s="9" t="str">
        <f>IF(OR(Form_Responses34[[#This Row],[Total_monthly_fuel_expense 
]]&gt;10040,Form_Responses34[[#This Row],[Total_monthly_fuel_expense 
]]&lt;-4760),"Outlier","Normal")</f>
        <v>Normal</v>
      </c>
    </row>
    <row r="412" spans="1:30" x14ac:dyDescent="0.2">
      <c r="A412" s="20">
        <v>37</v>
      </c>
      <c r="B412" s="15" t="s">
        <v>73</v>
      </c>
      <c r="C412" s="12" t="s">
        <v>1890</v>
      </c>
      <c r="D412" s="20">
        <v>4</v>
      </c>
      <c r="E412" s="20">
        <v>2</v>
      </c>
      <c r="F412" s="15" t="s">
        <v>246</v>
      </c>
      <c r="G412" s="15" t="s">
        <v>47</v>
      </c>
      <c r="I412" s="15" t="s">
        <v>47</v>
      </c>
      <c r="K412" s="20">
        <v>6</v>
      </c>
      <c r="L412" s="20">
        <v>8</v>
      </c>
      <c r="M412" s="20">
        <v>5</v>
      </c>
      <c r="N412" s="21"/>
      <c r="O412" s="21"/>
      <c r="P412" s="21"/>
      <c r="Q412" s="20">
        <v>5</v>
      </c>
      <c r="R412" s="20">
        <v>24</v>
      </c>
      <c r="S412" s="20">
        <v>22</v>
      </c>
      <c r="T412" s="21"/>
      <c r="U412" s="21"/>
      <c r="V412" s="21"/>
      <c r="W412" s="20">
        <v>3900</v>
      </c>
      <c r="X412" s="15" t="s">
        <v>159</v>
      </c>
      <c r="Y412" s="20">
        <v>12</v>
      </c>
      <c r="Z412" s="15" t="s">
        <v>255</v>
      </c>
      <c r="AA412" s="15" t="s">
        <v>85</v>
      </c>
      <c r="AB412" s="15" t="s">
        <v>256</v>
      </c>
      <c r="AC412" s="20" t="s">
        <v>257</v>
      </c>
      <c r="AD412" s="9" t="str">
        <f>IF(OR(Form_Responses34[[#This Row],[Total_monthly_fuel_expense 
]]&gt;10040,Form_Responses34[[#This Row],[Total_monthly_fuel_expense 
]]&lt;-4760),"Outlier","Normal")</f>
        <v>Normal</v>
      </c>
    </row>
    <row r="413" spans="1:30" x14ac:dyDescent="0.2">
      <c r="A413" s="20">
        <v>41</v>
      </c>
      <c r="B413" s="15" t="s">
        <v>42</v>
      </c>
      <c r="C413" s="12" t="s">
        <v>1888</v>
      </c>
      <c r="D413" s="20">
        <v>5</v>
      </c>
      <c r="E413" s="20">
        <v>1</v>
      </c>
      <c r="F413" s="15" t="s">
        <v>100</v>
      </c>
      <c r="H413" s="15" t="s">
        <v>47</v>
      </c>
      <c r="K413" s="21"/>
      <c r="L413" s="21"/>
      <c r="M413" s="21"/>
      <c r="N413" s="20">
        <v>7</v>
      </c>
      <c r="O413" s="20">
        <v>4</v>
      </c>
      <c r="P413" s="20">
        <v>3</v>
      </c>
      <c r="Q413" s="21"/>
      <c r="R413" s="21"/>
      <c r="S413" s="21"/>
      <c r="T413" s="21"/>
      <c r="U413" s="21"/>
      <c r="V413" s="21"/>
      <c r="W413" s="20">
        <v>390</v>
      </c>
      <c r="X413" s="15" t="s">
        <v>252</v>
      </c>
      <c r="Y413" s="20">
        <v>2</v>
      </c>
      <c r="Z413" s="15" t="s">
        <v>344</v>
      </c>
      <c r="AA413" s="15" t="s">
        <v>277</v>
      </c>
      <c r="AB413" s="15" t="s">
        <v>335</v>
      </c>
      <c r="AC413" s="20" t="s">
        <v>68</v>
      </c>
      <c r="AD413" s="9" t="str">
        <f>IF(OR(Form_Responses34[[#This Row],[Total_monthly_fuel_expense 
]]&gt;10040,Form_Responses34[[#This Row],[Total_monthly_fuel_expense 
]]&lt;-4760),"Outlier","Normal")</f>
        <v>Normal</v>
      </c>
    </row>
    <row r="414" spans="1:30" x14ac:dyDescent="0.2">
      <c r="A414" s="20">
        <v>26</v>
      </c>
      <c r="B414" s="15" t="s">
        <v>73</v>
      </c>
      <c r="C414" s="12" t="s">
        <v>182</v>
      </c>
      <c r="D414" s="20">
        <v>4</v>
      </c>
      <c r="E414" s="20">
        <v>1</v>
      </c>
      <c r="F414" s="15" t="s">
        <v>46</v>
      </c>
      <c r="G414" s="15" t="s">
        <v>47</v>
      </c>
      <c r="K414" s="20">
        <v>2</v>
      </c>
      <c r="L414" s="20">
        <v>22</v>
      </c>
      <c r="M414" s="20">
        <v>13</v>
      </c>
      <c r="N414" s="21"/>
      <c r="O414" s="21"/>
      <c r="P414" s="21"/>
      <c r="Q414" s="21"/>
      <c r="R414" s="21"/>
      <c r="S414" s="21"/>
      <c r="T414" s="21"/>
      <c r="U414" s="21"/>
      <c r="V414" s="21"/>
      <c r="W414" s="20">
        <v>1690</v>
      </c>
      <c r="X414" s="15" t="s">
        <v>323</v>
      </c>
      <c r="Y414" s="20">
        <v>11</v>
      </c>
      <c r="Z414" s="15" t="s">
        <v>285</v>
      </c>
      <c r="AA414" s="15" t="s">
        <v>96</v>
      </c>
      <c r="AB414" s="15" t="s">
        <v>256</v>
      </c>
      <c r="AC414" s="20" t="s">
        <v>152</v>
      </c>
      <c r="AD414" s="9" t="str">
        <f>IF(OR(Form_Responses34[[#This Row],[Total_monthly_fuel_expense 
]]&gt;10040,Form_Responses34[[#This Row],[Total_monthly_fuel_expense 
]]&lt;-4760),"Outlier","Normal")</f>
        <v>Normal</v>
      </c>
    </row>
    <row r="415" spans="1:30" x14ac:dyDescent="0.2">
      <c r="A415" s="20">
        <v>50</v>
      </c>
      <c r="B415" s="15" t="s">
        <v>73</v>
      </c>
      <c r="C415" s="12" t="s">
        <v>1889</v>
      </c>
      <c r="D415" s="20">
        <v>6</v>
      </c>
      <c r="E415" s="20">
        <v>2</v>
      </c>
      <c r="F415" s="15" t="s">
        <v>290</v>
      </c>
      <c r="G415" s="15" t="s">
        <v>47</v>
      </c>
      <c r="J415" s="15" t="s">
        <v>291</v>
      </c>
      <c r="K415" s="20">
        <v>12</v>
      </c>
      <c r="L415" s="20">
        <v>5</v>
      </c>
      <c r="M415" s="20">
        <v>4</v>
      </c>
      <c r="N415" s="21"/>
      <c r="O415" s="21"/>
      <c r="P415" s="21"/>
      <c r="Q415" s="21"/>
      <c r="R415" s="21"/>
      <c r="S415" s="21"/>
      <c r="T415" s="20">
        <v>16</v>
      </c>
      <c r="U415" s="20">
        <v>54</v>
      </c>
      <c r="V415" s="20">
        <v>90</v>
      </c>
      <c r="W415" s="20">
        <v>11000</v>
      </c>
      <c r="X415" s="15" t="s">
        <v>159</v>
      </c>
      <c r="Y415" s="20">
        <v>6</v>
      </c>
      <c r="Z415" s="15" t="s">
        <v>296</v>
      </c>
      <c r="AA415" s="15" t="s">
        <v>362</v>
      </c>
      <c r="AB415" s="15" t="s">
        <v>307</v>
      </c>
      <c r="AC415" s="20" t="s">
        <v>68</v>
      </c>
      <c r="AD415" s="9" t="str">
        <f>IF(OR(Form_Responses34[[#This Row],[Total_monthly_fuel_expense 
]]&gt;10040,Form_Responses34[[#This Row],[Total_monthly_fuel_expense 
]]&lt;-4760),"Outlier","Normal")</f>
        <v>Outlier</v>
      </c>
    </row>
    <row r="416" spans="1:30" x14ac:dyDescent="0.2">
      <c r="A416" s="20">
        <v>34</v>
      </c>
      <c r="B416" s="15" t="s">
        <v>42</v>
      </c>
      <c r="C416" s="12" t="s">
        <v>1889</v>
      </c>
      <c r="D416" s="20">
        <v>3</v>
      </c>
      <c r="E416" s="20">
        <v>1</v>
      </c>
      <c r="F416" s="15" t="s">
        <v>100</v>
      </c>
      <c r="H416" s="15" t="s">
        <v>47</v>
      </c>
      <c r="K416" s="21"/>
      <c r="L416" s="21"/>
      <c r="M416" s="21"/>
      <c r="N416" s="20">
        <v>4</v>
      </c>
      <c r="O416" s="20">
        <v>7</v>
      </c>
      <c r="P416" s="20">
        <v>5</v>
      </c>
      <c r="Q416" s="21"/>
      <c r="R416" s="21"/>
      <c r="S416" s="21"/>
      <c r="T416" s="21"/>
      <c r="U416" s="21"/>
      <c r="V416" s="21"/>
      <c r="W416" s="20">
        <v>650</v>
      </c>
      <c r="X416" s="15" t="s">
        <v>159</v>
      </c>
      <c r="Y416" s="20">
        <v>4</v>
      </c>
      <c r="Z416" s="15" t="s">
        <v>255</v>
      </c>
      <c r="AA416" s="15" t="s">
        <v>96</v>
      </c>
      <c r="AB416" s="15" t="s">
        <v>256</v>
      </c>
      <c r="AC416" s="20" t="s">
        <v>257</v>
      </c>
      <c r="AD416" s="9" t="str">
        <f>IF(OR(Form_Responses34[[#This Row],[Total_monthly_fuel_expense 
]]&gt;10040,Form_Responses34[[#This Row],[Total_monthly_fuel_expense 
]]&lt;-4760),"Outlier","Normal")</f>
        <v>Normal</v>
      </c>
    </row>
    <row r="417" spans="1:30" x14ac:dyDescent="0.2">
      <c r="A417" s="20">
        <v>39</v>
      </c>
      <c r="B417" s="15" t="s">
        <v>73</v>
      </c>
      <c r="C417" s="12" t="s">
        <v>1891</v>
      </c>
      <c r="D417" s="20">
        <v>4</v>
      </c>
      <c r="E417" s="20">
        <v>3</v>
      </c>
      <c r="F417" s="15" t="s">
        <v>390</v>
      </c>
      <c r="G417" s="15" t="s">
        <v>47</v>
      </c>
      <c r="H417" s="15" t="s">
        <v>47</v>
      </c>
      <c r="I417" s="15" t="s">
        <v>47</v>
      </c>
      <c r="K417" s="20">
        <v>9</v>
      </c>
      <c r="L417" s="20">
        <v>6</v>
      </c>
      <c r="M417" s="20">
        <v>4</v>
      </c>
      <c r="N417" s="20">
        <v>3</v>
      </c>
      <c r="O417" s="20">
        <v>5</v>
      </c>
      <c r="P417" s="20">
        <v>3</v>
      </c>
      <c r="Q417" s="20">
        <v>6</v>
      </c>
      <c r="R417" s="20">
        <v>26</v>
      </c>
      <c r="S417" s="20">
        <v>24</v>
      </c>
      <c r="T417" s="21"/>
      <c r="U417" s="21"/>
      <c r="V417" s="21"/>
      <c r="W417" s="20">
        <v>4400</v>
      </c>
      <c r="X417" s="15" t="s">
        <v>276</v>
      </c>
      <c r="Y417" s="20">
        <v>12</v>
      </c>
      <c r="Z417" s="15" t="s">
        <v>559</v>
      </c>
      <c r="AA417" s="15" t="s">
        <v>362</v>
      </c>
      <c r="AB417" s="15" t="s">
        <v>307</v>
      </c>
      <c r="AC417" s="20" t="s">
        <v>257</v>
      </c>
      <c r="AD417" s="9" t="str">
        <f>IF(OR(Form_Responses34[[#This Row],[Total_monthly_fuel_expense 
]]&gt;10040,Form_Responses34[[#This Row],[Total_monthly_fuel_expense 
]]&lt;-4760),"Outlier","Normal")</f>
        <v>Normal</v>
      </c>
    </row>
    <row r="418" spans="1:30" x14ac:dyDescent="0.2">
      <c r="A418" s="20">
        <v>48</v>
      </c>
      <c r="B418" s="15" t="s">
        <v>42</v>
      </c>
      <c r="C418" s="12" t="s">
        <v>1888</v>
      </c>
      <c r="D418" s="20">
        <v>6</v>
      </c>
      <c r="E418" s="20">
        <v>1</v>
      </c>
      <c r="F418" s="15" t="s">
        <v>46</v>
      </c>
      <c r="G418" s="15" t="s">
        <v>47</v>
      </c>
      <c r="K418" s="20">
        <v>14</v>
      </c>
      <c r="L418" s="20">
        <v>4</v>
      </c>
      <c r="M418" s="20">
        <v>3</v>
      </c>
      <c r="N418" s="21"/>
      <c r="O418" s="21"/>
      <c r="P418" s="21"/>
      <c r="Q418" s="21"/>
      <c r="R418" s="21"/>
      <c r="S418" s="21"/>
      <c r="T418" s="21"/>
      <c r="U418" s="21"/>
      <c r="V418" s="21"/>
      <c r="W418" s="20">
        <v>390</v>
      </c>
      <c r="X418" s="15" t="s">
        <v>252</v>
      </c>
      <c r="Y418" s="20">
        <v>2</v>
      </c>
      <c r="Z418" s="15" t="s">
        <v>344</v>
      </c>
      <c r="AA418" s="15" t="s">
        <v>277</v>
      </c>
      <c r="AB418" s="15" t="s">
        <v>256</v>
      </c>
      <c r="AC418" s="20" t="s">
        <v>68</v>
      </c>
      <c r="AD418" s="9" t="str">
        <f>IF(OR(Form_Responses34[[#This Row],[Total_monthly_fuel_expense 
]]&gt;10040,Form_Responses34[[#This Row],[Total_monthly_fuel_expense 
]]&lt;-4760),"Outlier","Normal")</f>
        <v>Normal</v>
      </c>
    </row>
    <row r="419" spans="1:30" x14ac:dyDescent="0.2">
      <c r="A419" s="20">
        <v>33</v>
      </c>
      <c r="B419" s="15" t="s">
        <v>73</v>
      </c>
      <c r="C419" s="12" t="s">
        <v>1890</v>
      </c>
      <c r="D419" s="20">
        <v>4</v>
      </c>
      <c r="E419" s="20">
        <v>1</v>
      </c>
      <c r="F419" s="15" t="s">
        <v>431</v>
      </c>
      <c r="I419" s="15" t="s">
        <v>47</v>
      </c>
      <c r="K419" s="21"/>
      <c r="L419" s="21"/>
      <c r="M419" s="21"/>
      <c r="N419" s="21"/>
      <c r="O419" s="21"/>
      <c r="P419" s="21"/>
      <c r="Q419" s="20">
        <v>5</v>
      </c>
      <c r="R419" s="20">
        <v>28</v>
      </c>
      <c r="S419" s="20">
        <v>26</v>
      </c>
      <c r="T419" s="21"/>
      <c r="U419" s="21"/>
      <c r="V419" s="21"/>
      <c r="W419" s="20">
        <v>4000</v>
      </c>
      <c r="X419" s="15" t="s">
        <v>276</v>
      </c>
      <c r="Y419" s="20">
        <v>14</v>
      </c>
      <c r="Z419" s="15" t="s">
        <v>255</v>
      </c>
      <c r="AA419" s="15" t="s">
        <v>85</v>
      </c>
      <c r="AB419" s="15" t="s">
        <v>256</v>
      </c>
      <c r="AC419" s="20" t="s">
        <v>152</v>
      </c>
      <c r="AD419" s="9" t="str">
        <f>IF(OR(Form_Responses34[[#This Row],[Total_monthly_fuel_expense 
]]&gt;10040,Form_Responses34[[#This Row],[Total_monthly_fuel_expense 
]]&lt;-4760),"Outlier","Normal")</f>
        <v>Normal</v>
      </c>
    </row>
    <row r="420" spans="1:30" x14ac:dyDescent="0.2">
      <c r="A420" s="20">
        <v>29</v>
      </c>
      <c r="B420" s="44" t="s">
        <v>42</v>
      </c>
      <c r="C420" s="12" t="s">
        <v>1889</v>
      </c>
      <c r="D420" s="20">
        <v>3</v>
      </c>
      <c r="E420" s="20">
        <v>1</v>
      </c>
      <c r="F420" s="15" t="s">
        <v>46</v>
      </c>
      <c r="G420" s="15" t="s">
        <v>47</v>
      </c>
      <c r="K420" s="20">
        <v>3</v>
      </c>
      <c r="L420" s="20">
        <v>18</v>
      </c>
      <c r="M420" s="20">
        <v>11</v>
      </c>
      <c r="N420" s="21"/>
      <c r="O420" s="21"/>
      <c r="P420" s="21"/>
      <c r="Q420" s="21"/>
      <c r="R420" s="21"/>
      <c r="S420" s="21"/>
      <c r="T420" s="21"/>
      <c r="U420" s="21"/>
      <c r="V420" s="21"/>
      <c r="W420" s="20">
        <v>1430</v>
      </c>
      <c r="X420" s="15" t="s">
        <v>323</v>
      </c>
      <c r="Y420" s="20">
        <v>9</v>
      </c>
      <c r="Z420" s="15" t="s">
        <v>255</v>
      </c>
      <c r="AA420" s="15" t="s">
        <v>96</v>
      </c>
      <c r="AB420" s="15" t="s">
        <v>256</v>
      </c>
      <c r="AC420" s="20" t="s">
        <v>257</v>
      </c>
      <c r="AD420" s="9" t="str">
        <f>IF(OR(Form_Responses34[[#This Row],[Total_monthly_fuel_expense 
]]&gt;10040,Form_Responses34[[#This Row],[Total_monthly_fuel_expense 
]]&lt;-4760),"Outlier","Normal")</f>
        <v>Normal</v>
      </c>
    </row>
    <row r="421" spans="1:30" x14ac:dyDescent="0.2">
      <c r="A421" s="20">
        <v>57</v>
      </c>
      <c r="B421" s="15" t="s">
        <v>73</v>
      </c>
      <c r="C421" s="12" t="s">
        <v>1889</v>
      </c>
      <c r="D421" s="20">
        <v>5</v>
      </c>
      <c r="E421" s="20">
        <v>3</v>
      </c>
      <c r="F421" s="15" t="s">
        <v>46</v>
      </c>
      <c r="G421" s="15" t="s">
        <v>47</v>
      </c>
      <c r="J421" s="15"/>
      <c r="K421" s="21">
        <v>6</v>
      </c>
      <c r="L421" s="20">
        <v>5</v>
      </c>
      <c r="M421" s="20">
        <v>3</v>
      </c>
      <c r="N421" s="21"/>
      <c r="O421" s="20"/>
      <c r="P421" s="20"/>
      <c r="Q421" s="21"/>
      <c r="R421" s="21"/>
      <c r="S421" s="21"/>
      <c r="T421" s="21"/>
      <c r="U421" s="21"/>
      <c r="V421" s="21"/>
      <c r="W421" s="20">
        <v>9400</v>
      </c>
      <c r="X421" s="15" t="s">
        <v>252</v>
      </c>
      <c r="Y421" s="20">
        <v>7</v>
      </c>
      <c r="Z421" s="15" t="s">
        <v>296</v>
      </c>
      <c r="AA421" s="15" t="s">
        <v>362</v>
      </c>
      <c r="AB421" s="15" t="s">
        <v>307</v>
      </c>
      <c r="AC421" s="20" t="s">
        <v>257</v>
      </c>
      <c r="AD421" s="9" t="str">
        <f>IF(OR(Form_Responses34[[#This Row],[Total_monthly_fuel_expense 
]]&gt;10040,Form_Responses34[[#This Row],[Total_monthly_fuel_expense 
]]&lt;-4760),"Outlier","Normal")</f>
        <v>Normal</v>
      </c>
    </row>
    <row r="422" spans="1:30" x14ac:dyDescent="0.2">
      <c r="A422" s="20">
        <v>46</v>
      </c>
      <c r="B422" s="15" t="s">
        <v>73</v>
      </c>
      <c r="C422" s="12" t="s">
        <v>1889</v>
      </c>
      <c r="D422" s="20">
        <v>5</v>
      </c>
      <c r="E422" s="20">
        <v>2</v>
      </c>
      <c r="F422" s="15" t="s">
        <v>290</v>
      </c>
      <c r="G422" s="15" t="s">
        <v>47</v>
      </c>
      <c r="J422" s="15" t="s">
        <v>291</v>
      </c>
      <c r="K422" s="20">
        <v>10</v>
      </c>
      <c r="L422" s="20">
        <v>6</v>
      </c>
      <c r="M422" s="20">
        <v>4</v>
      </c>
      <c r="N422" s="21"/>
      <c r="O422" s="21"/>
      <c r="P422" s="21"/>
      <c r="Q422" s="21"/>
      <c r="R422" s="21"/>
      <c r="S422" s="21"/>
      <c r="T422" s="20">
        <v>15</v>
      </c>
      <c r="U422" s="20">
        <v>40</v>
      </c>
      <c r="V422" s="20">
        <v>70</v>
      </c>
      <c r="W422" s="20">
        <v>8800</v>
      </c>
      <c r="X422" s="15" t="s">
        <v>252</v>
      </c>
      <c r="Y422" s="20">
        <v>5</v>
      </c>
      <c r="Z422" s="15" t="s">
        <v>296</v>
      </c>
      <c r="AA422" s="15" t="s">
        <v>85</v>
      </c>
      <c r="AB422" s="15" t="s">
        <v>256</v>
      </c>
      <c r="AC422" s="20" t="s">
        <v>68</v>
      </c>
      <c r="AD422" s="9" t="str">
        <f>IF(OR(Form_Responses34[[#This Row],[Total_monthly_fuel_expense 
]]&gt;10040,Form_Responses34[[#This Row],[Total_monthly_fuel_expense 
]]&lt;-4760),"Outlier","Normal")</f>
        <v>Normal</v>
      </c>
    </row>
    <row r="423" spans="1:30" x14ac:dyDescent="0.2">
      <c r="A423" s="20">
        <v>24</v>
      </c>
      <c r="B423" s="15" t="s">
        <v>42</v>
      </c>
      <c r="C423" s="12" t="s">
        <v>182</v>
      </c>
      <c r="D423" s="20">
        <v>4</v>
      </c>
      <c r="E423" s="20">
        <v>1</v>
      </c>
      <c r="F423" s="15" t="s">
        <v>100</v>
      </c>
      <c r="H423" s="15" t="s">
        <v>47</v>
      </c>
      <c r="K423" s="21"/>
      <c r="L423" s="21"/>
      <c r="M423" s="21"/>
      <c r="N423" s="20">
        <v>2</v>
      </c>
      <c r="O423" s="20">
        <v>5</v>
      </c>
      <c r="P423" s="20">
        <v>4</v>
      </c>
      <c r="Q423" s="21"/>
      <c r="R423" s="21"/>
      <c r="S423" s="21"/>
      <c r="T423" s="21"/>
      <c r="U423" s="21"/>
      <c r="V423" s="21"/>
      <c r="W423" s="20">
        <v>520</v>
      </c>
      <c r="X423" s="15" t="s">
        <v>323</v>
      </c>
      <c r="Y423" s="20">
        <v>3</v>
      </c>
      <c r="Z423" s="15" t="s">
        <v>285</v>
      </c>
      <c r="AA423" s="15" t="s">
        <v>96</v>
      </c>
      <c r="AB423" s="15" t="s">
        <v>256</v>
      </c>
      <c r="AC423" s="20" t="s">
        <v>152</v>
      </c>
      <c r="AD423" s="9" t="str">
        <f>IF(OR(Form_Responses34[[#This Row],[Total_monthly_fuel_expense 
]]&gt;10040,Form_Responses34[[#This Row],[Total_monthly_fuel_expense 
]]&lt;-4760),"Outlier","Normal")</f>
        <v>Normal</v>
      </c>
    </row>
    <row r="424" spans="1:30" x14ac:dyDescent="0.2">
      <c r="A424" s="20">
        <v>38</v>
      </c>
      <c r="B424" s="15" t="s">
        <v>73</v>
      </c>
      <c r="C424" s="12" t="s">
        <v>1890</v>
      </c>
      <c r="D424" s="20">
        <v>4</v>
      </c>
      <c r="E424" s="20">
        <v>2</v>
      </c>
      <c r="F424" s="15" t="s">
        <v>246</v>
      </c>
      <c r="G424" s="15" t="s">
        <v>47</v>
      </c>
      <c r="I424" s="15" t="s">
        <v>47</v>
      </c>
      <c r="K424" s="20">
        <v>7</v>
      </c>
      <c r="L424" s="20">
        <v>9</v>
      </c>
      <c r="M424" s="20">
        <v>6</v>
      </c>
      <c r="N424" s="21"/>
      <c r="O424" s="21"/>
      <c r="P424" s="21"/>
      <c r="Q424" s="20">
        <v>5</v>
      </c>
      <c r="R424" s="20">
        <v>23</v>
      </c>
      <c r="S424" s="20">
        <v>21</v>
      </c>
      <c r="T424" s="21"/>
      <c r="U424" s="21"/>
      <c r="V424" s="21"/>
      <c r="W424" s="20">
        <v>3700</v>
      </c>
      <c r="X424" s="15" t="s">
        <v>276</v>
      </c>
      <c r="Y424" s="20">
        <v>11</v>
      </c>
      <c r="Z424" s="15" t="s">
        <v>559</v>
      </c>
      <c r="AA424" s="15" t="s">
        <v>362</v>
      </c>
      <c r="AB424" s="15" t="s">
        <v>307</v>
      </c>
      <c r="AC424" s="20" t="s">
        <v>257</v>
      </c>
      <c r="AD424" s="9" t="str">
        <f>IF(OR(Form_Responses34[[#This Row],[Total_monthly_fuel_expense 
]]&gt;10040,Form_Responses34[[#This Row],[Total_monthly_fuel_expense 
]]&lt;-4760),"Outlier","Normal")</f>
        <v>Normal</v>
      </c>
    </row>
    <row r="425" spans="1:30" x14ac:dyDescent="0.2">
      <c r="A425" s="20">
        <v>52</v>
      </c>
      <c r="B425" s="15" t="s">
        <v>73</v>
      </c>
      <c r="C425" s="12" t="s">
        <v>1889</v>
      </c>
      <c r="D425" s="20">
        <v>6</v>
      </c>
      <c r="E425" s="20">
        <v>1</v>
      </c>
      <c r="F425" s="15" t="s">
        <v>988</v>
      </c>
      <c r="J425" s="15" t="s">
        <v>291</v>
      </c>
      <c r="K425" s="21"/>
      <c r="L425" s="21"/>
      <c r="M425" s="21"/>
      <c r="N425" s="21"/>
      <c r="O425" s="21"/>
      <c r="P425" s="21"/>
      <c r="Q425" s="21"/>
      <c r="R425" s="21"/>
      <c r="S425" s="21"/>
      <c r="T425" s="20">
        <v>19</v>
      </c>
      <c r="U425" s="20">
        <v>55</v>
      </c>
      <c r="V425" s="20">
        <v>90</v>
      </c>
      <c r="W425" s="20">
        <v>9200</v>
      </c>
      <c r="X425" s="15" t="s">
        <v>252</v>
      </c>
      <c r="Y425" s="20">
        <v>6</v>
      </c>
      <c r="Z425" s="15" t="s">
        <v>296</v>
      </c>
      <c r="AA425" s="15" t="s">
        <v>362</v>
      </c>
      <c r="AB425" s="15" t="s">
        <v>307</v>
      </c>
      <c r="AC425" s="20" t="s">
        <v>68</v>
      </c>
      <c r="AD425" s="9" t="str">
        <f>IF(OR(Form_Responses34[[#This Row],[Total_monthly_fuel_expense 
]]&gt;10040,Form_Responses34[[#This Row],[Total_monthly_fuel_expense 
]]&lt;-4760),"Outlier","Normal")</f>
        <v>Normal</v>
      </c>
    </row>
    <row r="426" spans="1:30" x14ac:dyDescent="0.2">
      <c r="A426" s="20">
        <v>56</v>
      </c>
      <c r="B426" s="15" t="s">
        <v>73</v>
      </c>
      <c r="C426" s="12" t="s">
        <v>1890</v>
      </c>
      <c r="D426" s="20">
        <v>6</v>
      </c>
      <c r="E426" s="20">
        <v>1</v>
      </c>
      <c r="F426" s="15" t="s">
        <v>46</v>
      </c>
      <c r="G426" s="15" t="s">
        <v>47</v>
      </c>
      <c r="K426" s="20">
        <v>8</v>
      </c>
      <c r="L426" s="20">
        <v>9</v>
      </c>
      <c r="M426" s="20">
        <v>6</v>
      </c>
      <c r="N426" s="21"/>
      <c r="O426" s="21"/>
      <c r="P426" s="21"/>
      <c r="Q426" s="21"/>
      <c r="R426" s="21"/>
      <c r="S426" s="21"/>
      <c r="T426" s="21"/>
      <c r="U426" s="21"/>
      <c r="V426" s="21"/>
      <c r="W426" s="20">
        <v>780</v>
      </c>
      <c r="X426" s="15" t="s">
        <v>276</v>
      </c>
      <c r="Y426" s="20">
        <v>3</v>
      </c>
      <c r="Z426" s="15" t="s">
        <v>296</v>
      </c>
      <c r="AA426" s="15" t="s">
        <v>277</v>
      </c>
      <c r="AB426" s="15" t="s">
        <v>335</v>
      </c>
      <c r="AC426" s="20" t="s">
        <v>257</v>
      </c>
      <c r="AD426" s="9" t="str">
        <f>IF(OR(Form_Responses34[[#This Row],[Total_monthly_fuel_expense 
]]&gt;10040,Form_Responses34[[#This Row],[Total_monthly_fuel_expense 
]]&lt;-4760),"Outlier","Normal")</f>
        <v>Normal</v>
      </c>
    </row>
    <row r="427" spans="1:30" x14ac:dyDescent="0.2">
      <c r="A427" s="20">
        <v>28</v>
      </c>
      <c r="B427" s="15" t="s">
        <v>42</v>
      </c>
      <c r="C427" s="12" t="s">
        <v>1889</v>
      </c>
      <c r="D427" s="20">
        <v>5</v>
      </c>
      <c r="E427" s="20">
        <v>1</v>
      </c>
      <c r="F427" s="15" t="s">
        <v>100</v>
      </c>
      <c r="H427" s="15" t="s">
        <v>47</v>
      </c>
      <c r="K427" s="21"/>
      <c r="L427" s="21"/>
      <c r="M427" s="21"/>
      <c r="N427" s="20">
        <v>2</v>
      </c>
      <c r="O427" s="20">
        <v>10</v>
      </c>
      <c r="P427" s="20">
        <v>7</v>
      </c>
      <c r="Q427" s="21"/>
      <c r="R427" s="21"/>
      <c r="S427" s="21"/>
      <c r="T427" s="21"/>
      <c r="U427" s="21"/>
      <c r="V427" s="21"/>
      <c r="W427" s="20">
        <v>780</v>
      </c>
      <c r="X427" s="15" t="s">
        <v>276</v>
      </c>
      <c r="Y427" s="20">
        <v>4</v>
      </c>
      <c r="Z427" s="15" t="s">
        <v>255</v>
      </c>
      <c r="AA427" s="15" t="s">
        <v>85</v>
      </c>
      <c r="AB427" s="15" t="s">
        <v>256</v>
      </c>
      <c r="AC427" s="20" t="s">
        <v>68</v>
      </c>
      <c r="AD427" s="9" t="str">
        <f>IF(OR(Form_Responses34[[#This Row],[Total_monthly_fuel_expense 
]]&gt;10040,Form_Responses34[[#This Row],[Total_monthly_fuel_expense 
]]&lt;-4760),"Outlier","Normal")</f>
        <v>Normal</v>
      </c>
    </row>
    <row r="428" spans="1:30" x14ac:dyDescent="0.2">
      <c r="A428" s="20">
        <v>23</v>
      </c>
      <c r="B428" s="15" t="s">
        <v>73</v>
      </c>
      <c r="C428" s="12" t="s">
        <v>182</v>
      </c>
      <c r="D428" s="20">
        <v>5</v>
      </c>
      <c r="E428" s="20">
        <v>1</v>
      </c>
      <c r="F428" s="15" t="s">
        <v>46</v>
      </c>
      <c r="G428" s="15" t="s">
        <v>47</v>
      </c>
      <c r="K428" s="20">
        <v>1</v>
      </c>
      <c r="L428" s="20">
        <v>8</v>
      </c>
      <c r="M428" s="20">
        <v>11</v>
      </c>
      <c r="N428" s="21"/>
      <c r="O428" s="21"/>
      <c r="P428" s="21"/>
      <c r="Q428" s="21"/>
      <c r="R428" s="21"/>
      <c r="S428" s="21"/>
      <c r="T428" s="21"/>
      <c r="U428" s="21"/>
      <c r="V428" s="21"/>
      <c r="W428" s="20">
        <v>1180</v>
      </c>
      <c r="X428" s="15" t="s">
        <v>360</v>
      </c>
      <c r="Y428" s="20">
        <v>9</v>
      </c>
      <c r="Z428" s="15" t="s">
        <v>285</v>
      </c>
      <c r="AA428" s="15" t="s">
        <v>362</v>
      </c>
      <c r="AB428" s="15" t="s">
        <v>307</v>
      </c>
      <c r="AC428" s="20" t="s">
        <v>68</v>
      </c>
      <c r="AD428" s="9" t="str">
        <f>IF(OR(Form_Responses34[[#This Row],[Total_monthly_fuel_expense 
]]&gt;10040,Form_Responses34[[#This Row],[Total_monthly_fuel_expense 
]]&lt;-4760),"Outlier","Normal")</f>
        <v>Normal</v>
      </c>
    </row>
    <row r="429" spans="1:30" x14ac:dyDescent="0.2">
      <c r="A429" s="20">
        <v>50</v>
      </c>
      <c r="B429" s="15" t="s">
        <v>73</v>
      </c>
      <c r="C429" s="12" t="s">
        <v>1890</v>
      </c>
      <c r="D429" s="20">
        <v>5</v>
      </c>
      <c r="E429" s="20">
        <v>2</v>
      </c>
      <c r="F429" s="15" t="s">
        <v>246</v>
      </c>
      <c r="G429" s="15" t="s">
        <v>47</v>
      </c>
      <c r="I429" s="15" t="s">
        <v>47</v>
      </c>
      <c r="K429" s="20">
        <v>12</v>
      </c>
      <c r="L429" s="20">
        <v>7</v>
      </c>
      <c r="M429" s="20">
        <v>5</v>
      </c>
      <c r="N429" s="21"/>
      <c r="O429" s="21"/>
      <c r="P429" s="21"/>
      <c r="Q429" s="20">
        <v>10</v>
      </c>
      <c r="R429" s="20">
        <v>26</v>
      </c>
      <c r="S429" s="20">
        <v>23</v>
      </c>
      <c r="T429" s="21"/>
      <c r="U429" s="21"/>
      <c r="V429" s="21"/>
      <c r="W429" s="20">
        <v>3600</v>
      </c>
      <c r="X429" s="15" t="s">
        <v>323</v>
      </c>
      <c r="Y429" s="20">
        <v>13</v>
      </c>
      <c r="Z429" s="15" t="s">
        <v>559</v>
      </c>
      <c r="AA429" s="15" t="s">
        <v>85</v>
      </c>
      <c r="AB429" s="15" t="s">
        <v>256</v>
      </c>
      <c r="AC429" s="20" t="s">
        <v>257</v>
      </c>
      <c r="AD429" s="9" t="str">
        <f>IF(OR(Form_Responses34[[#This Row],[Total_monthly_fuel_expense 
]]&gt;10040,Form_Responses34[[#This Row],[Total_monthly_fuel_expense 
]]&lt;-4760),"Outlier","Normal")</f>
        <v>Normal</v>
      </c>
    </row>
    <row r="430" spans="1:30" x14ac:dyDescent="0.2">
      <c r="A430" s="20">
        <v>35</v>
      </c>
      <c r="B430" s="15" t="s">
        <v>42</v>
      </c>
      <c r="C430" s="12" t="s">
        <v>1888</v>
      </c>
      <c r="D430" s="20">
        <v>5</v>
      </c>
      <c r="E430" s="20">
        <v>1</v>
      </c>
      <c r="F430" s="15" t="s">
        <v>100</v>
      </c>
      <c r="H430" s="15" t="s">
        <v>47</v>
      </c>
      <c r="K430" s="21"/>
      <c r="L430" s="21"/>
      <c r="M430" s="21"/>
      <c r="N430" s="20">
        <v>4</v>
      </c>
      <c r="O430" s="20">
        <v>6</v>
      </c>
      <c r="P430" s="20">
        <v>4</v>
      </c>
      <c r="Q430" s="21"/>
      <c r="R430" s="21"/>
      <c r="S430" s="21"/>
      <c r="T430" s="21"/>
      <c r="U430" s="21"/>
      <c r="V430" s="21"/>
      <c r="W430" s="20">
        <v>520</v>
      </c>
      <c r="X430" s="15" t="s">
        <v>323</v>
      </c>
      <c r="Y430" s="20">
        <v>3</v>
      </c>
      <c r="Z430" s="15" t="s">
        <v>344</v>
      </c>
      <c r="AA430" s="15" t="s">
        <v>85</v>
      </c>
      <c r="AB430" s="15" t="s">
        <v>335</v>
      </c>
      <c r="AC430" s="20" t="s">
        <v>257</v>
      </c>
      <c r="AD430" s="9" t="str">
        <f>IF(OR(Form_Responses34[[#This Row],[Total_monthly_fuel_expense 
]]&gt;10040,Form_Responses34[[#This Row],[Total_monthly_fuel_expense 
]]&lt;-4760),"Outlier","Normal")</f>
        <v>Normal</v>
      </c>
    </row>
    <row r="431" spans="1:30" x14ac:dyDescent="0.2">
      <c r="A431" s="20">
        <v>50</v>
      </c>
      <c r="B431" s="15" t="s">
        <v>73</v>
      </c>
      <c r="C431" s="12" t="s">
        <v>1890</v>
      </c>
      <c r="D431" s="20">
        <v>5</v>
      </c>
      <c r="E431" s="20">
        <v>1</v>
      </c>
      <c r="F431" s="15" t="s">
        <v>46</v>
      </c>
      <c r="G431" s="15" t="s">
        <v>47</v>
      </c>
      <c r="K431" s="20">
        <v>3</v>
      </c>
      <c r="L431" s="20">
        <v>25</v>
      </c>
      <c r="M431" s="20">
        <v>16</v>
      </c>
      <c r="N431" s="21"/>
      <c r="O431" s="21"/>
      <c r="P431" s="21"/>
      <c r="Q431" s="21"/>
      <c r="R431" s="21"/>
      <c r="S431" s="21"/>
      <c r="T431" s="21"/>
      <c r="U431" s="21"/>
      <c r="V431" s="21"/>
      <c r="W431" s="20">
        <v>2080</v>
      </c>
      <c r="X431" s="15" t="s">
        <v>252</v>
      </c>
      <c r="Y431" s="20">
        <v>12</v>
      </c>
      <c r="Z431" s="15" t="s">
        <v>255</v>
      </c>
      <c r="AA431" s="15" t="s">
        <v>362</v>
      </c>
      <c r="AB431" s="15" t="s">
        <v>307</v>
      </c>
      <c r="AC431" s="20" t="s">
        <v>68</v>
      </c>
      <c r="AD431" s="9" t="str">
        <f>IF(OR(Form_Responses34[[#This Row],[Total_monthly_fuel_expense 
]]&gt;10040,Form_Responses34[[#This Row],[Total_monthly_fuel_expense 
]]&lt;-4760),"Outlier","Normal")</f>
        <v>Normal</v>
      </c>
    </row>
    <row r="432" spans="1:30" x14ac:dyDescent="0.2">
      <c r="A432" s="20">
        <v>43</v>
      </c>
      <c r="B432" s="15" t="s">
        <v>42</v>
      </c>
      <c r="C432" s="12" t="s">
        <v>1889</v>
      </c>
      <c r="D432" s="20">
        <v>5</v>
      </c>
      <c r="E432" s="20">
        <v>1</v>
      </c>
      <c r="F432" s="15" t="s">
        <v>46</v>
      </c>
      <c r="G432" s="15" t="s">
        <v>47</v>
      </c>
      <c r="K432" s="20">
        <v>14</v>
      </c>
      <c r="L432" s="20">
        <v>5</v>
      </c>
      <c r="M432" s="20">
        <v>3</v>
      </c>
      <c r="N432" s="21"/>
      <c r="O432" s="21"/>
      <c r="P432" s="21"/>
      <c r="Q432" s="21"/>
      <c r="R432" s="21"/>
      <c r="S432" s="21"/>
      <c r="T432" s="21"/>
      <c r="U432" s="21"/>
      <c r="V432" s="21"/>
      <c r="W432" s="20">
        <v>390</v>
      </c>
      <c r="X432" s="15" t="s">
        <v>159</v>
      </c>
      <c r="Y432" s="20">
        <v>4</v>
      </c>
      <c r="Z432" s="15" t="s">
        <v>296</v>
      </c>
      <c r="AA432" s="15" t="s">
        <v>362</v>
      </c>
      <c r="AB432" s="15" t="s">
        <v>307</v>
      </c>
      <c r="AC432" s="20" t="s">
        <v>257</v>
      </c>
      <c r="AD432" s="9" t="str">
        <f>IF(OR(Form_Responses34[[#This Row],[Total_monthly_fuel_expense 
]]&gt;10040,Form_Responses34[[#This Row],[Total_monthly_fuel_expense 
]]&lt;-4760),"Outlier","Normal")</f>
        <v>Normal</v>
      </c>
    </row>
    <row r="433" spans="1:30" x14ac:dyDescent="0.2">
      <c r="A433" s="20">
        <v>38</v>
      </c>
      <c r="B433" s="15" t="s">
        <v>73</v>
      </c>
      <c r="C433" s="12" t="s">
        <v>1889</v>
      </c>
      <c r="D433" s="20">
        <v>6</v>
      </c>
      <c r="E433" s="20">
        <v>1</v>
      </c>
      <c r="F433" s="15" t="s">
        <v>431</v>
      </c>
      <c r="I433" s="15" t="s">
        <v>47</v>
      </c>
      <c r="K433" s="21"/>
      <c r="L433" s="21"/>
      <c r="M433" s="21"/>
      <c r="N433" s="21"/>
      <c r="O433" s="21"/>
      <c r="P433" s="21"/>
      <c r="Q433" s="20">
        <v>5</v>
      </c>
      <c r="R433" s="20">
        <v>30</v>
      </c>
      <c r="S433" s="20">
        <v>27</v>
      </c>
      <c r="T433" s="21"/>
      <c r="U433" s="21"/>
      <c r="V433" s="21"/>
      <c r="W433" s="20">
        <v>4350</v>
      </c>
      <c r="X433" s="15" t="s">
        <v>276</v>
      </c>
      <c r="Y433" s="20">
        <v>15</v>
      </c>
      <c r="Z433" s="15" t="s">
        <v>255</v>
      </c>
      <c r="AA433" s="15" t="s">
        <v>362</v>
      </c>
      <c r="AB433" s="15" t="s">
        <v>307</v>
      </c>
      <c r="AC433" s="20" t="s">
        <v>68</v>
      </c>
      <c r="AD433" s="9" t="str">
        <f>IF(OR(Form_Responses34[[#This Row],[Total_monthly_fuel_expense 
]]&gt;10040,Form_Responses34[[#This Row],[Total_monthly_fuel_expense 
]]&lt;-4760),"Outlier","Normal")</f>
        <v>Normal</v>
      </c>
    </row>
    <row r="434" spans="1:30" x14ac:dyDescent="0.2">
      <c r="A434" s="20">
        <v>54</v>
      </c>
      <c r="B434" s="15" t="s">
        <v>73</v>
      </c>
      <c r="C434" s="12" t="s">
        <v>182</v>
      </c>
      <c r="D434" s="20">
        <v>5</v>
      </c>
      <c r="E434" s="20">
        <v>1</v>
      </c>
      <c r="F434" s="15" t="s">
        <v>46</v>
      </c>
      <c r="G434" s="15" t="s">
        <v>47</v>
      </c>
      <c r="K434" s="20">
        <v>16</v>
      </c>
      <c r="L434" s="20">
        <v>6</v>
      </c>
      <c r="M434" s="20">
        <v>5</v>
      </c>
      <c r="N434" s="21"/>
      <c r="O434" s="21"/>
      <c r="P434" s="21"/>
      <c r="Q434" s="21"/>
      <c r="R434" s="21"/>
      <c r="S434" s="21"/>
      <c r="T434" s="21"/>
      <c r="U434" s="21"/>
      <c r="V434" s="21"/>
      <c r="W434" s="20">
        <v>520</v>
      </c>
      <c r="X434" s="15" t="s">
        <v>252</v>
      </c>
      <c r="Y434" s="20">
        <v>3</v>
      </c>
      <c r="Z434" s="15" t="s">
        <v>724</v>
      </c>
      <c r="AA434" s="15" t="s">
        <v>85</v>
      </c>
      <c r="AB434" s="15" t="s">
        <v>335</v>
      </c>
      <c r="AC434" s="20" t="s">
        <v>257</v>
      </c>
      <c r="AD434" s="9" t="str">
        <f>IF(OR(Form_Responses34[[#This Row],[Total_monthly_fuel_expense 
]]&gt;10040,Form_Responses34[[#This Row],[Total_monthly_fuel_expense 
]]&lt;-4760),"Outlier","Normal")</f>
        <v>Normal</v>
      </c>
    </row>
    <row r="435" spans="1:30" x14ac:dyDescent="0.2">
      <c r="A435" s="20">
        <v>27</v>
      </c>
      <c r="B435" s="15" t="s">
        <v>73</v>
      </c>
      <c r="C435" s="12" t="s">
        <v>1889</v>
      </c>
      <c r="D435" s="20">
        <v>5</v>
      </c>
      <c r="E435" s="20">
        <v>1</v>
      </c>
      <c r="F435" s="15" t="s">
        <v>46</v>
      </c>
      <c r="G435" s="15" t="s">
        <v>47</v>
      </c>
      <c r="K435" s="20">
        <v>2</v>
      </c>
      <c r="L435" s="20">
        <v>18</v>
      </c>
      <c r="M435" s="20">
        <v>11</v>
      </c>
      <c r="N435" s="21"/>
      <c r="O435" s="21"/>
      <c r="P435" s="21"/>
      <c r="Q435" s="21"/>
      <c r="R435" s="21"/>
      <c r="S435" s="21"/>
      <c r="T435" s="21"/>
      <c r="U435" s="21"/>
      <c r="V435" s="21"/>
      <c r="W435" s="20">
        <v>11430</v>
      </c>
      <c r="X435" s="15" t="s">
        <v>159</v>
      </c>
      <c r="Y435" s="20">
        <v>9</v>
      </c>
      <c r="Z435" s="15" t="s">
        <v>559</v>
      </c>
      <c r="AA435" s="15" t="s">
        <v>85</v>
      </c>
      <c r="AB435" s="15" t="s">
        <v>256</v>
      </c>
      <c r="AC435" s="20" t="s">
        <v>257</v>
      </c>
      <c r="AD435" s="9" t="str">
        <f>IF(OR(Form_Responses34[[#This Row],[Total_monthly_fuel_expense 
]]&gt;10040,Form_Responses34[[#This Row],[Total_monthly_fuel_expense 
]]&lt;-4760),"Outlier","Normal")</f>
        <v>Outlier</v>
      </c>
    </row>
    <row r="436" spans="1:30" x14ac:dyDescent="0.2">
      <c r="A436" s="20">
        <v>37</v>
      </c>
      <c r="B436" s="15" t="s">
        <v>73</v>
      </c>
      <c r="C436" s="12" t="s">
        <v>1889</v>
      </c>
      <c r="D436" s="20">
        <v>5</v>
      </c>
      <c r="E436" s="20">
        <v>1</v>
      </c>
      <c r="F436" s="15" t="s">
        <v>46</v>
      </c>
      <c r="G436" s="15" t="s">
        <v>47</v>
      </c>
      <c r="K436" s="20">
        <v>6</v>
      </c>
      <c r="L436" s="20">
        <v>12</v>
      </c>
      <c r="M436" s="20">
        <v>8</v>
      </c>
      <c r="N436" s="21"/>
      <c r="O436" s="21"/>
      <c r="P436" s="21"/>
      <c r="Q436" s="21"/>
      <c r="R436" s="21"/>
      <c r="S436" s="21"/>
      <c r="T436" s="21"/>
      <c r="U436" s="21"/>
      <c r="V436" s="21"/>
      <c r="W436" s="20">
        <v>900</v>
      </c>
      <c r="X436" s="15" t="s">
        <v>252</v>
      </c>
      <c r="Y436" s="20">
        <v>6</v>
      </c>
      <c r="Z436" s="15" t="s">
        <v>296</v>
      </c>
      <c r="AA436" s="15" t="s">
        <v>85</v>
      </c>
      <c r="AB436" s="15" t="s">
        <v>256</v>
      </c>
      <c r="AC436" s="20" t="s">
        <v>68</v>
      </c>
      <c r="AD436" s="9" t="str">
        <f>IF(OR(Form_Responses34[[#This Row],[Total_monthly_fuel_expense 
]]&gt;10040,Form_Responses34[[#This Row],[Total_monthly_fuel_expense 
]]&lt;-4760),"Outlier","Normal")</f>
        <v>Normal</v>
      </c>
    </row>
    <row r="437" spans="1:30" x14ac:dyDescent="0.2">
      <c r="A437" s="20">
        <v>39</v>
      </c>
      <c r="B437" s="15" t="s">
        <v>73</v>
      </c>
      <c r="C437" s="12" t="s">
        <v>1889</v>
      </c>
      <c r="D437" s="20">
        <v>4</v>
      </c>
      <c r="E437" s="20">
        <v>1</v>
      </c>
      <c r="F437" s="15" t="s">
        <v>100</v>
      </c>
      <c r="H437" s="15" t="s">
        <v>47</v>
      </c>
      <c r="K437" s="21"/>
      <c r="L437" s="21"/>
      <c r="M437" s="21"/>
      <c r="N437" s="20">
        <v>3</v>
      </c>
      <c r="O437" s="20">
        <v>11</v>
      </c>
      <c r="P437" s="20">
        <v>7</v>
      </c>
      <c r="Q437" s="21"/>
      <c r="R437" s="21"/>
      <c r="S437" s="21"/>
      <c r="T437" s="21"/>
      <c r="U437" s="21"/>
      <c r="V437" s="21"/>
      <c r="W437" s="20">
        <v>910</v>
      </c>
      <c r="X437" s="15" t="s">
        <v>159</v>
      </c>
      <c r="Y437" s="20">
        <v>5</v>
      </c>
      <c r="Z437" s="15" t="s">
        <v>255</v>
      </c>
      <c r="AA437" s="15" t="s">
        <v>96</v>
      </c>
      <c r="AB437" s="15" t="s">
        <v>335</v>
      </c>
      <c r="AC437" s="20" t="s">
        <v>68</v>
      </c>
      <c r="AD437" s="9" t="str">
        <f>IF(OR(Form_Responses34[[#This Row],[Total_monthly_fuel_expense 
]]&gt;10040,Form_Responses34[[#This Row],[Total_monthly_fuel_expense 
]]&lt;-4760),"Outlier","Normal")</f>
        <v>Normal</v>
      </c>
    </row>
    <row r="438" spans="1:30" x14ac:dyDescent="0.2">
      <c r="A438" s="20">
        <v>24</v>
      </c>
      <c r="B438" s="15" t="s">
        <v>73</v>
      </c>
      <c r="C438" s="12" t="s">
        <v>182</v>
      </c>
      <c r="D438" s="20">
        <v>5</v>
      </c>
      <c r="E438" s="20">
        <v>1</v>
      </c>
      <c r="F438" s="15" t="s">
        <v>46</v>
      </c>
      <c r="G438" s="15" t="s">
        <v>47</v>
      </c>
      <c r="K438" s="20">
        <v>2</v>
      </c>
      <c r="L438" s="20">
        <v>20</v>
      </c>
      <c r="M438" s="20">
        <v>12</v>
      </c>
      <c r="N438" s="21"/>
      <c r="O438" s="21"/>
      <c r="P438" s="21"/>
      <c r="Q438" s="21"/>
      <c r="R438" s="21"/>
      <c r="S438" s="21"/>
      <c r="T438" s="21"/>
      <c r="U438" s="21"/>
      <c r="V438" s="21"/>
      <c r="W438" s="20">
        <v>1560</v>
      </c>
      <c r="X438" s="15" t="s">
        <v>360</v>
      </c>
      <c r="Y438" s="20">
        <v>10</v>
      </c>
      <c r="Z438" s="15" t="s">
        <v>285</v>
      </c>
      <c r="AA438" s="15" t="s">
        <v>85</v>
      </c>
      <c r="AB438" s="15" t="s">
        <v>256</v>
      </c>
      <c r="AC438" s="20" t="s">
        <v>257</v>
      </c>
      <c r="AD438" s="9" t="str">
        <f>IF(OR(Form_Responses34[[#This Row],[Total_monthly_fuel_expense 
]]&gt;10040,Form_Responses34[[#This Row],[Total_monthly_fuel_expense 
]]&lt;-4760),"Outlier","Normal")</f>
        <v>Normal</v>
      </c>
    </row>
    <row r="439" spans="1:30" x14ac:dyDescent="0.2">
      <c r="A439" s="20">
        <v>56</v>
      </c>
      <c r="B439" s="15" t="s">
        <v>73</v>
      </c>
      <c r="C439" s="12" t="s">
        <v>1890</v>
      </c>
      <c r="D439" s="20">
        <v>5</v>
      </c>
      <c r="E439" s="20">
        <v>2</v>
      </c>
      <c r="F439" s="15" t="s">
        <v>246</v>
      </c>
      <c r="G439" s="15" t="s">
        <v>47</v>
      </c>
      <c r="I439" s="15" t="s">
        <v>47</v>
      </c>
      <c r="K439" s="20">
        <v>10</v>
      </c>
      <c r="L439" s="20">
        <v>8</v>
      </c>
      <c r="M439" s="20">
        <v>6</v>
      </c>
      <c r="N439" s="21"/>
      <c r="O439" s="21"/>
      <c r="P439" s="21"/>
      <c r="Q439" s="20">
        <v>7</v>
      </c>
      <c r="R439" s="20">
        <v>30</v>
      </c>
      <c r="S439" s="20">
        <v>26</v>
      </c>
      <c r="T439" s="21"/>
      <c r="U439" s="21"/>
      <c r="V439" s="21"/>
      <c r="W439" s="20">
        <v>4160</v>
      </c>
      <c r="X439" s="15" t="s">
        <v>252</v>
      </c>
      <c r="Y439" s="20">
        <v>15</v>
      </c>
      <c r="Z439" s="15" t="s">
        <v>559</v>
      </c>
      <c r="AA439" s="15" t="s">
        <v>85</v>
      </c>
      <c r="AB439" s="15" t="s">
        <v>256</v>
      </c>
      <c r="AC439" s="20" t="s">
        <v>257</v>
      </c>
      <c r="AD439" s="9" t="str">
        <f>IF(OR(Form_Responses34[[#This Row],[Total_monthly_fuel_expense 
]]&gt;10040,Form_Responses34[[#This Row],[Total_monthly_fuel_expense 
]]&lt;-4760),"Outlier","Normal")</f>
        <v>Normal</v>
      </c>
    </row>
    <row r="440" spans="1:30" x14ac:dyDescent="0.2">
      <c r="A440" s="20">
        <v>34</v>
      </c>
      <c r="B440" s="15" t="s">
        <v>42</v>
      </c>
      <c r="C440" s="12" t="s">
        <v>182</v>
      </c>
      <c r="D440" s="20">
        <v>5</v>
      </c>
      <c r="E440" s="20">
        <v>1</v>
      </c>
      <c r="F440" s="15" t="s">
        <v>100</v>
      </c>
      <c r="H440" s="15" t="s">
        <v>47</v>
      </c>
      <c r="K440" s="21"/>
      <c r="L440" s="21"/>
      <c r="M440" s="21"/>
      <c r="N440" s="20">
        <v>5</v>
      </c>
      <c r="O440" s="20">
        <v>6</v>
      </c>
      <c r="P440" s="20">
        <v>4</v>
      </c>
      <c r="Q440" s="21"/>
      <c r="R440" s="21"/>
      <c r="S440" s="21"/>
      <c r="T440" s="21"/>
      <c r="U440" s="21"/>
      <c r="V440" s="21"/>
      <c r="W440" s="20">
        <v>520</v>
      </c>
      <c r="X440" s="15" t="s">
        <v>323</v>
      </c>
      <c r="Y440" s="20">
        <v>3</v>
      </c>
      <c r="Z440" s="15" t="s">
        <v>306</v>
      </c>
      <c r="AA440" s="15" t="s">
        <v>85</v>
      </c>
      <c r="AB440" s="15" t="s">
        <v>335</v>
      </c>
      <c r="AC440" s="20" t="s">
        <v>68</v>
      </c>
      <c r="AD440" s="9" t="str">
        <f>IF(OR(Form_Responses34[[#This Row],[Total_monthly_fuel_expense 
]]&gt;10040,Form_Responses34[[#This Row],[Total_monthly_fuel_expense 
]]&lt;-4760),"Outlier","Normal")</f>
        <v>Normal</v>
      </c>
    </row>
    <row r="441" spans="1:30" x14ac:dyDescent="0.2">
      <c r="A441" s="20">
        <v>28</v>
      </c>
      <c r="B441" s="15" t="s">
        <v>73</v>
      </c>
      <c r="C441" s="12" t="s">
        <v>1889</v>
      </c>
      <c r="D441" s="20">
        <v>5</v>
      </c>
      <c r="E441" s="20">
        <v>1</v>
      </c>
      <c r="F441" s="15" t="s">
        <v>46</v>
      </c>
      <c r="G441" s="15" t="s">
        <v>47</v>
      </c>
      <c r="K441" s="20">
        <v>3</v>
      </c>
      <c r="L441" s="20">
        <v>24</v>
      </c>
      <c r="M441" s="20">
        <v>15</v>
      </c>
      <c r="N441" s="21"/>
      <c r="O441" s="21"/>
      <c r="P441" s="21"/>
      <c r="Q441" s="21"/>
      <c r="R441" s="21"/>
      <c r="S441" s="21"/>
      <c r="T441" s="21"/>
      <c r="U441" s="21"/>
      <c r="V441" s="21"/>
      <c r="W441" s="20">
        <v>1560</v>
      </c>
      <c r="X441" s="15" t="s">
        <v>252</v>
      </c>
      <c r="Y441" s="20">
        <v>12</v>
      </c>
      <c r="Z441" s="15" t="s">
        <v>255</v>
      </c>
      <c r="AA441" s="15" t="s">
        <v>362</v>
      </c>
      <c r="AB441" s="15" t="s">
        <v>307</v>
      </c>
      <c r="AC441" s="20" t="s">
        <v>257</v>
      </c>
      <c r="AD441" s="9" t="str">
        <f>IF(OR(Form_Responses34[[#This Row],[Total_monthly_fuel_expense 
]]&gt;10040,Form_Responses34[[#This Row],[Total_monthly_fuel_expense 
]]&lt;-4760),"Outlier","Normal")</f>
        <v>Normal</v>
      </c>
    </row>
    <row r="442" spans="1:30" x14ac:dyDescent="0.2">
      <c r="A442" s="20">
        <v>42</v>
      </c>
      <c r="B442" s="15" t="s">
        <v>42</v>
      </c>
      <c r="C442" s="12" t="s">
        <v>182</v>
      </c>
      <c r="D442" s="20">
        <v>5</v>
      </c>
      <c r="E442" s="20">
        <v>1</v>
      </c>
      <c r="F442" s="15" t="s">
        <v>46</v>
      </c>
      <c r="G442" s="15" t="s">
        <v>47</v>
      </c>
      <c r="K442" s="20">
        <v>14</v>
      </c>
      <c r="L442" s="20">
        <v>5</v>
      </c>
      <c r="M442" s="20">
        <v>3</v>
      </c>
      <c r="N442" s="21"/>
      <c r="O442" s="21"/>
      <c r="P442" s="21"/>
      <c r="Q442" s="21"/>
      <c r="R442" s="21"/>
      <c r="S442" s="21"/>
      <c r="T442" s="21"/>
      <c r="U442" s="21"/>
      <c r="V442" s="21"/>
      <c r="W442" s="20">
        <v>390</v>
      </c>
      <c r="X442" s="15" t="s">
        <v>323</v>
      </c>
      <c r="Y442" s="20">
        <v>2</v>
      </c>
      <c r="Z442" s="15" t="s">
        <v>344</v>
      </c>
      <c r="AA442" s="15" t="s">
        <v>85</v>
      </c>
      <c r="AB442" s="15" t="s">
        <v>335</v>
      </c>
      <c r="AC442" s="20" t="s">
        <v>68</v>
      </c>
      <c r="AD442" s="9" t="str">
        <f>IF(OR(Form_Responses34[[#This Row],[Total_monthly_fuel_expense 
]]&gt;10040,Form_Responses34[[#This Row],[Total_monthly_fuel_expense 
]]&lt;-4760),"Outlier","Normal")</f>
        <v>Normal</v>
      </c>
    </row>
    <row r="443" spans="1:30" x14ac:dyDescent="0.2">
      <c r="A443" s="20">
        <v>36</v>
      </c>
      <c r="B443" s="15" t="s">
        <v>73</v>
      </c>
      <c r="C443" s="12" t="s">
        <v>1889</v>
      </c>
      <c r="D443" s="20">
        <v>4</v>
      </c>
      <c r="E443" s="20">
        <v>1</v>
      </c>
      <c r="F443" s="15" t="s">
        <v>431</v>
      </c>
      <c r="I443" s="15" t="s">
        <v>47</v>
      </c>
      <c r="K443" s="21"/>
      <c r="L443" s="21"/>
      <c r="M443" s="21"/>
      <c r="N443" s="21"/>
      <c r="O443" s="21"/>
      <c r="P443" s="21"/>
      <c r="Q443" s="20">
        <v>4</v>
      </c>
      <c r="R443" s="20">
        <v>32</v>
      </c>
      <c r="S443" s="20">
        <v>28</v>
      </c>
      <c r="T443" s="21"/>
      <c r="U443" s="21"/>
      <c r="V443" s="21"/>
      <c r="W443" s="20">
        <v>4550</v>
      </c>
      <c r="X443" s="15" t="s">
        <v>252</v>
      </c>
      <c r="Y443" s="20">
        <v>16</v>
      </c>
      <c r="Z443" s="15" t="s">
        <v>255</v>
      </c>
      <c r="AA443" s="15" t="s">
        <v>85</v>
      </c>
      <c r="AB443" s="15" t="s">
        <v>256</v>
      </c>
      <c r="AC443" s="20" t="s">
        <v>257</v>
      </c>
      <c r="AD443" s="9" t="str">
        <f>IF(OR(Form_Responses34[[#This Row],[Total_monthly_fuel_expense 
]]&gt;10040,Form_Responses34[[#This Row],[Total_monthly_fuel_expense 
]]&lt;-4760),"Outlier","Normal")</f>
        <v>Normal</v>
      </c>
    </row>
    <row r="444" spans="1:30" x14ac:dyDescent="0.2">
      <c r="A444" s="20">
        <v>51</v>
      </c>
      <c r="B444" s="15" t="s">
        <v>42</v>
      </c>
      <c r="C444" s="12" t="s">
        <v>1889</v>
      </c>
      <c r="D444" s="20">
        <v>4</v>
      </c>
      <c r="E444" s="20">
        <v>1</v>
      </c>
      <c r="F444" s="15" t="s">
        <v>46</v>
      </c>
      <c r="G444" s="15" t="s">
        <v>47</v>
      </c>
      <c r="K444" s="20">
        <v>15</v>
      </c>
      <c r="L444" s="20">
        <v>7</v>
      </c>
      <c r="M444" s="20">
        <v>5</v>
      </c>
      <c r="N444" s="21"/>
      <c r="O444" s="21"/>
      <c r="P444" s="21"/>
      <c r="Q444" s="21"/>
      <c r="R444" s="21"/>
      <c r="S444" s="21"/>
      <c r="T444" s="21"/>
      <c r="U444" s="21"/>
      <c r="V444" s="21"/>
      <c r="W444" s="20">
        <v>650</v>
      </c>
      <c r="X444" s="15" t="s">
        <v>360</v>
      </c>
      <c r="Y444" s="20">
        <v>4</v>
      </c>
      <c r="Z444" s="15" t="s">
        <v>724</v>
      </c>
      <c r="AA444" s="15" t="s">
        <v>96</v>
      </c>
      <c r="AB444" s="15" t="s">
        <v>256</v>
      </c>
      <c r="AC444" s="20" t="s">
        <v>257</v>
      </c>
      <c r="AD444" s="9" t="str">
        <f>IF(OR(Form_Responses34[[#This Row],[Total_monthly_fuel_expense 
]]&gt;10040,Form_Responses34[[#This Row],[Total_monthly_fuel_expense 
]]&lt;-4760),"Outlier","Normal")</f>
        <v>Normal</v>
      </c>
    </row>
    <row r="445" spans="1:30" x14ac:dyDescent="0.2">
      <c r="A445" s="20">
        <v>33</v>
      </c>
      <c r="B445" s="15" t="s">
        <v>73</v>
      </c>
      <c r="C445" s="12" t="s">
        <v>1890</v>
      </c>
      <c r="D445" s="20">
        <v>4</v>
      </c>
      <c r="E445" s="20">
        <v>2</v>
      </c>
      <c r="F445" s="15" t="s">
        <v>61</v>
      </c>
      <c r="G445" s="15" t="s">
        <v>47</v>
      </c>
      <c r="H445" s="15" t="s">
        <v>47</v>
      </c>
      <c r="K445" s="20">
        <v>5</v>
      </c>
      <c r="L445" s="20">
        <v>10</v>
      </c>
      <c r="M445" s="20">
        <v>7</v>
      </c>
      <c r="N445" s="20">
        <v>2</v>
      </c>
      <c r="O445" s="20">
        <v>6</v>
      </c>
      <c r="P445" s="20">
        <v>4</v>
      </c>
      <c r="Q445" s="21"/>
      <c r="R445" s="21"/>
      <c r="S445" s="21"/>
      <c r="T445" s="21"/>
      <c r="U445" s="21"/>
      <c r="V445" s="21"/>
      <c r="W445" s="20">
        <v>1430</v>
      </c>
      <c r="X445" s="15" t="s">
        <v>252</v>
      </c>
      <c r="Y445" s="20">
        <v>6</v>
      </c>
      <c r="Z445" s="15" t="s">
        <v>559</v>
      </c>
      <c r="AA445" s="15" t="s">
        <v>85</v>
      </c>
      <c r="AB445" s="15" t="s">
        <v>256</v>
      </c>
      <c r="AC445" s="20" t="s">
        <v>257</v>
      </c>
      <c r="AD445" s="9" t="str">
        <f>IF(OR(Form_Responses34[[#This Row],[Total_monthly_fuel_expense 
]]&gt;10040,Form_Responses34[[#This Row],[Total_monthly_fuel_expense 
]]&lt;-4760),"Outlier","Normal")</f>
        <v>Normal</v>
      </c>
    </row>
    <row r="446" spans="1:30" x14ac:dyDescent="0.2">
      <c r="A446" s="20">
        <v>39</v>
      </c>
      <c r="B446" s="15" t="s">
        <v>73</v>
      </c>
      <c r="C446" s="12" t="s">
        <v>1889</v>
      </c>
      <c r="D446" s="20">
        <v>5</v>
      </c>
      <c r="E446" s="20">
        <v>1</v>
      </c>
      <c r="F446" s="15" t="s">
        <v>46</v>
      </c>
      <c r="G446" s="15" t="s">
        <v>47</v>
      </c>
      <c r="K446" s="20">
        <v>7</v>
      </c>
      <c r="L446" s="20">
        <v>11</v>
      </c>
      <c r="M446" s="20">
        <v>8</v>
      </c>
      <c r="N446" s="21"/>
      <c r="O446" s="21"/>
      <c r="P446" s="21"/>
      <c r="Q446" s="21"/>
      <c r="R446" s="21"/>
      <c r="S446" s="21"/>
      <c r="T446" s="21"/>
      <c r="U446" s="21"/>
      <c r="V446" s="21"/>
      <c r="W446" s="20">
        <v>1040</v>
      </c>
      <c r="X446" s="15" t="s">
        <v>252</v>
      </c>
      <c r="Y446" s="20">
        <v>6</v>
      </c>
      <c r="Z446" s="15" t="s">
        <v>296</v>
      </c>
      <c r="AA446" s="15" t="s">
        <v>85</v>
      </c>
      <c r="AB446" s="15" t="s">
        <v>256</v>
      </c>
      <c r="AC446" s="20" t="s">
        <v>257</v>
      </c>
      <c r="AD446" s="9" t="str">
        <f>IF(OR(Form_Responses34[[#This Row],[Total_monthly_fuel_expense 
]]&gt;10040,Form_Responses34[[#This Row],[Total_monthly_fuel_expense 
]]&lt;-4760),"Outlier","Normal")</f>
        <v>Normal</v>
      </c>
    </row>
    <row r="447" spans="1:30" x14ac:dyDescent="0.2">
      <c r="A447" s="20">
        <v>27</v>
      </c>
      <c r="B447" s="15" t="s">
        <v>42</v>
      </c>
      <c r="C447" s="12" t="s">
        <v>1889</v>
      </c>
      <c r="D447" s="20">
        <v>3</v>
      </c>
      <c r="E447" s="20">
        <v>1</v>
      </c>
      <c r="F447" s="15" t="s">
        <v>100</v>
      </c>
      <c r="H447" s="15" t="s">
        <v>157</v>
      </c>
      <c r="K447" s="21"/>
      <c r="L447" s="21"/>
      <c r="M447" s="21"/>
      <c r="N447" s="20">
        <v>2</v>
      </c>
      <c r="O447" s="20">
        <v>9</v>
      </c>
      <c r="P447" s="20">
        <v>6</v>
      </c>
      <c r="Q447" s="21"/>
      <c r="R447" s="21"/>
      <c r="S447" s="21"/>
      <c r="T447" s="21"/>
      <c r="U447" s="21"/>
      <c r="V447" s="21"/>
      <c r="W447" s="20">
        <v>780</v>
      </c>
      <c r="X447" s="15" t="s">
        <v>323</v>
      </c>
      <c r="Y447" s="20">
        <v>5</v>
      </c>
      <c r="Z447" s="15" t="s">
        <v>255</v>
      </c>
      <c r="AA447" s="15" t="s">
        <v>96</v>
      </c>
      <c r="AB447" s="15" t="s">
        <v>256</v>
      </c>
      <c r="AC447" s="20" t="s">
        <v>152</v>
      </c>
      <c r="AD447" s="9" t="str">
        <f>IF(OR(Form_Responses34[[#This Row],[Total_monthly_fuel_expense 
]]&gt;10040,Form_Responses34[[#This Row],[Total_monthly_fuel_expense 
]]&lt;-4760),"Outlier","Normal")</f>
        <v>Normal</v>
      </c>
    </row>
    <row r="448" spans="1:30" x14ac:dyDescent="0.2">
      <c r="A448" s="20">
        <v>44</v>
      </c>
      <c r="B448" s="15" t="s">
        <v>73</v>
      </c>
      <c r="C448" s="12" t="s">
        <v>1890</v>
      </c>
      <c r="D448" s="20">
        <v>4</v>
      </c>
      <c r="E448" s="20">
        <v>1</v>
      </c>
      <c r="F448" s="15" t="s">
        <v>988</v>
      </c>
      <c r="J448" s="15" t="s">
        <v>291</v>
      </c>
      <c r="K448" s="21"/>
      <c r="L448" s="21"/>
      <c r="M448" s="21"/>
      <c r="N448" s="21"/>
      <c r="O448" s="21"/>
      <c r="P448" s="21"/>
      <c r="Q448" s="21"/>
      <c r="R448" s="21"/>
      <c r="S448" s="21"/>
      <c r="T448" s="20">
        <v>6</v>
      </c>
      <c r="U448" s="20">
        <v>70</v>
      </c>
      <c r="V448" s="20">
        <v>85</v>
      </c>
      <c r="W448" s="20">
        <v>7200</v>
      </c>
      <c r="X448" s="15" t="s">
        <v>159</v>
      </c>
      <c r="Y448" s="20">
        <v>35</v>
      </c>
      <c r="Z448" s="15" t="s">
        <v>559</v>
      </c>
      <c r="AA448" s="15" t="s">
        <v>85</v>
      </c>
      <c r="AB448" s="15" t="s">
        <v>1324</v>
      </c>
      <c r="AC448" s="20" t="s">
        <v>68</v>
      </c>
      <c r="AD448" s="9" t="str">
        <f>IF(OR(Form_Responses34[[#This Row],[Total_monthly_fuel_expense 
]]&gt;10040,Form_Responses34[[#This Row],[Total_monthly_fuel_expense 
]]&lt;-4760),"Outlier","Normal")</f>
        <v>Normal</v>
      </c>
    </row>
    <row r="449" spans="1:30" x14ac:dyDescent="0.2">
      <c r="A449" s="20">
        <v>24</v>
      </c>
      <c r="B449" s="15" t="s">
        <v>42</v>
      </c>
      <c r="C449" s="12" t="s">
        <v>182</v>
      </c>
      <c r="D449" s="20">
        <v>4</v>
      </c>
      <c r="E449" s="20">
        <v>1</v>
      </c>
      <c r="F449" s="15" t="s">
        <v>46</v>
      </c>
      <c r="G449" s="15" t="s">
        <v>47</v>
      </c>
      <c r="K449" s="20">
        <v>1</v>
      </c>
      <c r="L449" s="20">
        <v>14</v>
      </c>
      <c r="M449" s="20">
        <v>9</v>
      </c>
      <c r="N449" s="21"/>
      <c r="O449" s="21"/>
      <c r="P449" s="21"/>
      <c r="Q449" s="21"/>
      <c r="R449" s="21"/>
      <c r="S449" s="21"/>
      <c r="T449" s="21"/>
      <c r="U449" s="21"/>
      <c r="V449" s="21"/>
      <c r="W449" s="20">
        <v>1170</v>
      </c>
      <c r="X449" s="15" t="s">
        <v>360</v>
      </c>
      <c r="Y449" s="20">
        <v>7</v>
      </c>
      <c r="Z449" s="15" t="s">
        <v>285</v>
      </c>
      <c r="AA449" s="15" t="s">
        <v>96</v>
      </c>
      <c r="AB449" s="15" t="s">
        <v>256</v>
      </c>
      <c r="AC449" s="20" t="s">
        <v>257</v>
      </c>
      <c r="AD449" s="9" t="str">
        <f>IF(OR(Form_Responses34[[#This Row],[Total_monthly_fuel_expense 
]]&gt;10040,Form_Responses34[[#This Row],[Total_monthly_fuel_expense 
]]&lt;-4760),"Outlier","Normal")</f>
        <v>Normal</v>
      </c>
    </row>
    <row r="450" spans="1:30" x14ac:dyDescent="0.2">
      <c r="A450" s="20">
        <v>52</v>
      </c>
      <c r="B450" s="15" t="s">
        <v>73</v>
      </c>
      <c r="C450" s="12" t="s">
        <v>1891</v>
      </c>
      <c r="D450" s="20">
        <v>5</v>
      </c>
      <c r="E450" s="20">
        <v>2</v>
      </c>
      <c r="F450" s="15" t="s">
        <v>246</v>
      </c>
      <c r="G450" s="15" t="s">
        <v>47</v>
      </c>
      <c r="I450" s="15" t="s">
        <v>47</v>
      </c>
      <c r="K450" s="20">
        <v>6</v>
      </c>
      <c r="L450" s="20">
        <v>6</v>
      </c>
      <c r="M450" s="20">
        <v>5</v>
      </c>
      <c r="N450" s="21"/>
      <c r="O450" s="21"/>
      <c r="P450" s="21"/>
      <c r="Q450" s="20">
        <v>8</v>
      </c>
      <c r="R450" s="20">
        <v>22</v>
      </c>
      <c r="S450" s="20">
        <v>20</v>
      </c>
      <c r="T450" s="21"/>
      <c r="U450" s="21"/>
      <c r="V450" s="21"/>
      <c r="W450" s="20">
        <v>3250</v>
      </c>
      <c r="X450" s="15" t="s">
        <v>252</v>
      </c>
      <c r="Y450" s="20">
        <v>11</v>
      </c>
      <c r="Z450" s="15" t="s">
        <v>255</v>
      </c>
      <c r="AA450" s="15" t="s">
        <v>85</v>
      </c>
      <c r="AB450" s="15" t="s">
        <v>256</v>
      </c>
      <c r="AC450" s="20" t="s">
        <v>257</v>
      </c>
      <c r="AD450" s="9" t="str">
        <f>IF(OR(Form_Responses34[[#This Row],[Total_monthly_fuel_expense 
]]&gt;10040,Form_Responses34[[#This Row],[Total_monthly_fuel_expense 
]]&lt;-4760),"Outlier","Normal")</f>
        <v>Normal</v>
      </c>
    </row>
    <row r="451" spans="1:30" x14ac:dyDescent="0.2">
      <c r="A451" s="20">
        <v>30</v>
      </c>
      <c r="B451" s="15" t="s">
        <v>73</v>
      </c>
      <c r="C451" s="12" t="s">
        <v>1889</v>
      </c>
      <c r="D451" s="20">
        <v>3</v>
      </c>
      <c r="E451" s="20">
        <v>1</v>
      </c>
      <c r="F451" s="15" t="s">
        <v>46</v>
      </c>
      <c r="G451" s="15" t="s">
        <v>47</v>
      </c>
      <c r="K451" s="20">
        <v>3</v>
      </c>
      <c r="L451" s="20">
        <v>55</v>
      </c>
      <c r="M451" s="20">
        <v>32</v>
      </c>
      <c r="N451" s="21"/>
      <c r="O451" s="21"/>
      <c r="P451" s="21"/>
      <c r="Q451" s="21"/>
      <c r="R451" s="21"/>
      <c r="S451" s="21"/>
      <c r="T451" s="21"/>
      <c r="U451" s="21"/>
      <c r="V451" s="21"/>
      <c r="W451" s="20">
        <v>4550</v>
      </c>
      <c r="X451" s="15" t="s">
        <v>159</v>
      </c>
      <c r="Y451" s="20">
        <v>25</v>
      </c>
      <c r="Z451" s="15" t="s">
        <v>559</v>
      </c>
      <c r="AA451" s="15" t="s">
        <v>362</v>
      </c>
      <c r="AB451" s="15" t="s">
        <v>307</v>
      </c>
      <c r="AC451" s="20" t="s">
        <v>152</v>
      </c>
      <c r="AD451" s="9" t="str">
        <f>IF(OR(Form_Responses34[[#This Row],[Total_monthly_fuel_expense 
]]&gt;10040,Form_Responses34[[#This Row],[Total_monthly_fuel_expense 
]]&lt;-4760),"Outlier","Normal")</f>
        <v>Normal</v>
      </c>
    </row>
    <row r="452" spans="1:30" x14ac:dyDescent="0.2">
      <c r="A452" s="20">
        <v>36</v>
      </c>
      <c r="B452" s="15" t="s">
        <v>42</v>
      </c>
      <c r="C452" s="12" t="s">
        <v>1888</v>
      </c>
      <c r="D452" s="20">
        <v>4</v>
      </c>
      <c r="E452" s="20">
        <v>1</v>
      </c>
      <c r="F452" s="15" t="s">
        <v>100</v>
      </c>
      <c r="H452" s="15" t="s">
        <v>47</v>
      </c>
      <c r="K452" s="21"/>
      <c r="L452" s="21"/>
      <c r="M452" s="21"/>
      <c r="N452" s="20">
        <v>5</v>
      </c>
      <c r="O452" s="20">
        <v>6</v>
      </c>
      <c r="P452" s="20">
        <v>4</v>
      </c>
      <c r="Q452" s="21"/>
      <c r="R452" s="21"/>
      <c r="S452" s="21"/>
      <c r="T452" s="21"/>
      <c r="U452" s="21"/>
      <c r="V452" s="21"/>
      <c r="W452" s="20">
        <v>520</v>
      </c>
      <c r="X452" s="15" t="s">
        <v>252</v>
      </c>
      <c r="Y452" s="20">
        <v>3</v>
      </c>
      <c r="Z452" s="15" t="s">
        <v>344</v>
      </c>
      <c r="AA452" s="15" t="s">
        <v>277</v>
      </c>
      <c r="AB452" s="15" t="s">
        <v>335</v>
      </c>
      <c r="AC452" s="20" t="s">
        <v>68</v>
      </c>
      <c r="AD452" s="9" t="str">
        <f>IF(OR(Form_Responses34[[#This Row],[Total_monthly_fuel_expense 
]]&gt;10040,Form_Responses34[[#This Row],[Total_monthly_fuel_expense 
]]&lt;-4760),"Outlier","Normal")</f>
        <v>Normal</v>
      </c>
    </row>
    <row r="453" spans="1:30" x14ac:dyDescent="0.2">
      <c r="A453" s="20">
        <v>22</v>
      </c>
      <c r="B453" s="15" t="s">
        <v>73</v>
      </c>
      <c r="C453" s="12" t="s">
        <v>182</v>
      </c>
      <c r="D453" s="20">
        <v>5</v>
      </c>
      <c r="E453" s="20">
        <v>1</v>
      </c>
      <c r="F453" s="15" t="s">
        <v>46</v>
      </c>
      <c r="G453" s="15" t="s">
        <v>47</v>
      </c>
      <c r="K453" s="20">
        <v>1</v>
      </c>
      <c r="L453" s="20">
        <v>18</v>
      </c>
      <c r="M453" s="20">
        <v>11</v>
      </c>
      <c r="N453" s="21"/>
      <c r="O453" s="21"/>
      <c r="P453" s="21"/>
      <c r="Q453" s="21"/>
      <c r="R453" s="21"/>
      <c r="S453" s="21"/>
      <c r="T453" s="21"/>
      <c r="U453" s="21"/>
      <c r="V453" s="21"/>
      <c r="W453" s="20">
        <v>1430</v>
      </c>
      <c r="X453" s="15" t="s">
        <v>323</v>
      </c>
      <c r="Y453" s="20">
        <v>9</v>
      </c>
      <c r="Z453" s="15" t="s">
        <v>285</v>
      </c>
      <c r="AA453" s="15" t="s">
        <v>96</v>
      </c>
      <c r="AB453" s="15" t="s">
        <v>256</v>
      </c>
      <c r="AC453" s="20" t="s">
        <v>257</v>
      </c>
      <c r="AD453" s="9" t="str">
        <f>IF(OR(Form_Responses34[[#This Row],[Total_monthly_fuel_expense 
]]&gt;10040,Form_Responses34[[#This Row],[Total_monthly_fuel_expense 
]]&lt;-4760),"Outlier","Normal")</f>
        <v>Normal</v>
      </c>
    </row>
    <row r="454" spans="1:30" x14ac:dyDescent="0.2">
      <c r="A454" s="20">
        <v>47</v>
      </c>
      <c r="B454" s="15" t="s">
        <v>73</v>
      </c>
      <c r="C454" s="12" t="s">
        <v>1890</v>
      </c>
      <c r="D454" s="20">
        <v>6</v>
      </c>
      <c r="E454" s="20">
        <v>1</v>
      </c>
      <c r="F454" s="15" t="s">
        <v>46</v>
      </c>
      <c r="G454" s="15" t="s">
        <v>47</v>
      </c>
      <c r="K454" s="20">
        <v>10</v>
      </c>
      <c r="L454" s="20">
        <v>9</v>
      </c>
      <c r="M454" s="20">
        <v>6</v>
      </c>
      <c r="N454" s="21"/>
      <c r="O454" s="21"/>
      <c r="P454" s="21"/>
      <c r="Q454" s="21"/>
      <c r="R454" s="21"/>
      <c r="S454" s="21"/>
      <c r="T454" s="21"/>
      <c r="U454" s="21"/>
      <c r="V454" s="21"/>
      <c r="W454" s="20">
        <v>780</v>
      </c>
      <c r="X454" s="15" t="s">
        <v>252</v>
      </c>
      <c r="Y454" s="20">
        <v>4</v>
      </c>
      <c r="Z454" s="15" t="s">
        <v>559</v>
      </c>
      <c r="AA454" s="15" t="s">
        <v>85</v>
      </c>
      <c r="AB454" s="15" t="s">
        <v>256</v>
      </c>
      <c r="AC454" s="20" t="s">
        <v>68</v>
      </c>
      <c r="AD454" s="9" t="str">
        <f>IF(OR(Form_Responses34[[#This Row],[Total_monthly_fuel_expense 
]]&gt;10040,Form_Responses34[[#This Row],[Total_monthly_fuel_expense 
]]&lt;-4760),"Outlier","Normal")</f>
        <v>Normal</v>
      </c>
    </row>
    <row r="455" spans="1:30" x14ac:dyDescent="0.2">
      <c r="A455" s="20">
        <v>34</v>
      </c>
      <c r="B455" s="15" t="s">
        <v>73</v>
      </c>
      <c r="C455" s="12" t="s">
        <v>155</v>
      </c>
      <c r="D455" s="20">
        <v>3</v>
      </c>
      <c r="E455" s="20">
        <v>1</v>
      </c>
      <c r="F455" s="15" t="s">
        <v>431</v>
      </c>
      <c r="I455" s="15" t="s">
        <v>47</v>
      </c>
      <c r="K455" s="21"/>
      <c r="L455" s="21"/>
      <c r="M455" s="21"/>
      <c r="N455" s="21"/>
      <c r="O455" s="21"/>
      <c r="P455" s="21"/>
      <c r="Q455" s="20">
        <v>3</v>
      </c>
      <c r="R455" s="20">
        <v>28</v>
      </c>
      <c r="S455" s="20">
        <v>26</v>
      </c>
      <c r="T455" s="21"/>
      <c r="U455" s="21"/>
      <c r="V455" s="21"/>
      <c r="W455" s="20">
        <v>4100</v>
      </c>
      <c r="X455" s="15" t="s">
        <v>276</v>
      </c>
      <c r="Y455" s="20">
        <v>14</v>
      </c>
      <c r="Z455" s="15" t="s">
        <v>255</v>
      </c>
      <c r="AA455" s="15" t="s">
        <v>362</v>
      </c>
      <c r="AB455" s="15" t="s">
        <v>307</v>
      </c>
      <c r="AC455" s="20" t="s">
        <v>152</v>
      </c>
      <c r="AD455" s="9" t="str">
        <f>IF(OR(Form_Responses34[[#This Row],[Total_monthly_fuel_expense 
]]&gt;10040,Form_Responses34[[#This Row],[Total_monthly_fuel_expense 
]]&lt;-4760),"Outlier","Normal")</f>
        <v>Normal</v>
      </c>
    </row>
    <row r="456" spans="1:30" x14ac:dyDescent="0.2">
      <c r="A456" s="20">
        <v>41</v>
      </c>
      <c r="B456" s="15" t="s">
        <v>73</v>
      </c>
      <c r="C456" s="12" t="s">
        <v>1888</v>
      </c>
      <c r="D456" s="20">
        <v>5</v>
      </c>
      <c r="E456" s="20">
        <v>1</v>
      </c>
      <c r="F456" s="15" t="s">
        <v>46</v>
      </c>
      <c r="G456" s="15" t="s">
        <v>47</v>
      </c>
      <c r="K456" s="20">
        <v>9</v>
      </c>
      <c r="L456" s="20">
        <v>10</v>
      </c>
      <c r="M456" s="20">
        <v>7</v>
      </c>
      <c r="N456" s="21"/>
      <c r="O456" s="21"/>
      <c r="P456" s="21"/>
      <c r="Q456" s="21"/>
      <c r="R456" s="21"/>
      <c r="S456" s="21"/>
      <c r="T456" s="21"/>
      <c r="U456" s="21"/>
      <c r="V456" s="21"/>
      <c r="W456" s="20">
        <v>910</v>
      </c>
      <c r="X456" s="15" t="s">
        <v>252</v>
      </c>
      <c r="Y456" s="20">
        <v>5</v>
      </c>
      <c r="Z456" s="15" t="s">
        <v>296</v>
      </c>
      <c r="AA456" s="15" t="s">
        <v>85</v>
      </c>
      <c r="AB456" s="15" t="s">
        <v>256</v>
      </c>
      <c r="AC456" s="20" t="s">
        <v>68</v>
      </c>
      <c r="AD456" s="9" t="str">
        <f>IF(OR(Form_Responses34[[#This Row],[Total_monthly_fuel_expense 
]]&gt;10040,Form_Responses34[[#This Row],[Total_monthly_fuel_expense 
]]&lt;-4760),"Outlier","Normal")</f>
        <v>Normal</v>
      </c>
    </row>
    <row r="457" spans="1:30" x14ac:dyDescent="0.2">
      <c r="A457" s="20">
        <v>26</v>
      </c>
      <c r="B457" s="15" t="s">
        <v>42</v>
      </c>
      <c r="C457" s="12" t="s">
        <v>1889</v>
      </c>
      <c r="D457" s="20">
        <v>3</v>
      </c>
      <c r="E457" s="20">
        <v>1</v>
      </c>
      <c r="F457" s="15" t="s">
        <v>100</v>
      </c>
      <c r="H457" s="15" t="s">
        <v>47</v>
      </c>
      <c r="K457" s="21"/>
      <c r="L457" s="21"/>
      <c r="M457" s="21"/>
      <c r="N457" s="20">
        <v>3</v>
      </c>
      <c r="O457" s="20">
        <v>12</v>
      </c>
      <c r="P457" s="20">
        <v>7</v>
      </c>
      <c r="Q457" s="21"/>
      <c r="R457" s="21"/>
      <c r="S457" s="21"/>
      <c r="T457" s="21"/>
      <c r="U457" s="21"/>
      <c r="V457" s="21"/>
      <c r="W457" s="20">
        <v>910</v>
      </c>
      <c r="X457" s="15" t="s">
        <v>323</v>
      </c>
      <c r="Y457" s="20">
        <v>6</v>
      </c>
      <c r="Z457" s="15" t="s">
        <v>255</v>
      </c>
      <c r="AA457" s="15" t="s">
        <v>96</v>
      </c>
      <c r="AB457" s="15" t="s">
        <v>256</v>
      </c>
      <c r="AC457" s="20" t="s">
        <v>257</v>
      </c>
      <c r="AD457" s="9" t="str">
        <f>IF(OR(Form_Responses34[[#This Row],[Total_monthly_fuel_expense 
]]&gt;10040,Form_Responses34[[#This Row],[Total_monthly_fuel_expense 
]]&lt;-4760),"Outlier","Normal")</f>
        <v>Normal</v>
      </c>
    </row>
    <row r="458" spans="1:30" x14ac:dyDescent="0.2">
      <c r="A458" s="20">
        <v>23</v>
      </c>
      <c r="B458" s="15" t="s">
        <v>73</v>
      </c>
      <c r="C458" s="12" t="s">
        <v>1888</v>
      </c>
      <c r="D458" s="20">
        <v>4</v>
      </c>
      <c r="E458" s="20">
        <v>1</v>
      </c>
      <c r="F458" s="15" t="s">
        <v>46</v>
      </c>
      <c r="G458" s="15" t="s">
        <v>47</v>
      </c>
      <c r="K458" s="20">
        <v>2</v>
      </c>
      <c r="L458" s="20">
        <v>16</v>
      </c>
      <c r="M458" s="20">
        <v>10</v>
      </c>
      <c r="N458" s="21"/>
      <c r="O458" s="21"/>
      <c r="P458" s="21"/>
      <c r="Q458" s="21"/>
      <c r="R458" s="21"/>
      <c r="S458" s="21"/>
      <c r="T458" s="21"/>
      <c r="U458" s="21"/>
      <c r="V458" s="21"/>
      <c r="W458" s="20">
        <v>1300</v>
      </c>
      <c r="X458" s="15" t="s">
        <v>360</v>
      </c>
      <c r="Y458" s="20">
        <v>8</v>
      </c>
      <c r="Z458" s="15" t="s">
        <v>285</v>
      </c>
      <c r="AA458" s="15" t="s">
        <v>96</v>
      </c>
      <c r="AB458" s="15" t="s">
        <v>256</v>
      </c>
      <c r="AC458" s="20" t="s">
        <v>257</v>
      </c>
      <c r="AD458" s="9" t="str">
        <f>IF(OR(Form_Responses34[[#This Row],[Total_monthly_fuel_expense 
]]&gt;10040,Form_Responses34[[#This Row],[Total_monthly_fuel_expense 
]]&lt;-4760),"Outlier","Normal")</f>
        <v>Normal</v>
      </c>
    </row>
    <row r="459" spans="1:30" x14ac:dyDescent="0.2">
      <c r="A459" s="20">
        <v>48</v>
      </c>
      <c r="B459" s="15" t="s">
        <v>73</v>
      </c>
      <c r="C459" s="12" t="s">
        <v>1890</v>
      </c>
      <c r="D459" s="20">
        <v>6</v>
      </c>
      <c r="E459" s="20">
        <v>2</v>
      </c>
      <c r="F459" s="15" t="s">
        <v>246</v>
      </c>
      <c r="G459" s="15" t="s">
        <v>47</v>
      </c>
      <c r="I459" s="15" t="s">
        <v>47</v>
      </c>
      <c r="K459" s="20">
        <v>11</v>
      </c>
      <c r="L459" s="20">
        <v>6</v>
      </c>
      <c r="M459" s="20">
        <v>9</v>
      </c>
      <c r="N459" s="21"/>
      <c r="O459" s="21"/>
      <c r="P459" s="21"/>
      <c r="Q459" s="20">
        <v>9</v>
      </c>
      <c r="R459" s="20">
        <v>24</v>
      </c>
      <c r="S459" s="20">
        <v>22</v>
      </c>
      <c r="T459" s="21"/>
      <c r="U459" s="21"/>
      <c r="V459" s="21"/>
      <c r="W459" s="20">
        <v>3640</v>
      </c>
      <c r="X459" s="15" t="s">
        <v>252</v>
      </c>
      <c r="Y459" s="20">
        <v>12</v>
      </c>
      <c r="Z459" s="15" t="s">
        <v>559</v>
      </c>
      <c r="AA459" s="15" t="s">
        <v>85</v>
      </c>
      <c r="AB459" s="15" t="s">
        <v>256</v>
      </c>
      <c r="AC459" s="20" t="s">
        <v>68</v>
      </c>
      <c r="AD459" s="9" t="str">
        <f>IF(OR(Form_Responses34[[#This Row],[Total_monthly_fuel_expense 
]]&gt;10040,Form_Responses34[[#This Row],[Total_monthly_fuel_expense 
]]&lt;-4760),"Outlier","Normal")</f>
        <v>Normal</v>
      </c>
    </row>
    <row r="460" spans="1:30" x14ac:dyDescent="0.2">
      <c r="A460" s="20">
        <v>32</v>
      </c>
      <c r="B460" s="15" t="s">
        <v>42</v>
      </c>
      <c r="C460" s="12" t="s">
        <v>1888</v>
      </c>
      <c r="D460" s="20">
        <v>4</v>
      </c>
      <c r="E460" s="20">
        <v>1</v>
      </c>
      <c r="F460" s="15" t="s">
        <v>100</v>
      </c>
      <c r="H460" s="15" t="s">
        <v>47</v>
      </c>
      <c r="K460" s="21"/>
      <c r="L460" s="21"/>
      <c r="M460" s="21"/>
      <c r="N460" s="20">
        <v>4</v>
      </c>
      <c r="O460" s="20">
        <v>5</v>
      </c>
      <c r="P460" s="20">
        <v>3</v>
      </c>
      <c r="Q460" s="21"/>
      <c r="R460" s="21"/>
      <c r="S460" s="21"/>
      <c r="T460" s="21"/>
      <c r="U460" s="21"/>
      <c r="V460" s="21"/>
      <c r="W460" s="20">
        <v>390</v>
      </c>
      <c r="X460" s="15" t="s">
        <v>159</v>
      </c>
      <c r="Y460" s="20">
        <v>2</v>
      </c>
      <c r="Z460" s="15" t="s">
        <v>344</v>
      </c>
      <c r="AA460" s="15" t="s">
        <v>277</v>
      </c>
      <c r="AB460" s="15" t="s">
        <v>335</v>
      </c>
      <c r="AC460" s="20" t="s">
        <v>68</v>
      </c>
      <c r="AD460" s="9" t="str">
        <f>IF(OR(Form_Responses34[[#This Row],[Total_monthly_fuel_expense 
]]&gt;10040,Form_Responses34[[#This Row],[Total_monthly_fuel_expense 
]]&lt;-4760),"Outlier","Normal")</f>
        <v>Normal</v>
      </c>
    </row>
    <row r="461" spans="1:30" x14ac:dyDescent="0.2">
      <c r="A461" s="20">
        <v>29</v>
      </c>
      <c r="B461" s="15" t="s">
        <v>73</v>
      </c>
      <c r="C461" s="12" t="s">
        <v>1890</v>
      </c>
      <c r="D461" s="20">
        <v>3</v>
      </c>
      <c r="E461" s="20">
        <v>1</v>
      </c>
      <c r="F461" s="15" t="s">
        <v>46</v>
      </c>
      <c r="G461" s="15" t="s">
        <v>47</v>
      </c>
      <c r="K461" s="20">
        <v>4</v>
      </c>
      <c r="L461" s="20">
        <v>22</v>
      </c>
      <c r="M461" s="20">
        <v>14</v>
      </c>
      <c r="N461" s="21"/>
      <c r="O461" s="21"/>
      <c r="P461" s="21"/>
      <c r="Q461" s="21"/>
      <c r="R461" s="21"/>
      <c r="S461" s="21"/>
      <c r="T461" s="21"/>
      <c r="U461" s="21"/>
      <c r="V461" s="21"/>
      <c r="W461" s="20">
        <v>1820</v>
      </c>
      <c r="X461" s="15" t="s">
        <v>323</v>
      </c>
      <c r="Y461" s="20">
        <v>11</v>
      </c>
      <c r="Z461" s="15" t="s">
        <v>255</v>
      </c>
      <c r="AA461" s="15" t="s">
        <v>85</v>
      </c>
      <c r="AB461" s="15" t="s">
        <v>256</v>
      </c>
      <c r="AC461" s="20" t="s">
        <v>257</v>
      </c>
      <c r="AD461" s="9" t="str">
        <f>IF(OR(Form_Responses34[[#This Row],[Total_monthly_fuel_expense 
]]&gt;10040,Form_Responses34[[#This Row],[Total_monthly_fuel_expense 
]]&lt;-4760),"Outlier","Normal")</f>
        <v>Normal</v>
      </c>
    </row>
    <row r="462" spans="1:30" x14ac:dyDescent="0.2">
      <c r="A462" s="20">
        <v>45</v>
      </c>
      <c r="B462" s="15" t="s">
        <v>42</v>
      </c>
      <c r="C462" s="12" t="s">
        <v>1888</v>
      </c>
      <c r="D462" s="20">
        <v>5</v>
      </c>
      <c r="E462" s="20">
        <v>1</v>
      </c>
      <c r="F462" s="15" t="s">
        <v>46</v>
      </c>
      <c r="G462" s="15" t="s">
        <v>47</v>
      </c>
      <c r="K462" s="20">
        <v>13</v>
      </c>
      <c r="L462" s="20">
        <v>6</v>
      </c>
      <c r="M462" s="20">
        <v>4</v>
      </c>
      <c r="N462" s="21"/>
      <c r="O462" s="21"/>
      <c r="P462" s="21"/>
      <c r="Q462" s="21"/>
      <c r="R462" s="21"/>
      <c r="S462" s="21"/>
      <c r="T462" s="21"/>
      <c r="U462" s="21"/>
      <c r="V462" s="21"/>
      <c r="W462" s="20">
        <v>520</v>
      </c>
      <c r="X462" s="15" t="s">
        <v>252</v>
      </c>
      <c r="Y462" s="20">
        <v>3</v>
      </c>
      <c r="Z462" s="15" t="s">
        <v>296</v>
      </c>
      <c r="AA462" s="15" t="s">
        <v>85</v>
      </c>
      <c r="AB462" s="15" t="s">
        <v>256</v>
      </c>
      <c r="AC462" s="20" t="s">
        <v>68</v>
      </c>
      <c r="AD462" s="9" t="str">
        <f>IF(OR(Form_Responses34[[#This Row],[Total_monthly_fuel_expense 
]]&gt;10040,Form_Responses34[[#This Row],[Total_monthly_fuel_expense 
]]&lt;-4760),"Outlier","Normal")</f>
        <v>Normal</v>
      </c>
    </row>
    <row r="463" spans="1:30" x14ac:dyDescent="0.2">
      <c r="A463" s="20">
        <v>34</v>
      </c>
      <c r="B463" s="15" t="s">
        <v>73</v>
      </c>
      <c r="C463" s="12" t="s">
        <v>1891</v>
      </c>
      <c r="D463" s="20">
        <v>4</v>
      </c>
      <c r="E463" s="20">
        <v>1</v>
      </c>
      <c r="F463" s="15" t="s">
        <v>431</v>
      </c>
      <c r="I463" s="15" t="s">
        <v>47</v>
      </c>
      <c r="K463" s="21"/>
      <c r="L463" s="21"/>
      <c r="M463" s="21"/>
      <c r="N463" s="21"/>
      <c r="O463" s="21"/>
      <c r="P463" s="21"/>
      <c r="Q463" s="20">
        <v>5</v>
      </c>
      <c r="R463" s="20">
        <v>26</v>
      </c>
      <c r="S463" s="20">
        <v>24</v>
      </c>
      <c r="T463" s="21"/>
      <c r="U463" s="21"/>
      <c r="V463" s="21"/>
      <c r="W463" s="20">
        <v>3900</v>
      </c>
      <c r="X463" s="15" t="s">
        <v>276</v>
      </c>
      <c r="Y463" s="20">
        <v>13</v>
      </c>
      <c r="Z463" s="15" t="s">
        <v>255</v>
      </c>
      <c r="AA463" s="15" t="s">
        <v>362</v>
      </c>
      <c r="AB463" s="15" t="s">
        <v>307</v>
      </c>
      <c r="AC463" s="20" t="s">
        <v>152</v>
      </c>
      <c r="AD463" s="9" t="str">
        <f>IF(OR(Form_Responses34[[#This Row],[Total_monthly_fuel_expense 
]]&gt;10040,Form_Responses34[[#This Row],[Total_monthly_fuel_expense 
]]&lt;-4760),"Outlier","Normal")</f>
        <v>Normal</v>
      </c>
    </row>
    <row r="464" spans="1:30" x14ac:dyDescent="0.2">
      <c r="A464" s="20">
        <v>38</v>
      </c>
      <c r="B464" s="15" t="s">
        <v>73</v>
      </c>
      <c r="C464" s="12" t="s">
        <v>182</v>
      </c>
      <c r="D464" s="20">
        <v>4</v>
      </c>
      <c r="E464" s="20">
        <v>1</v>
      </c>
      <c r="F464" s="15" t="s">
        <v>46</v>
      </c>
      <c r="G464" s="15" t="s">
        <v>47</v>
      </c>
      <c r="K464" s="20">
        <v>8</v>
      </c>
      <c r="L464" s="20">
        <v>15</v>
      </c>
      <c r="M464" s="20">
        <v>9</v>
      </c>
      <c r="N464" s="21"/>
      <c r="O464" s="21"/>
      <c r="P464" s="21"/>
      <c r="Q464" s="21"/>
      <c r="R464" s="21"/>
      <c r="S464" s="21"/>
      <c r="T464" s="21"/>
      <c r="U464" s="21"/>
      <c r="V464" s="21"/>
      <c r="W464" s="20">
        <v>1170</v>
      </c>
      <c r="X464" s="15" t="s">
        <v>360</v>
      </c>
      <c r="Y464" s="20">
        <v>7</v>
      </c>
      <c r="Z464" s="15" t="s">
        <v>724</v>
      </c>
      <c r="AA464" s="15" t="s">
        <v>96</v>
      </c>
      <c r="AB464" s="15" t="s">
        <v>256</v>
      </c>
      <c r="AC464" s="20" t="s">
        <v>68</v>
      </c>
      <c r="AD464" s="9" t="str">
        <f>IF(OR(Form_Responses34[[#This Row],[Total_monthly_fuel_expense 
]]&gt;10040,Form_Responses34[[#This Row],[Total_monthly_fuel_expense 
]]&lt;-4760),"Outlier","Normal")</f>
        <v>Normal</v>
      </c>
    </row>
    <row r="465" spans="1:30" x14ac:dyDescent="0.2">
      <c r="A465" s="20">
        <v>28</v>
      </c>
      <c r="B465" s="15" t="s">
        <v>42</v>
      </c>
      <c r="C465" s="12" t="s">
        <v>1889</v>
      </c>
      <c r="D465" s="20">
        <v>3</v>
      </c>
      <c r="E465" s="20">
        <v>1</v>
      </c>
      <c r="F465" s="15" t="s">
        <v>100</v>
      </c>
      <c r="H465" s="15" t="s">
        <v>47</v>
      </c>
      <c r="K465" s="21"/>
      <c r="L465" s="21"/>
      <c r="M465" s="21"/>
      <c r="N465" s="20">
        <v>2</v>
      </c>
      <c r="O465" s="20">
        <v>10</v>
      </c>
      <c r="P465" s="20">
        <v>6</v>
      </c>
      <c r="Q465" s="21"/>
      <c r="R465" s="21"/>
      <c r="S465" s="21"/>
      <c r="T465" s="21"/>
      <c r="U465" s="21"/>
      <c r="V465" s="21"/>
      <c r="W465" s="20">
        <v>780</v>
      </c>
      <c r="X465" s="15" t="s">
        <v>323</v>
      </c>
      <c r="Y465" s="20">
        <v>5</v>
      </c>
      <c r="Z465" s="15" t="s">
        <v>255</v>
      </c>
      <c r="AA465" s="15" t="s">
        <v>277</v>
      </c>
      <c r="AB465" s="15" t="s">
        <v>256</v>
      </c>
      <c r="AC465" s="20" t="s">
        <v>257</v>
      </c>
      <c r="AD465" s="9" t="str">
        <f>IF(OR(Form_Responses34[[#This Row],[Total_monthly_fuel_expense 
]]&gt;10040,Form_Responses34[[#This Row],[Total_monthly_fuel_expense 
]]&lt;-4760),"Outlier","Normal")</f>
        <v>Normal</v>
      </c>
    </row>
    <row r="466" spans="1:30" x14ac:dyDescent="0.2">
      <c r="A466" s="20">
        <v>34</v>
      </c>
      <c r="B466" s="15" t="s">
        <v>73</v>
      </c>
      <c r="C466" s="12" t="s">
        <v>1889</v>
      </c>
      <c r="D466" s="20">
        <v>4</v>
      </c>
      <c r="E466" s="20">
        <v>1</v>
      </c>
      <c r="F466" s="15" t="s">
        <v>46</v>
      </c>
      <c r="G466" s="15" t="s">
        <v>47</v>
      </c>
      <c r="K466" s="20">
        <v>6</v>
      </c>
      <c r="L466" s="20">
        <v>10</v>
      </c>
      <c r="M466" s="20">
        <v>7</v>
      </c>
      <c r="N466" s="21"/>
      <c r="O466" s="21"/>
      <c r="P466" s="21"/>
      <c r="Q466" s="21"/>
      <c r="R466" s="21"/>
      <c r="S466" s="21"/>
      <c r="T466" s="21"/>
      <c r="U466" s="21"/>
      <c r="V466" s="21"/>
      <c r="W466" s="20">
        <v>910</v>
      </c>
      <c r="X466" s="15" t="s">
        <v>252</v>
      </c>
      <c r="Y466" s="20">
        <v>5</v>
      </c>
      <c r="Z466" s="15" t="s">
        <v>296</v>
      </c>
      <c r="AA466" s="15" t="s">
        <v>85</v>
      </c>
      <c r="AB466" s="15" t="s">
        <v>256</v>
      </c>
      <c r="AC466" s="20" t="s">
        <v>68</v>
      </c>
      <c r="AD466" s="9" t="str">
        <f>IF(OR(Form_Responses34[[#This Row],[Total_monthly_fuel_expense 
]]&gt;10040,Form_Responses34[[#This Row],[Total_monthly_fuel_expense 
]]&lt;-4760),"Outlier","Normal")</f>
        <v>Normal</v>
      </c>
    </row>
    <row r="467" spans="1:30" x14ac:dyDescent="0.2">
      <c r="A467" s="20">
        <v>26</v>
      </c>
      <c r="B467" s="15" t="s">
        <v>42</v>
      </c>
      <c r="C467" s="12" t="s">
        <v>1889</v>
      </c>
      <c r="D467" s="20">
        <v>3</v>
      </c>
      <c r="E467" s="20">
        <v>1</v>
      </c>
      <c r="F467" s="15" t="s">
        <v>100</v>
      </c>
      <c r="H467" s="15" t="s">
        <v>47</v>
      </c>
      <c r="K467" s="21"/>
      <c r="L467" s="21"/>
      <c r="M467" s="21"/>
      <c r="N467" s="20">
        <v>2</v>
      </c>
      <c r="O467" s="20">
        <v>9</v>
      </c>
      <c r="P467" s="20">
        <v>5</v>
      </c>
      <c r="Q467" s="21"/>
      <c r="R467" s="21"/>
      <c r="S467" s="21"/>
      <c r="T467" s="21"/>
      <c r="U467" s="21"/>
      <c r="V467" s="21"/>
      <c r="W467" s="20">
        <v>650</v>
      </c>
      <c r="X467" s="15" t="s">
        <v>323</v>
      </c>
      <c r="Y467" s="20">
        <v>4</v>
      </c>
      <c r="Z467" s="15" t="s">
        <v>255</v>
      </c>
      <c r="AA467" s="15" t="s">
        <v>96</v>
      </c>
      <c r="AB467" s="15" t="s">
        <v>256</v>
      </c>
      <c r="AC467" s="20" t="s">
        <v>257</v>
      </c>
      <c r="AD467" s="9" t="str">
        <f>IF(OR(Form_Responses34[[#This Row],[Total_monthly_fuel_expense 
]]&gt;10040,Form_Responses34[[#This Row],[Total_monthly_fuel_expense 
]]&lt;-4760),"Outlier","Normal")</f>
        <v>Normal</v>
      </c>
    </row>
    <row r="468" spans="1:30" x14ac:dyDescent="0.2">
      <c r="A468" s="20">
        <v>22</v>
      </c>
      <c r="B468" s="15" t="s">
        <v>73</v>
      </c>
      <c r="C468" s="12" t="s">
        <v>182</v>
      </c>
      <c r="D468" s="20">
        <v>5</v>
      </c>
      <c r="E468" s="20">
        <v>1</v>
      </c>
      <c r="F468" s="15" t="s">
        <v>46</v>
      </c>
      <c r="G468" s="15" t="s">
        <v>47</v>
      </c>
      <c r="K468" s="20">
        <v>1</v>
      </c>
      <c r="L468" s="20">
        <v>20</v>
      </c>
      <c r="M468" s="20">
        <v>12</v>
      </c>
      <c r="N468" s="21"/>
      <c r="O468" s="21"/>
      <c r="P468" s="21"/>
      <c r="Q468" s="21"/>
      <c r="R468" s="21"/>
      <c r="S468" s="21"/>
      <c r="T468" s="21"/>
      <c r="U468" s="21"/>
      <c r="V468" s="21"/>
      <c r="W468" s="20">
        <v>1560</v>
      </c>
      <c r="X468" s="15" t="s">
        <v>360</v>
      </c>
      <c r="Y468" s="20">
        <v>10</v>
      </c>
      <c r="Z468" s="15" t="s">
        <v>285</v>
      </c>
      <c r="AA468" s="15" t="s">
        <v>96</v>
      </c>
      <c r="AB468" s="15" t="s">
        <v>256</v>
      </c>
      <c r="AC468" s="20" t="s">
        <v>257</v>
      </c>
      <c r="AD468" s="9" t="str">
        <f>IF(OR(Form_Responses34[[#This Row],[Total_monthly_fuel_expense 
]]&gt;10040,Form_Responses34[[#This Row],[Total_monthly_fuel_expense 
]]&lt;-4760),"Outlier","Normal")</f>
        <v>Normal</v>
      </c>
    </row>
    <row r="469" spans="1:30" x14ac:dyDescent="0.2">
      <c r="A469" s="20">
        <v>49</v>
      </c>
      <c r="B469" s="15" t="s">
        <v>73</v>
      </c>
      <c r="C469" s="12" t="s">
        <v>1890</v>
      </c>
      <c r="D469" s="20">
        <v>6</v>
      </c>
      <c r="E469" s="20">
        <v>2</v>
      </c>
      <c r="F469" s="15" t="s">
        <v>246</v>
      </c>
      <c r="G469" s="15" t="s">
        <v>47</v>
      </c>
      <c r="I469" s="15" t="s">
        <v>47</v>
      </c>
      <c r="K469" s="20">
        <v>11</v>
      </c>
      <c r="L469" s="20">
        <v>6</v>
      </c>
      <c r="M469" s="20">
        <v>5</v>
      </c>
      <c r="N469" s="21"/>
      <c r="O469" s="21"/>
      <c r="P469" s="21"/>
      <c r="Q469" s="20">
        <v>9</v>
      </c>
      <c r="R469" s="20">
        <v>25</v>
      </c>
      <c r="S469" s="20">
        <v>22</v>
      </c>
      <c r="T469" s="21"/>
      <c r="U469" s="21"/>
      <c r="V469" s="21"/>
      <c r="W469" s="20">
        <v>3510</v>
      </c>
      <c r="X469" s="15" t="s">
        <v>252</v>
      </c>
      <c r="Y469" s="20">
        <v>12</v>
      </c>
      <c r="Z469" s="15" t="s">
        <v>559</v>
      </c>
      <c r="AA469" s="15" t="s">
        <v>85</v>
      </c>
      <c r="AB469" s="15" t="s">
        <v>256</v>
      </c>
      <c r="AC469" s="20" t="s">
        <v>68</v>
      </c>
      <c r="AD469" s="9" t="str">
        <f>IF(OR(Form_Responses34[[#This Row],[Total_monthly_fuel_expense 
]]&gt;10040,Form_Responses34[[#This Row],[Total_monthly_fuel_expense 
]]&lt;-4760),"Outlier","Normal")</f>
        <v>Normal</v>
      </c>
    </row>
    <row r="470" spans="1:30" x14ac:dyDescent="0.2">
      <c r="A470" s="20">
        <v>37</v>
      </c>
      <c r="B470" s="15" t="s">
        <v>42</v>
      </c>
      <c r="C470" s="12" t="s">
        <v>1888</v>
      </c>
      <c r="D470" s="20">
        <v>4</v>
      </c>
      <c r="E470" s="20">
        <v>1</v>
      </c>
      <c r="F470" s="15" t="s">
        <v>100</v>
      </c>
      <c r="H470" s="15" t="s">
        <v>47</v>
      </c>
      <c r="K470" s="21"/>
      <c r="L470" s="21"/>
      <c r="M470" s="21"/>
      <c r="N470" s="20">
        <v>5</v>
      </c>
      <c r="O470" s="20">
        <v>5</v>
      </c>
      <c r="P470" s="20">
        <v>3</v>
      </c>
      <c r="Q470" s="21"/>
      <c r="R470" s="21"/>
      <c r="S470" s="21"/>
      <c r="T470" s="21"/>
      <c r="U470" s="21"/>
      <c r="V470" s="21"/>
      <c r="W470" s="20">
        <v>390</v>
      </c>
      <c r="X470" s="15" t="s">
        <v>159</v>
      </c>
      <c r="Y470" s="20">
        <v>2</v>
      </c>
      <c r="Z470" s="15" t="s">
        <v>344</v>
      </c>
      <c r="AA470" s="15" t="s">
        <v>277</v>
      </c>
      <c r="AB470" s="15" t="s">
        <v>335</v>
      </c>
      <c r="AC470" s="20" t="s">
        <v>68</v>
      </c>
      <c r="AD470" s="9" t="str">
        <f>IF(OR(Form_Responses34[[#This Row],[Total_monthly_fuel_expense 
]]&gt;10040,Form_Responses34[[#This Row],[Total_monthly_fuel_expense 
]]&lt;-4760),"Outlier","Normal")</f>
        <v>Normal</v>
      </c>
    </row>
    <row r="471" spans="1:30" x14ac:dyDescent="0.2">
      <c r="A471" s="20">
        <v>31</v>
      </c>
      <c r="B471" s="15" t="s">
        <v>73</v>
      </c>
      <c r="C471" s="12" t="s">
        <v>1890</v>
      </c>
      <c r="D471" s="20">
        <v>3</v>
      </c>
      <c r="E471" s="20">
        <v>1</v>
      </c>
      <c r="F471" s="15" t="s">
        <v>46</v>
      </c>
      <c r="G471" s="15" t="s">
        <v>47</v>
      </c>
      <c r="K471" s="20">
        <v>4</v>
      </c>
      <c r="L471" s="20">
        <v>26</v>
      </c>
      <c r="M471" s="20">
        <v>16</v>
      </c>
      <c r="N471" s="21"/>
      <c r="O471" s="21"/>
      <c r="P471" s="21"/>
      <c r="Q471" s="21"/>
      <c r="R471" s="21"/>
      <c r="S471" s="21"/>
      <c r="T471" s="21"/>
      <c r="U471" s="21"/>
      <c r="V471" s="21"/>
      <c r="W471" s="20">
        <v>2080</v>
      </c>
      <c r="X471" s="15" t="s">
        <v>323</v>
      </c>
      <c r="Y471" s="20">
        <v>13</v>
      </c>
      <c r="Z471" s="15" t="s">
        <v>255</v>
      </c>
      <c r="AA471" s="15" t="s">
        <v>85</v>
      </c>
      <c r="AB471" s="15" t="s">
        <v>256</v>
      </c>
      <c r="AC471" s="20" t="s">
        <v>257</v>
      </c>
      <c r="AD471" s="9" t="str">
        <f>IF(OR(Form_Responses34[[#This Row],[Total_monthly_fuel_expense 
]]&gt;10040,Form_Responses34[[#This Row],[Total_monthly_fuel_expense 
]]&lt;-4760),"Outlier","Normal")</f>
        <v>Normal</v>
      </c>
    </row>
    <row r="472" spans="1:30" x14ac:dyDescent="0.2">
      <c r="A472" s="20">
        <v>44</v>
      </c>
      <c r="B472" s="15" t="s">
        <v>42</v>
      </c>
      <c r="C472" s="12" t="s">
        <v>1888</v>
      </c>
      <c r="D472" s="20">
        <v>5</v>
      </c>
      <c r="E472" s="20">
        <v>1</v>
      </c>
      <c r="F472" s="15" t="s">
        <v>46</v>
      </c>
      <c r="G472" s="15" t="s">
        <v>47</v>
      </c>
      <c r="K472" s="20">
        <v>15</v>
      </c>
      <c r="L472" s="20">
        <v>4</v>
      </c>
      <c r="M472" s="20">
        <v>3</v>
      </c>
      <c r="N472" s="21"/>
      <c r="O472" s="21"/>
      <c r="P472" s="21"/>
      <c r="Q472" s="21"/>
      <c r="R472" s="21"/>
      <c r="S472" s="21"/>
      <c r="T472" s="21"/>
      <c r="U472" s="21"/>
      <c r="V472" s="21"/>
      <c r="W472" s="20">
        <v>390</v>
      </c>
      <c r="X472" s="15" t="s">
        <v>252</v>
      </c>
      <c r="Y472" s="20">
        <v>2</v>
      </c>
      <c r="Z472" s="15" t="s">
        <v>296</v>
      </c>
      <c r="AA472" s="15" t="s">
        <v>85</v>
      </c>
      <c r="AB472" s="15" t="s">
        <v>256</v>
      </c>
      <c r="AC472" s="20" t="s">
        <v>68</v>
      </c>
      <c r="AD472" s="9" t="str">
        <f>IF(OR(Form_Responses34[[#This Row],[Total_monthly_fuel_expense 
]]&gt;10040,Form_Responses34[[#This Row],[Total_monthly_fuel_expense 
]]&lt;-4760),"Outlier","Normal")</f>
        <v>Normal</v>
      </c>
    </row>
    <row r="473" spans="1:30" x14ac:dyDescent="0.2">
      <c r="A473" s="20">
        <v>39</v>
      </c>
      <c r="B473" s="15" t="s">
        <v>73</v>
      </c>
      <c r="C473" s="12" t="s">
        <v>1891</v>
      </c>
      <c r="D473" s="20">
        <v>4</v>
      </c>
      <c r="E473" s="20">
        <v>1</v>
      </c>
      <c r="F473" s="15" t="s">
        <v>431</v>
      </c>
      <c r="I473" s="15" t="s">
        <v>47</v>
      </c>
      <c r="K473" s="21"/>
      <c r="L473" s="21"/>
      <c r="M473" s="21"/>
      <c r="N473" s="21"/>
      <c r="O473" s="21"/>
      <c r="P473" s="21"/>
      <c r="Q473" s="20">
        <v>6</v>
      </c>
      <c r="R473" s="20">
        <v>29</v>
      </c>
      <c r="S473" s="20">
        <v>26</v>
      </c>
      <c r="T473" s="21"/>
      <c r="U473" s="21"/>
      <c r="V473" s="21"/>
      <c r="W473" s="20">
        <v>4160</v>
      </c>
      <c r="X473" s="15" t="s">
        <v>276</v>
      </c>
      <c r="Y473" s="20">
        <v>14</v>
      </c>
      <c r="Z473" s="15" t="s">
        <v>255</v>
      </c>
      <c r="AA473" s="15" t="s">
        <v>362</v>
      </c>
      <c r="AB473" s="15" t="s">
        <v>307</v>
      </c>
      <c r="AC473" s="20" t="s">
        <v>152</v>
      </c>
      <c r="AD473" s="9" t="str">
        <f>IF(OR(Form_Responses34[[#This Row],[Total_monthly_fuel_expense 
]]&gt;10040,Form_Responses34[[#This Row],[Total_monthly_fuel_expense 
]]&lt;-4760),"Outlier","Normal")</f>
        <v>Normal</v>
      </c>
    </row>
    <row r="474" spans="1:30" x14ac:dyDescent="0.2">
      <c r="A474" s="20">
        <v>56</v>
      </c>
      <c r="B474" s="15" t="s">
        <v>73</v>
      </c>
      <c r="C474" s="12" t="s">
        <v>182</v>
      </c>
      <c r="D474" s="20">
        <v>6</v>
      </c>
      <c r="E474" s="20">
        <v>1</v>
      </c>
      <c r="F474" s="15" t="s">
        <v>46</v>
      </c>
      <c r="G474" s="15" t="s">
        <v>47</v>
      </c>
      <c r="K474" s="20">
        <v>18</v>
      </c>
      <c r="L474" s="20">
        <v>6</v>
      </c>
      <c r="M474" s="20">
        <v>4</v>
      </c>
      <c r="N474" s="21"/>
      <c r="O474" s="21"/>
      <c r="P474" s="21"/>
      <c r="Q474" s="21"/>
      <c r="R474" s="21"/>
      <c r="S474" s="21"/>
      <c r="T474" s="21"/>
      <c r="U474" s="21"/>
      <c r="V474" s="21"/>
      <c r="W474" s="20">
        <v>520</v>
      </c>
      <c r="X474" s="15" t="s">
        <v>360</v>
      </c>
      <c r="Y474" s="20">
        <v>3</v>
      </c>
      <c r="Z474" s="15" t="s">
        <v>724</v>
      </c>
      <c r="AA474" s="15" t="s">
        <v>96</v>
      </c>
      <c r="AB474" s="15" t="s">
        <v>335</v>
      </c>
      <c r="AC474" s="20" t="s">
        <v>68</v>
      </c>
      <c r="AD474" s="9" t="str">
        <f>IF(OR(Form_Responses34[[#This Row],[Total_monthly_fuel_expense 
]]&gt;10040,Form_Responses34[[#This Row],[Total_monthly_fuel_expense 
]]&lt;-4760),"Outlier","Normal")</f>
        <v>Normal</v>
      </c>
    </row>
    <row r="475" spans="1:30" x14ac:dyDescent="0.2">
      <c r="A475" s="20">
        <v>29</v>
      </c>
      <c r="B475" s="15" t="s">
        <v>73</v>
      </c>
      <c r="C475" s="12" t="s">
        <v>1889</v>
      </c>
      <c r="D475" s="20">
        <v>3</v>
      </c>
      <c r="E475" s="20">
        <v>1</v>
      </c>
      <c r="F475" s="15" t="s">
        <v>46</v>
      </c>
      <c r="G475" s="15" t="s">
        <v>47</v>
      </c>
      <c r="K475" s="20">
        <v>3</v>
      </c>
      <c r="L475" s="20">
        <v>17</v>
      </c>
      <c r="M475" s="20">
        <v>11</v>
      </c>
      <c r="N475" s="21"/>
      <c r="O475" s="21"/>
      <c r="P475" s="21"/>
      <c r="Q475" s="21"/>
      <c r="R475" s="21"/>
      <c r="S475" s="21"/>
      <c r="T475" s="21"/>
      <c r="U475" s="21"/>
      <c r="V475" s="21"/>
      <c r="W475" s="20">
        <v>1430</v>
      </c>
      <c r="X475" s="15" t="s">
        <v>252</v>
      </c>
      <c r="Y475" s="20">
        <v>8</v>
      </c>
      <c r="Z475" s="15" t="s">
        <v>559</v>
      </c>
      <c r="AA475" s="15" t="s">
        <v>85</v>
      </c>
      <c r="AB475" s="15" t="s">
        <v>256</v>
      </c>
      <c r="AC475" s="20" t="s">
        <v>257</v>
      </c>
      <c r="AD475" s="9" t="str">
        <f>IF(OR(Form_Responses34[[#This Row],[Total_monthly_fuel_expense 
]]&gt;10040,Form_Responses34[[#This Row],[Total_monthly_fuel_expense 
]]&lt;-4760),"Outlier","Normal")</f>
        <v>Normal</v>
      </c>
    </row>
    <row r="476" spans="1:30" x14ac:dyDescent="0.2">
      <c r="A476" s="20">
        <v>36</v>
      </c>
      <c r="B476" s="15" t="s">
        <v>73</v>
      </c>
      <c r="C476" s="12" t="s">
        <v>1889</v>
      </c>
      <c r="D476" s="20">
        <v>4</v>
      </c>
      <c r="E476" s="20">
        <v>1</v>
      </c>
      <c r="F476" s="15" t="s">
        <v>46</v>
      </c>
      <c r="G476" s="15" t="s">
        <v>47</v>
      </c>
      <c r="K476" s="20">
        <v>7</v>
      </c>
      <c r="L476" s="20">
        <v>11</v>
      </c>
      <c r="M476" s="20">
        <v>7</v>
      </c>
      <c r="N476" s="21"/>
      <c r="O476" s="21"/>
      <c r="P476" s="21"/>
      <c r="Q476" s="21"/>
      <c r="R476" s="21"/>
      <c r="S476" s="21"/>
      <c r="T476" s="21"/>
      <c r="U476" s="21"/>
      <c r="V476" s="21"/>
      <c r="W476" s="20">
        <v>910</v>
      </c>
      <c r="X476" s="15" t="s">
        <v>252</v>
      </c>
      <c r="Y476" s="20">
        <v>5</v>
      </c>
      <c r="Z476" s="15" t="s">
        <v>296</v>
      </c>
      <c r="AA476" s="15" t="s">
        <v>85</v>
      </c>
      <c r="AB476" s="15" t="s">
        <v>256</v>
      </c>
      <c r="AC476" s="20" t="s">
        <v>68</v>
      </c>
      <c r="AD476" s="9" t="str">
        <f>IF(OR(Form_Responses34[[#This Row],[Total_monthly_fuel_expense 
]]&gt;10040,Form_Responses34[[#This Row],[Total_monthly_fuel_expense 
]]&lt;-4760),"Outlier","Normal")</f>
        <v>Normal</v>
      </c>
    </row>
    <row r="477" spans="1:30" x14ac:dyDescent="0.2">
      <c r="A477" s="20">
        <v>25</v>
      </c>
      <c r="B477" s="15" t="s">
        <v>42</v>
      </c>
      <c r="C477" s="12" t="s">
        <v>1889</v>
      </c>
      <c r="D477" s="20">
        <v>3</v>
      </c>
      <c r="E477" s="20">
        <v>1</v>
      </c>
      <c r="F477" s="15" t="s">
        <v>100</v>
      </c>
      <c r="H477" s="15" t="s">
        <v>47</v>
      </c>
      <c r="K477" s="21"/>
      <c r="L477" s="21"/>
      <c r="M477" s="21"/>
      <c r="N477" s="20">
        <v>2</v>
      </c>
      <c r="O477" s="20">
        <v>8</v>
      </c>
      <c r="P477" s="20">
        <v>5</v>
      </c>
      <c r="Q477" s="21"/>
      <c r="R477" s="21"/>
      <c r="S477" s="21"/>
      <c r="T477" s="21"/>
      <c r="U477" s="21"/>
      <c r="V477" s="21"/>
      <c r="W477" s="20">
        <v>650</v>
      </c>
      <c r="X477" s="15" t="s">
        <v>323</v>
      </c>
      <c r="Y477" s="20">
        <v>4</v>
      </c>
      <c r="Z477" s="15" t="s">
        <v>255</v>
      </c>
      <c r="AA477" s="15" t="s">
        <v>96</v>
      </c>
      <c r="AB477" s="15" t="s">
        <v>256</v>
      </c>
      <c r="AC477" s="20" t="s">
        <v>257</v>
      </c>
      <c r="AD477" s="9" t="str">
        <f>IF(OR(Form_Responses34[[#This Row],[Total_monthly_fuel_expense 
]]&gt;10040,Form_Responses34[[#This Row],[Total_monthly_fuel_expense 
]]&lt;-4760),"Outlier","Normal")</f>
        <v>Normal</v>
      </c>
    </row>
    <row r="478" spans="1:30" x14ac:dyDescent="0.2">
      <c r="A478" s="20">
        <v>21</v>
      </c>
      <c r="B478" s="15" t="s">
        <v>73</v>
      </c>
      <c r="C478" s="12" t="s">
        <v>182</v>
      </c>
      <c r="D478" s="20">
        <v>5</v>
      </c>
      <c r="E478" s="20">
        <v>1</v>
      </c>
      <c r="F478" s="15" t="s">
        <v>46</v>
      </c>
      <c r="G478" s="15" t="s">
        <v>47</v>
      </c>
      <c r="K478" s="20">
        <v>1</v>
      </c>
      <c r="L478" s="20">
        <v>15</v>
      </c>
      <c r="M478" s="20">
        <v>9</v>
      </c>
      <c r="N478" s="21"/>
      <c r="O478" s="21"/>
      <c r="P478" s="21"/>
      <c r="Q478" s="21"/>
      <c r="R478" s="21"/>
      <c r="S478" s="21"/>
      <c r="T478" s="21"/>
      <c r="U478" s="21"/>
      <c r="V478" s="21"/>
      <c r="W478" s="20">
        <v>1170</v>
      </c>
      <c r="X478" s="15" t="s">
        <v>360</v>
      </c>
      <c r="Y478" s="20">
        <v>7</v>
      </c>
      <c r="Z478" s="15" t="s">
        <v>285</v>
      </c>
      <c r="AA478" s="15" t="s">
        <v>96</v>
      </c>
      <c r="AB478" s="15" t="s">
        <v>256</v>
      </c>
      <c r="AC478" s="20" t="s">
        <v>257</v>
      </c>
      <c r="AD478" s="9" t="str">
        <f>IF(OR(Form_Responses34[[#This Row],[Total_monthly_fuel_expense 
]]&gt;10040,Form_Responses34[[#This Row],[Total_monthly_fuel_expense 
]]&lt;-4760),"Outlier","Normal")</f>
        <v>Normal</v>
      </c>
    </row>
    <row r="479" spans="1:30" x14ac:dyDescent="0.2">
      <c r="A479" s="20">
        <v>24</v>
      </c>
      <c r="B479" s="15" t="s">
        <v>73</v>
      </c>
      <c r="C479" s="12" t="s">
        <v>182</v>
      </c>
      <c r="D479" s="20">
        <v>4</v>
      </c>
      <c r="E479" s="20">
        <v>1</v>
      </c>
      <c r="F479" s="15" t="s">
        <v>46</v>
      </c>
      <c r="G479" s="15" t="s">
        <v>47</v>
      </c>
      <c r="K479" s="20">
        <v>2</v>
      </c>
      <c r="L479" s="20">
        <v>14</v>
      </c>
      <c r="M479" s="20">
        <v>8</v>
      </c>
      <c r="N479" s="21"/>
      <c r="O479" s="21"/>
      <c r="P479" s="21"/>
      <c r="Q479" s="21"/>
      <c r="R479" s="21"/>
      <c r="S479" s="21"/>
      <c r="T479" s="21"/>
      <c r="U479" s="21"/>
      <c r="V479" s="21"/>
      <c r="W479" s="20">
        <v>900</v>
      </c>
      <c r="X479" s="15" t="s">
        <v>276</v>
      </c>
      <c r="Y479" s="20">
        <v>7</v>
      </c>
      <c r="Z479" s="15" t="s">
        <v>285</v>
      </c>
      <c r="AA479" s="15" t="s">
        <v>85</v>
      </c>
      <c r="AB479" s="15" t="s">
        <v>256</v>
      </c>
      <c r="AC479" s="20" t="s">
        <v>257</v>
      </c>
      <c r="AD479" s="9" t="str">
        <f>IF(OR(Form_Responses34[[#This Row],[Total_monthly_fuel_expense 
]]&gt;10040,Form_Responses34[[#This Row],[Total_monthly_fuel_expense 
]]&lt;-4760),"Outlier","Normal")</f>
        <v>Normal</v>
      </c>
    </row>
    <row r="480" spans="1:30" x14ac:dyDescent="0.2">
      <c r="A480" s="20">
        <v>52</v>
      </c>
      <c r="B480" s="15" t="s">
        <v>73</v>
      </c>
      <c r="C480" s="12" t="s">
        <v>1890</v>
      </c>
      <c r="D480" s="20">
        <v>6</v>
      </c>
      <c r="E480" s="20">
        <v>2</v>
      </c>
      <c r="F480" s="15" t="s">
        <v>246</v>
      </c>
      <c r="G480" s="15" t="s">
        <v>47</v>
      </c>
      <c r="I480" s="15" t="s">
        <v>47</v>
      </c>
      <c r="K480" s="20">
        <v>13</v>
      </c>
      <c r="L480" s="20">
        <v>6</v>
      </c>
      <c r="M480" s="20">
        <v>5</v>
      </c>
      <c r="N480" s="21"/>
      <c r="O480" s="21"/>
      <c r="P480" s="21"/>
      <c r="Q480" s="20">
        <v>11</v>
      </c>
      <c r="R480" s="20">
        <v>24</v>
      </c>
      <c r="S480" s="20">
        <v>21</v>
      </c>
      <c r="T480" s="21"/>
      <c r="U480" s="21"/>
      <c r="V480" s="21"/>
      <c r="W480" s="20">
        <v>3380</v>
      </c>
      <c r="X480" s="15" t="s">
        <v>252</v>
      </c>
      <c r="Y480" s="20">
        <v>12</v>
      </c>
      <c r="Z480" s="15" t="s">
        <v>559</v>
      </c>
      <c r="AA480" s="15" t="s">
        <v>85</v>
      </c>
      <c r="AB480" s="15" t="s">
        <v>256</v>
      </c>
      <c r="AC480" s="20" t="s">
        <v>68</v>
      </c>
      <c r="AD480" s="9" t="str">
        <f>IF(OR(Form_Responses34[[#This Row],[Total_monthly_fuel_expense 
]]&gt;10040,Form_Responses34[[#This Row],[Total_monthly_fuel_expense 
]]&lt;-4760),"Outlier","Normal")</f>
        <v>Normal</v>
      </c>
    </row>
    <row r="481" spans="1:30" x14ac:dyDescent="0.2">
      <c r="A481" s="20">
        <v>38</v>
      </c>
      <c r="B481" s="15" t="s">
        <v>42</v>
      </c>
      <c r="C481" s="12" t="s">
        <v>1888</v>
      </c>
      <c r="D481" s="20">
        <v>4</v>
      </c>
      <c r="E481" s="20">
        <v>1</v>
      </c>
      <c r="F481" s="15" t="s">
        <v>100</v>
      </c>
      <c r="H481" s="15" t="s">
        <v>47</v>
      </c>
      <c r="K481" s="21"/>
      <c r="L481" s="21"/>
      <c r="M481" s="21"/>
      <c r="N481" s="20">
        <v>6</v>
      </c>
      <c r="O481" s="20">
        <v>5</v>
      </c>
      <c r="P481" s="20">
        <v>3</v>
      </c>
      <c r="Q481" s="21"/>
      <c r="R481" s="21"/>
      <c r="S481" s="21"/>
      <c r="T481" s="21"/>
      <c r="U481" s="21"/>
      <c r="V481" s="21"/>
      <c r="W481" s="20">
        <v>390</v>
      </c>
      <c r="X481" s="15" t="s">
        <v>159</v>
      </c>
      <c r="Y481" s="20">
        <v>2</v>
      </c>
      <c r="Z481" s="15" t="s">
        <v>344</v>
      </c>
      <c r="AA481" s="15" t="s">
        <v>277</v>
      </c>
      <c r="AB481" s="15" t="s">
        <v>335</v>
      </c>
      <c r="AC481" s="20" t="s">
        <v>68</v>
      </c>
      <c r="AD481" s="9" t="str">
        <f>IF(OR(Form_Responses34[[#This Row],[Total_monthly_fuel_expense 
]]&gt;10040,Form_Responses34[[#This Row],[Total_monthly_fuel_expense 
]]&lt;-4760),"Outlier","Normal")</f>
        <v>Normal</v>
      </c>
    </row>
    <row r="482" spans="1:30" x14ac:dyDescent="0.2">
      <c r="A482" s="20">
        <v>33</v>
      </c>
      <c r="B482" s="15" t="s">
        <v>73</v>
      </c>
      <c r="C482" s="12" t="s">
        <v>1890</v>
      </c>
      <c r="D482" s="20">
        <v>3</v>
      </c>
      <c r="E482" s="20">
        <v>1</v>
      </c>
      <c r="F482" s="15" t="s">
        <v>46</v>
      </c>
      <c r="G482" s="15" t="s">
        <v>47</v>
      </c>
      <c r="K482" s="20">
        <v>4</v>
      </c>
      <c r="L482" s="20">
        <v>23</v>
      </c>
      <c r="M482" s="20">
        <v>15</v>
      </c>
      <c r="N482" s="21"/>
      <c r="O482" s="21"/>
      <c r="P482" s="21"/>
      <c r="Q482" s="21"/>
      <c r="R482" s="21"/>
      <c r="S482" s="21"/>
      <c r="T482" s="21"/>
      <c r="U482" s="21"/>
      <c r="V482" s="21"/>
      <c r="W482" s="20">
        <v>1950</v>
      </c>
      <c r="X482" s="15" t="s">
        <v>323</v>
      </c>
      <c r="Y482" s="20">
        <v>11</v>
      </c>
      <c r="Z482" s="15" t="s">
        <v>255</v>
      </c>
      <c r="AA482" s="15" t="s">
        <v>85</v>
      </c>
      <c r="AB482" s="15" t="s">
        <v>256</v>
      </c>
      <c r="AC482" s="20" t="s">
        <v>257</v>
      </c>
      <c r="AD482" s="9" t="str">
        <f>IF(OR(Form_Responses34[[#This Row],[Total_monthly_fuel_expense 
]]&gt;10040,Form_Responses34[[#This Row],[Total_monthly_fuel_expense 
]]&lt;-4760),"Outlier","Normal")</f>
        <v>Normal</v>
      </c>
    </row>
    <row r="483" spans="1:30" x14ac:dyDescent="0.2">
      <c r="A483" s="20">
        <v>46</v>
      </c>
      <c r="B483" s="15" t="s">
        <v>42</v>
      </c>
      <c r="C483" s="12" t="s">
        <v>1888</v>
      </c>
      <c r="D483" s="20">
        <v>5</v>
      </c>
      <c r="E483" s="20">
        <v>1</v>
      </c>
      <c r="F483" s="15" t="s">
        <v>46</v>
      </c>
      <c r="G483" s="15" t="s">
        <v>47</v>
      </c>
      <c r="K483" s="20">
        <v>16</v>
      </c>
      <c r="L483" s="20">
        <v>4</v>
      </c>
      <c r="M483" s="20">
        <v>3</v>
      </c>
      <c r="N483" s="21"/>
      <c r="O483" s="21"/>
      <c r="P483" s="21"/>
      <c r="Q483" s="21"/>
      <c r="R483" s="21"/>
      <c r="S483" s="21"/>
      <c r="T483" s="21"/>
      <c r="U483" s="21"/>
      <c r="V483" s="21"/>
      <c r="W483" s="20">
        <v>390</v>
      </c>
      <c r="X483" s="15" t="s">
        <v>252</v>
      </c>
      <c r="Y483" s="20">
        <v>2</v>
      </c>
      <c r="Z483" s="15" t="s">
        <v>296</v>
      </c>
      <c r="AA483" s="15" t="s">
        <v>85</v>
      </c>
      <c r="AB483" s="15" t="s">
        <v>256</v>
      </c>
      <c r="AC483" s="20" t="s">
        <v>68</v>
      </c>
      <c r="AD483" s="9" t="str">
        <f>IF(OR(Form_Responses34[[#This Row],[Total_monthly_fuel_expense 
]]&gt;10040,Form_Responses34[[#This Row],[Total_monthly_fuel_expense 
]]&lt;-4760),"Outlier","Normal")</f>
        <v>Normal</v>
      </c>
    </row>
    <row r="484" spans="1:30" x14ac:dyDescent="0.2">
      <c r="A484" s="20">
        <v>40</v>
      </c>
      <c r="B484" s="15" t="s">
        <v>73</v>
      </c>
      <c r="C484" s="12" t="s">
        <v>1891</v>
      </c>
      <c r="D484" s="20">
        <v>4</v>
      </c>
      <c r="E484" s="20">
        <v>1</v>
      </c>
      <c r="F484" s="15" t="s">
        <v>431</v>
      </c>
      <c r="I484" s="15" t="s">
        <v>47</v>
      </c>
      <c r="K484" s="21"/>
      <c r="L484" s="21"/>
      <c r="M484" s="21"/>
      <c r="N484" s="21"/>
      <c r="O484" s="21"/>
      <c r="P484" s="21"/>
      <c r="Q484" s="20">
        <v>6</v>
      </c>
      <c r="R484" s="20">
        <v>31</v>
      </c>
      <c r="S484" s="20">
        <v>27</v>
      </c>
      <c r="T484" s="21"/>
      <c r="U484" s="21"/>
      <c r="V484" s="21"/>
      <c r="W484" s="20">
        <v>4350</v>
      </c>
      <c r="X484" s="15" t="s">
        <v>276</v>
      </c>
      <c r="Y484" s="20">
        <v>15</v>
      </c>
      <c r="Z484" s="15" t="s">
        <v>255</v>
      </c>
      <c r="AA484" s="15" t="s">
        <v>362</v>
      </c>
      <c r="AB484" s="15" t="s">
        <v>307</v>
      </c>
      <c r="AC484" s="20" t="s">
        <v>152</v>
      </c>
      <c r="AD484" s="9" t="str">
        <f>IF(OR(Form_Responses34[[#This Row],[Total_monthly_fuel_expense 
]]&gt;10040,Form_Responses34[[#This Row],[Total_monthly_fuel_expense 
]]&lt;-4760),"Outlier","Normal")</f>
        <v>Normal</v>
      </c>
    </row>
    <row r="485" spans="1:30" x14ac:dyDescent="0.2">
      <c r="A485" s="20">
        <v>58</v>
      </c>
      <c r="B485" s="15" t="s">
        <v>73</v>
      </c>
      <c r="C485" s="12" t="s">
        <v>182</v>
      </c>
      <c r="D485" s="20">
        <v>6</v>
      </c>
      <c r="E485" s="20">
        <v>1</v>
      </c>
      <c r="F485" s="15" t="s">
        <v>46</v>
      </c>
      <c r="G485" s="15" t="s">
        <v>47</v>
      </c>
      <c r="K485" s="20">
        <v>20</v>
      </c>
      <c r="L485" s="20">
        <v>5</v>
      </c>
      <c r="M485" s="20">
        <v>4</v>
      </c>
      <c r="N485" s="21"/>
      <c r="O485" s="21"/>
      <c r="P485" s="21"/>
      <c r="Q485" s="21"/>
      <c r="R485" s="21"/>
      <c r="S485" s="21"/>
      <c r="T485" s="21"/>
      <c r="U485" s="21"/>
      <c r="V485" s="21"/>
      <c r="W485" s="20">
        <v>520</v>
      </c>
      <c r="X485" s="15" t="s">
        <v>360</v>
      </c>
      <c r="Y485" s="20">
        <v>3</v>
      </c>
      <c r="Z485" s="15" t="s">
        <v>724</v>
      </c>
      <c r="AA485" s="15" t="s">
        <v>96</v>
      </c>
      <c r="AB485" s="15" t="s">
        <v>256</v>
      </c>
      <c r="AC485" s="20" t="s">
        <v>68</v>
      </c>
      <c r="AD485" s="9" t="str">
        <f>IF(OR(Form_Responses34[[#This Row],[Total_monthly_fuel_expense 
]]&gt;10040,Form_Responses34[[#This Row],[Total_monthly_fuel_expense 
]]&lt;-4760),"Outlier","Normal")</f>
        <v>Normal</v>
      </c>
    </row>
    <row r="486" spans="1:30" x14ac:dyDescent="0.2">
      <c r="A486" s="20">
        <v>28</v>
      </c>
      <c r="B486" s="15" t="s">
        <v>73</v>
      </c>
      <c r="C486" s="12" t="s">
        <v>1889</v>
      </c>
      <c r="D486" s="20">
        <v>3</v>
      </c>
      <c r="E486" s="20">
        <v>1</v>
      </c>
      <c r="F486" s="15" t="s">
        <v>46</v>
      </c>
      <c r="G486" s="15" t="s">
        <v>47</v>
      </c>
      <c r="K486" s="20">
        <v>3</v>
      </c>
      <c r="L486" s="20">
        <v>19</v>
      </c>
      <c r="M486" s="20">
        <v>12</v>
      </c>
      <c r="N486" s="21"/>
      <c r="O486" s="21"/>
      <c r="P486" s="21"/>
      <c r="Q486" s="21"/>
      <c r="R486" s="21"/>
      <c r="S486" s="21"/>
      <c r="T486" s="21"/>
      <c r="U486" s="21"/>
      <c r="V486" s="21"/>
      <c r="W486" s="20">
        <v>1560</v>
      </c>
      <c r="X486" s="15" t="s">
        <v>252</v>
      </c>
      <c r="Y486" s="20">
        <v>9</v>
      </c>
      <c r="Z486" s="15" t="s">
        <v>255</v>
      </c>
      <c r="AA486" s="15" t="s">
        <v>85</v>
      </c>
      <c r="AB486" s="15" t="s">
        <v>256</v>
      </c>
      <c r="AC486" s="20" t="s">
        <v>257</v>
      </c>
      <c r="AD486" s="9" t="str">
        <f>IF(OR(Form_Responses34[[#This Row],[Total_monthly_fuel_expense 
]]&gt;10040,Form_Responses34[[#This Row],[Total_monthly_fuel_expense 
]]&lt;-4760),"Outlier","Normal")</f>
        <v>Normal</v>
      </c>
    </row>
    <row r="487" spans="1:30" x14ac:dyDescent="0.2">
      <c r="A487" s="20">
        <v>41</v>
      </c>
      <c r="B487" s="15" t="s">
        <v>42</v>
      </c>
      <c r="C487" s="12" t="s">
        <v>182</v>
      </c>
      <c r="D487" s="20">
        <v>5</v>
      </c>
      <c r="E487" s="20">
        <v>1</v>
      </c>
      <c r="F487" s="15" t="s">
        <v>100</v>
      </c>
      <c r="H487" s="15" t="s">
        <v>47</v>
      </c>
      <c r="K487" s="21"/>
      <c r="L487" s="21"/>
      <c r="M487" s="21"/>
      <c r="N487" s="20">
        <v>2</v>
      </c>
      <c r="O487" s="20">
        <v>6</v>
      </c>
      <c r="P487" s="20">
        <v>4</v>
      </c>
      <c r="Q487" s="21"/>
      <c r="R487" s="21"/>
      <c r="S487" s="21"/>
      <c r="T487" s="21"/>
      <c r="U487" s="21"/>
      <c r="V487" s="21"/>
      <c r="W487" s="20">
        <v>420</v>
      </c>
      <c r="X487" s="15" t="s">
        <v>159</v>
      </c>
      <c r="Y487" s="20">
        <v>3</v>
      </c>
      <c r="Z487" s="15" t="s">
        <v>344</v>
      </c>
      <c r="AA487" s="15" t="s">
        <v>85</v>
      </c>
      <c r="AB487" s="15" t="s">
        <v>335</v>
      </c>
      <c r="AC487" s="20" t="s">
        <v>68</v>
      </c>
      <c r="AD487" s="9" t="str">
        <f>IF(OR(Form_Responses34[[#This Row],[Total_monthly_fuel_expense 
]]&gt;10040,Form_Responses34[[#This Row],[Total_monthly_fuel_expense 
]]&lt;-4760),"Outlier","Normal")</f>
        <v>Normal</v>
      </c>
    </row>
    <row r="488" spans="1:30" x14ac:dyDescent="0.2">
      <c r="A488" s="20">
        <v>32</v>
      </c>
      <c r="B488" s="15" t="s">
        <v>73</v>
      </c>
      <c r="C488" s="12" t="s">
        <v>1889</v>
      </c>
      <c r="D488" s="20">
        <v>5</v>
      </c>
      <c r="E488" s="20">
        <v>1</v>
      </c>
      <c r="F488" s="15" t="s">
        <v>431</v>
      </c>
      <c r="I488" s="15" t="s">
        <v>47</v>
      </c>
      <c r="K488" s="21"/>
      <c r="L488" s="21"/>
      <c r="M488" s="21"/>
      <c r="N488" s="21"/>
      <c r="O488" s="21"/>
      <c r="P488" s="21"/>
      <c r="Q488" s="20">
        <v>5</v>
      </c>
      <c r="R488" s="20">
        <v>28</v>
      </c>
      <c r="S488" s="20">
        <v>24</v>
      </c>
      <c r="T488" s="21"/>
      <c r="U488" s="21"/>
      <c r="V488" s="21"/>
      <c r="W488" s="20">
        <v>3840</v>
      </c>
      <c r="X488" s="15" t="s">
        <v>276</v>
      </c>
      <c r="Y488" s="20">
        <v>14</v>
      </c>
      <c r="Z488" s="15" t="s">
        <v>255</v>
      </c>
      <c r="AA488" s="15" t="s">
        <v>362</v>
      </c>
      <c r="AB488" s="15" t="s">
        <v>307</v>
      </c>
      <c r="AC488" s="20" t="s">
        <v>68</v>
      </c>
      <c r="AD488" s="9" t="str">
        <f>IF(OR(Form_Responses34[[#This Row],[Total_monthly_fuel_expense 
]]&gt;10040,Form_Responses34[[#This Row],[Total_monthly_fuel_expense 
]]&lt;-4760),"Outlier","Normal")</f>
        <v>Normal</v>
      </c>
    </row>
    <row r="489" spans="1:30" x14ac:dyDescent="0.2">
      <c r="A489" s="20">
        <v>48</v>
      </c>
      <c r="B489" s="15" t="s">
        <v>73</v>
      </c>
      <c r="C489" s="12" t="s">
        <v>1890</v>
      </c>
      <c r="D489" s="20">
        <v>5</v>
      </c>
      <c r="E489" s="20">
        <v>2</v>
      </c>
      <c r="F489" s="15" t="s">
        <v>290</v>
      </c>
      <c r="G489" s="15" t="s">
        <v>47</v>
      </c>
      <c r="J489" s="15" t="s">
        <v>291</v>
      </c>
      <c r="K489" s="20">
        <v>10</v>
      </c>
      <c r="L489" s="20">
        <v>7</v>
      </c>
      <c r="M489" s="20">
        <v>6</v>
      </c>
      <c r="N489" s="21"/>
      <c r="O489" s="21"/>
      <c r="P489" s="21"/>
      <c r="Q489" s="21"/>
      <c r="R489" s="21"/>
      <c r="S489" s="21"/>
      <c r="T489" s="20">
        <v>12</v>
      </c>
      <c r="U489" s="20">
        <v>4</v>
      </c>
      <c r="V489" s="20">
        <v>45</v>
      </c>
      <c r="W489" s="20">
        <v>5400</v>
      </c>
      <c r="X489" s="15" t="s">
        <v>252</v>
      </c>
      <c r="Y489" s="20">
        <v>4</v>
      </c>
      <c r="Z489" s="15" t="s">
        <v>296</v>
      </c>
      <c r="AA489" s="15" t="s">
        <v>362</v>
      </c>
      <c r="AB489" s="15" t="s">
        <v>307</v>
      </c>
      <c r="AC489" s="20" t="s">
        <v>257</v>
      </c>
      <c r="AD489" s="9" t="str">
        <f>IF(OR(Form_Responses34[[#This Row],[Total_monthly_fuel_expense 
]]&gt;10040,Form_Responses34[[#This Row],[Total_monthly_fuel_expense 
]]&lt;-4760),"Outlier","Normal")</f>
        <v>Normal</v>
      </c>
    </row>
    <row r="490" spans="1:30" x14ac:dyDescent="0.2">
      <c r="A490" s="20">
        <v>28</v>
      </c>
      <c r="B490" s="15" t="s">
        <v>42</v>
      </c>
      <c r="C490" s="12" t="s">
        <v>1889</v>
      </c>
      <c r="D490" s="20">
        <v>4</v>
      </c>
      <c r="E490" s="20">
        <v>1</v>
      </c>
      <c r="F490" s="15" t="s">
        <v>100</v>
      </c>
      <c r="H490" s="15" t="s">
        <v>47</v>
      </c>
      <c r="K490" s="21"/>
      <c r="L490" s="21"/>
      <c r="M490" s="21"/>
      <c r="N490" s="20">
        <v>2</v>
      </c>
      <c r="O490" s="20">
        <v>9</v>
      </c>
      <c r="P490" s="20">
        <v>8</v>
      </c>
      <c r="Q490" s="21"/>
      <c r="R490" s="21"/>
      <c r="S490" s="21"/>
      <c r="T490" s="21"/>
      <c r="U490" s="21"/>
      <c r="V490" s="21"/>
      <c r="W490" s="20">
        <v>880</v>
      </c>
      <c r="X490" s="15" t="s">
        <v>323</v>
      </c>
      <c r="Y490" s="20">
        <v>5</v>
      </c>
      <c r="Z490" s="15" t="s">
        <v>255</v>
      </c>
      <c r="AA490" s="15" t="s">
        <v>85</v>
      </c>
      <c r="AB490" s="15" t="s">
        <v>256</v>
      </c>
      <c r="AC490" s="20" t="s">
        <v>257</v>
      </c>
      <c r="AD490" s="9" t="str">
        <f>IF(OR(Form_Responses34[[#This Row],[Total_monthly_fuel_expense 
]]&gt;10040,Form_Responses34[[#This Row],[Total_monthly_fuel_expense 
]]&lt;-4760),"Outlier","Normal")</f>
        <v>Normal</v>
      </c>
    </row>
    <row r="491" spans="1:30" x14ac:dyDescent="0.2">
      <c r="A491" s="20">
        <v>55</v>
      </c>
      <c r="B491" s="15" t="s">
        <v>73</v>
      </c>
      <c r="C491" s="12" t="s">
        <v>1890</v>
      </c>
      <c r="D491" s="20">
        <v>5</v>
      </c>
      <c r="E491" s="20">
        <v>1</v>
      </c>
      <c r="F491" s="15" t="s">
        <v>431</v>
      </c>
      <c r="I491" s="15" t="s">
        <v>47</v>
      </c>
      <c r="K491" s="21"/>
      <c r="L491" s="21"/>
      <c r="M491" s="21"/>
      <c r="N491" s="21"/>
      <c r="O491" s="21"/>
      <c r="P491" s="21"/>
      <c r="Q491" s="20">
        <v>9</v>
      </c>
      <c r="R491" s="20">
        <v>18</v>
      </c>
      <c r="S491" s="20">
        <v>20</v>
      </c>
      <c r="T491" s="21"/>
      <c r="U491" s="21"/>
      <c r="V491" s="21"/>
      <c r="W491" s="20">
        <v>2000</v>
      </c>
      <c r="X491" s="15" t="s">
        <v>159</v>
      </c>
      <c r="Y491" s="20">
        <v>9</v>
      </c>
      <c r="Z491" s="15" t="s">
        <v>559</v>
      </c>
      <c r="AA491" s="15" t="s">
        <v>362</v>
      </c>
      <c r="AB491" s="15" t="s">
        <v>307</v>
      </c>
      <c r="AC491" s="20" t="s">
        <v>68</v>
      </c>
      <c r="AD491" s="9" t="str">
        <f>IF(OR(Form_Responses34[[#This Row],[Total_monthly_fuel_expense 
]]&gt;10040,Form_Responses34[[#This Row],[Total_monthly_fuel_expense 
]]&lt;-4760),"Outlier","Normal")</f>
        <v>Normal</v>
      </c>
    </row>
    <row r="492" spans="1:30" x14ac:dyDescent="0.2">
      <c r="A492" s="20">
        <v>39</v>
      </c>
      <c r="B492" s="15" t="s">
        <v>73</v>
      </c>
      <c r="C492" s="12" t="s">
        <v>1889</v>
      </c>
      <c r="D492" s="20">
        <v>3</v>
      </c>
      <c r="E492" s="20">
        <v>1</v>
      </c>
      <c r="F492" s="15" t="s">
        <v>431</v>
      </c>
      <c r="I492" s="15" t="s">
        <v>47</v>
      </c>
      <c r="K492" s="21"/>
      <c r="L492" s="21"/>
      <c r="M492" s="21"/>
      <c r="N492" s="21"/>
      <c r="O492" s="21"/>
      <c r="P492" s="21"/>
      <c r="Q492" s="20">
        <v>2</v>
      </c>
      <c r="R492" s="20">
        <v>24</v>
      </c>
      <c r="S492" s="20">
        <v>22</v>
      </c>
      <c r="T492" s="21"/>
      <c r="U492" s="21"/>
      <c r="V492" s="21"/>
      <c r="W492" s="20">
        <v>2300</v>
      </c>
      <c r="X492" s="15" t="s">
        <v>276</v>
      </c>
      <c r="Y492" s="20">
        <v>12</v>
      </c>
      <c r="Z492" s="15" t="s">
        <v>255</v>
      </c>
      <c r="AA492" s="15" t="s">
        <v>85</v>
      </c>
      <c r="AB492" s="15" t="s">
        <v>256</v>
      </c>
      <c r="AC492" s="20" t="s">
        <v>68</v>
      </c>
      <c r="AD492" s="9" t="str">
        <f>IF(OR(Form_Responses34[[#This Row],[Total_monthly_fuel_expense 
]]&gt;10040,Form_Responses34[[#This Row],[Total_monthly_fuel_expense 
]]&lt;-4760),"Outlier","Normal")</f>
        <v>Normal</v>
      </c>
    </row>
    <row r="493" spans="1:30" x14ac:dyDescent="0.2">
      <c r="A493" s="20">
        <v>22</v>
      </c>
      <c r="B493" s="15" t="s">
        <v>73</v>
      </c>
      <c r="C493" s="12" t="s">
        <v>182</v>
      </c>
      <c r="D493" s="20">
        <v>5</v>
      </c>
      <c r="E493" s="20">
        <v>1</v>
      </c>
      <c r="F493" s="15" t="s">
        <v>46</v>
      </c>
      <c r="G493" s="15" t="s">
        <v>47</v>
      </c>
      <c r="K493" s="20">
        <v>2</v>
      </c>
      <c r="L493" s="20">
        <v>7</v>
      </c>
      <c r="M493" s="20">
        <v>10</v>
      </c>
      <c r="N493" s="21"/>
      <c r="O493" s="21"/>
      <c r="P493" s="21"/>
      <c r="Q493" s="21"/>
      <c r="R493" s="21"/>
      <c r="S493" s="21"/>
      <c r="T493" s="21"/>
      <c r="U493" s="21"/>
      <c r="V493" s="21"/>
      <c r="W493" s="20">
        <v>1000</v>
      </c>
      <c r="X493" s="15" t="s">
        <v>323</v>
      </c>
      <c r="Y493" s="20">
        <v>4</v>
      </c>
      <c r="Z493" s="15" t="s">
        <v>285</v>
      </c>
      <c r="AA493" s="15" t="s">
        <v>362</v>
      </c>
      <c r="AB493" s="15" t="s">
        <v>307</v>
      </c>
      <c r="AC493" s="20" t="s">
        <v>257</v>
      </c>
      <c r="AD493" s="9" t="str">
        <f>IF(OR(Form_Responses34[[#This Row],[Total_monthly_fuel_expense 
]]&gt;10040,Form_Responses34[[#This Row],[Total_monthly_fuel_expense 
]]&lt;-4760),"Outlier","Normal")</f>
        <v>Normal</v>
      </c>
    </row>
    <row r="494" spans="1:30" x14ac:dyDescent="0.2">
      <c r="A494" s="20">
        <v>51</v>
      </c>
      <c r="B494" s="15" t="s">
        <v>42</v>
      </c>
      <c r="C494" s="12" t="s">
        <v>1890</v>
      </c>
      <c r="D494" s="20">
        <v>4</v>
      </c>
      <c r="E494" s="20">
        <v>1</v>
      </c>
      <c r="F494" s="15" t="s">
        <v>431</v>
      </c>
      <c r="I494" s="15" t="s">
        <v>47</v>
      </c>
      <c r="K494" s="21"/>
      <c r="L494" s="21"/>
      <c r="M494" s="21"/>
      <c r="N494" s="21"/>
      <c r="O494" s="21"/>
      <c r="P494" s="21"/>
      <c r="Q494" s="20">
        <v>4</v>
      </c>
      <c r="R494" s="20">
        <v>24</v>
      </c>
      <c r="S494" s="20">
        <v>26</v>
      </c>
      <c r="T494" s="21"/>
      <c r="U494" s="21"/>
      <c r="V494" s="21"/>
      <c r="W494" s="20">
        <v>2800</v>
      </c>
      <c r="X494" s="15" t="s">
        <v>159</v>
      </c>
      <c r="Y494" s="20">
        <v>12</v>
      </c>
      <c r="Z494" s="15" t="s">
        <v>255</v>
      </c>
      <c r="AA494" s="15" t="s">
        <v>362</v>
      </c>
      <c r="AB494" s="15" t="s">
        <v>307</v>
      </c>
      <c r="AC494" s="20" t="s">
        <v>68</v>
      </c>
      <c r="AD494" s="9" t="str">
        <f>IF(OR(Form_Responses34[[#This Row],[Total_monthly_fuel_expense 
]]&gt;10040,Form_Responses34[[#This Row],[Total_monthly_fuel_expense 
]]&lt;-4760),"Outlier","Normal")</f>
        <v>Normal</v>
      </c>
    </row>
    <row r="495" spans="1:30" x14ac:dyDescent="0.2">
      <c r="A495" s="20">
        <v>39</v>
      </c>
      <c r="B495" s="15" t="s">
        <v>73</v>
      </c>
      <c r="C495" s="12" t="s">
        <v>1889</v>
      </c>
      <c r="D495" s="20">
        <v>6</v>
      </c>
      <c r="E495" s="20">
        <v>1</v>
      </c>
      <c r="F495" s="15" t="s">
        <v>46</v>
      </c>
      <c r="G495" s="15" t="s">
        <v>47</v>
      </c>
      <c r="K495" s="20">
        <v>15</v>
      </c>
      <c r="L495" s="20">
        <v>6</v>
      </c>
      <c r="M495" s="20">
        <v>5</v>
      </c>
      <c r="N495" s="21"/>
      <c r="O495" s="21"/>
      <c r="P495" s="21"/>
      <c r="Q495" s="21"/>
      <c r="R495" s="21"/>
      <c r="S495" s="21"/>
      <c r="T495" s="21"/>
      <c r="U495" s="21"/>
      <c r="V495" s="21"/>
      <c r="W495" s="20">
        <v>580</v>
      </c>
      <c r="X495" s="15" t="s">
        <v>276</v>
      </c>
      <c r="Y495" s="20">
        <v>3</v>
      </c>
      <c r="Z495" s="15" t="s">
        <v>724</v>
      </c>
      <c r="AA495" s="15" t="s">
        <v>85</v>
      </c>
      <c r="AB495" s="15" t="s">
        <v>256</v>
      </c>
      <c r="AC495" s="20" t="s">
        <v>257</v>
      </c>
      <c r="AD495" s="9" t="str">
        <f>IF(OR(Form_Responses34[[#This Row],[Total_monthly_fuel_expense 
]]&gt;10040,Form_Responses34[[#This Row],[Total_monthly_fuel_expense 
]]&lt;-4760),"Outlier","Normal")</f>
        <v>Normal</v>
      </c>
    </row>
    <row r="496" spans="1:30" x14ac:dyDescent="0.2">
      <c r="A496" s="20">
        <v>33</v>
      </c>
      <c r="B496" s="15" t="s">
        <v>73</v>
      </c>
      <c r="C496" s="12" t="s">
        <v>1889</v>
      </c>
      <c r="D496" s="20">
        <v>4</v>
      </c>
      <c r="E496" s="20">
        <v>1</v>
      </c>
      <c r="F496" s="15" t="s">
        <v>46</v>
      </c>
      <c r="G496" s="15" t="s">
        <v>47</v>
      </c>
      <c r="K496" s="20">
        <v>5</v>
      </c>
      <c r="L496" s="20">
        <v>18</v>
      </c>
      <c r="M496" s="20">
        <v>11</v>
      </c>
      <c r="N496" s="21"/>
      <c r="O496" s="21"/>
      <c r="P496" s="21"/>
      <c r="Q496" s="21"/>
      <c r="R496" s="21"/>
      <c r="S496" s="21"/>
      <c r="T496" s="21"/>
      <c r="U496" s="21"/>
      <c r="V496" s="21"/>
      <c r="W496" s="20">
        <v>1430</v>
      </c>
      <c r="X496" s="15" t="s">
        <v>252</v>
      </c>
      <c r="Y496" s="20">
        <v>9</v>
      </c>
      <c r="Z496" s="15" t="s">
        <v>255</v>
      </c>
      <c r="AA496" s="15" t="s">
        <v>85</v>
      </c>
      <c r="AB496" s="15" t="s">
        <v>256</v>
      </c>
      <c r="AC496" s="20" t="s">
        <v>257</v>
      </c>
      <c r="AD496" s="9" t="str">
        <f>IF(OR(Form_Responses34[[#This Row],[Total_monthly_fuel_expense 
]]&gt;10040,Form_Responses34[[#This Row],[Total_monthly_fuel_expense 
]]&lt;-4760),"Outlier","Normal")</f>
        <v>Normal</v>
      </c>
    </row>
    <row r="497" spans="1:30" x14ac:dyDescent="0.2">
      <c r="A497" s="20">
        <v>29</v>
      </c>
      <c r="B497" s="15" t="s">
        <v>42</v>
      </c>
      <c r="C497" s="12" t="s">
        <v>1888</v>
      </c>
      <c r="D497" s="20">
        <v>3</v>
      </c>
      <c r="E497" s="20">
        <v>1</v>
      </c>
      <c r="F497" s="15" t="s">
        <v>100</v>
      </c>
      <c r="H497" s="15" t="s">
        <v>47</v>
      </c>
      <c r="K497" s="21"/>
      <c r="L497" s="21"/>
      <c r="M497" s="21"/>
      <c r="N497" s="20">
        <v>4</v>
      </c>
      <c r="O497" s="20">
        <v>8</v>
      </c>
      <c r="P497" s="20">
        <v>5</v>
      </c>
      <c r="Q497" s="21"/>
      <c r="R497" s="21"/>
      <c r="S497" s="21"/>
      <c r="T497" s="21"/>
      <c r="U497" s="21"/>
      <c r="V497" s="21"/>
      <c r="W497" s="20">
        <v>650</v>
      </c>
      <c r="X497" s="15" t="s">
        <v>323</v>
      </c>
      <c r="Y497" s="20">
        <v>4</v>
      </c>
      <c r="Z497" s="15" t="s">
        <v>255</v>
      </c>
      <c r="AA497" s="15" t="s">
        <v>277</v>
      </c>
      <c r="AB497" s="15" t="s">
        <v>335</v>
      </c>
      <c r="AC497" s="20" t="s">
        <v>257</v>
      </c>
      <c r="AD497" s="9" t="str">
        <f>IF(OR(Form_Responses34[[#This Row],[Total_monthly_fuel_expense 
]]&gt;10040,Form_Responses34[[#This Row],[Total_monthly_fuel_expense 
]]&lt;-4760),"Outlier","Normal")</f>
        <v>Normal</v>
      </c>
    </row>
    <row r="498" spans="1:30" x14ac:dyDescent="0.2">
      <c r="A498" s="20">
        <v>46</v>
      </c>
      <c r="B498" s="15" t="s">
        <v>73</v>
      </c>
      <c r="C498" s="12" t="s">
        <v>1890</v>
      </c>
      <c r="D498" s="20">
        <v>6</v>
      </c>
      <c r="E498" s="20">
        <v>2</v>
      </c>
      <c r="F498" s="15" t="s">
        <v>290</v>
      </c>
      <c r="G498" s="15" t="s">
        <v>47</v>
      </c>
      <c r="J498" s="15" t="s">
        <v>291</v>
      </c>
      <c r="K498" s="20">
        <v>11</v>
      </c>
      <c r="L498" s="20">
        <v>7</v>
      </c>
      <c r="M498" s="20">
        <v>6</v>
      </c>
      <c r="N498" s="21"/>
      <c r="O498" s="21"/>
      <c r="P498" s="21"/>
      <c r="Q498" s="21"/>
      <c r="R498" s="21"/>
      <c r="S498" s="21"/>
      <c r="T498" s="20">
        <v>14</v>
      </c>
      <c r="U498" s="20">
        <v>3</v>
      </c>
      <c r="V498" s="20">
        <v>60</v>
      </c>
      <c r="W498" s="20">
        <v>7800</v>
      </c>
      <c r="X498" s="15" t="s">
        <v>252</v>
      </c>
      <c r="Y498" s="20">
        <v>3</v>
      </c>
      <c r="Z498" s="15" t="s">
        <v>296</v>
      </c>
      <c r="AA498" s="15" t="s">
        <v>362</v>
      </c>
      <c r="AB498" s="15" t="s">
        <v>307</v>
      </c>
      <c r="AC498" s="20" t="s">
        <v>68</v>
      </c>
      <c r="AD498" s="9" t="str">
        <f>IF(OR(Form_Responses34[[#This Row],[Total_monthly_fuel_expense 
]]&gt;10040,Form_Responses34[[#This Row],[Total_monthly_fuel_expense 
]]&lt;-4760),"Outlier","Normal")</f>
        <v>Normal</v>
      </c>
    </row>
    <row r="499" spans="1:30" x14ac:dyDescent="0.2">
      <c r="A499" s="20">
        <v>27</v>
      </c>
      <c r="B499" s="15" t="s">
        <v>73</v>
      </c>
      <c r="C499" s="12" t="s">
        <v>1891</v>
      </c>
      <c r="D499" s="20">
        <v>3</v>
      </c>
      <c r="E499" s="20">
        <v>1</v>
      </c>
      <c r="F499" s="15" t="s">
        <v>431</v>
      </c>
      <c r="I499" s="15" t="s">
        <v>47</v>
      </c>
      <c r="K499" s="21"/>
      <c r="L499" s="21"/>
      <c r="M499" s="21"/>
      <c r="N499" s="21"/>
      <c r="O499" s="21"/>
      <c r="P499" s="21"/>
      <c r="Q499" s="20">
        <v>3</v>
      </c>
      <c r="R499" s="20">
        <v>36</v>
      </c>
      <c r="S499" s="20">
        <v>30</v>
      </c>
      <c r="T499" s="21"/>
      <c r="U499" s="21"/>
      <c r="V499" s="21"/>
      <c r="W499" s="20">
        <v>4800</v>
      </c>
      <c r="X499" s="15" t="s">
        <v>276</v>
      </c>
      <c r="Y499" s="20">
        <v>18</v>
      </c>
      <c r="Z499" s="15" t="s">
        <v>255</v>
      </c>
      <c r="AA499" s="15" t="s">
        <v>362</v>
      </c>
      <c r="AB499" s="15" t="s">
        <v>307</v>
      </c>
      <c r="AC499" s="20" t="s">
        <v>152</v>
      </c>
      <c r="AD499" s="9" t="str">
        <f>IF(OR(Form_Responses34[[#This Row],[Total_monthly_fuel_expense 
]]&gt;10040,Form_Responses34[[#This Row],[Total_monthly_fuel_expense 
]]&lt;-4760),"Outlier","Normal")</f>
        <v>Normal</v>
      </c>
    </row>
    <row r="500" spans="1:30" x14ac:dyDescent="0.2">
      <c r="A500" s="20">
        <v>42</v>
      </c>
      <c r="B500" s="15" t="s">
        <v>42</v>
      </c>
      <c r="C500" s="12" t="s">
        <v>1888</v>
      </c>
      <c r="D500" s="20">
        <v>5</v>
      </c>
      <c r="E500" s="20">
        <v>1</v>
      </c>
      <c r="F500" s="15" t="s">
        <v>100</v>
      </c>
      <c r="H500" s="15" t="s">
        <v>47</v>
      </c>
      <c r="K500" s="21"/>
      <c r="L500" s="21"/>
      <c r="M500" s="21"/>
      <c r="N500" s="20">
        <v>7</v>
      </c>
      <c r="O500" s="20">
        <v>4</v>
      </c>
      <c r="P500" s="20">
        <v>3</v>
      </c>
      <c r="Q500" s="21"/>
      <c r="R500" s="21"/>
      <c r="S500" s="21"/>
      <c r="T500" s="21"/>
      <c r="U500" s="21"/>
      <c r="V500" s="21"/>
      <c r="W500" s="20">
        <v>390</v>
      </c>
      <c r="X500" s="15" t="s">
        <v>252</v>
      </c>
      <c r="Y500" s="20">
        <v>2</v>
      </c>
      <c r="Z500" s="15" t="s">
        <v>344</v>
      </c>
      <c r="AA500" s="15" t="s">
        <v>277</v>
      </c>
      <c r="AB500" s="15" t="s">
        <v>335</v>
      </c>
      <c r="AC500" s="20" t="s">
        <v>68</v>
      </c>
      <c r="AD500" s="9" t="str">
        <f>IF(OR(Form_Responses34[[#This Row],[Total_monthly_fuel_expense 
]]&gt;10040,Form_Responses34[[#This Row],[Total_monthly_fuel_expense 
]]&lt;-4760),"Outlier","Normal")</f>
        <v>Normal</v>
      </c>
    </row>
    <row r="501" spans="1:30" x14ac:dyDescent="0.2">
      <c r="A501" s="20">
        <v>35</v>
      </c>
      <c r="B501" s="15" t="s">
        <v>73</v>
      </c>
      <c r="C501" s="12" t="s">
        <v>1890</v>
      </c>
      <c r="D501" s="20">
        <v>4</v>
      </c>
      <c r="E501" s="20">
        <v>2</v>
      </c>
      <c r="F501" s="15" t="s">
        <v>246</v>
      </c>
      <c r="G501" s="15" t="s">
        <v>47</v>
      </c>
      <c r="I501" s="15" t="s">
        <v>47</v>
      </c>
      <c r="K501" s="20">
        <v>6</v>
      </c>
      <c r="L501" s="20">
        <v>5</v>
      </c>
      <c r="M501" s="20">
        <v>4</v>
      </c>
      <c r="N501" s="21"/>
      <c r="O501" s="21"/>
      <c r="P501" s="21"/>
      <c r="Q501" s="20">
        <v>5</v>
      </c>
      <c r="R501" s="20">
        <v>20</v>
      </c>
      <c r="S501" s="20">
        <v>22</v>
      </c>
      <c r="T501" s="21"/>
      <c r="U501" s="21"/>
      <c r="V501" s="21"/>
      <c r="W501" s="20">
        <v>3500</v>
      </c>
      <c r="X501" s="15" t="s">
        <v>159</v>
      </c>
      <c r="Y501" s="20">
        <v>9</v>
      </c>
      <c r="Z501" s="15" t="s">
        <v>559</v>
      </c>
      <c r="AA501" s="15" t="s">
        <v>362</v>
      </c>
      <c r="AB501" s="15" t="s">
        <v>307</v>
      </c>
      <c r="AC501" s="20" t="s">
        <v>257</v>
      </c>
      <c r="AD501" s="9" t="str">
        <f>IF(OR(Form_Responses34[[#This Row],[Total_monthly_fuel_expense 
]]&gt;10040,Form_Responses34[[#This Row],[Total_monthly_fuel_expense 
]]&lt;-4760),"Outlier","Normal")</f>
        <v>Normal</v>
      </c>
    </row>
    <row r="502" spans="1:30" x14ac:dyDescent="0.2">
      <c r="A502" s="20">
        <v>22</v>
      </c>
      <c r="B502" s="15" t="s">
        <v>73</v>
      </c>
      <c r="C502" s="12" t="s">
        <v>182</v>
      </c>
      <c r="D502" s="20">
        <v>5</v>
      </c>
      <c r="E502" s="20">
        <v>1</v>
      </c>
      <c r="F502" s="15" t="s">
        <v>46</v>
      </c>
      <c r="G502" s="15" t="s">
        <v>47</v>
      </c>
      <c r="K502" s="20">
        <v>1</v>
      </c>
      <c r="L502" s="20">
        <v>16</v>
      </c>
      <c r="M502" s="20">
        <v>9</v>
      </c>
      <c r="N502" s="21"/>
      <c r="O502" s="21"/>
      <c r="P502" s="21"/>
      <c r="Q502" s="21"/>
      <c r="R502" s="21"/>
      <c r="S502" s="21"/>
      <c r="T502" s="21"/>
      <c r="U502" s="21"/>
      <c r="V502" s="21"/>
      <c r="W502" s="20">
        <v>1000</v>
      </c>
      <c r="X502" s="15" t="s">
        <v>323</v>
      </c>
      <c r="Y502" s="20">
        <v>8</v>
      </c>
      <c r="Z502" s="15" t="s">
        <v>285</v>
      </c>
      <c r="AA502" s="15" t="s">
        <v>85</v>
      </c>
      <c r="AB502" s="15" t="s">
        <v>256</v>
      </c>
      <c r="AC502" s="20" t="s">
        <v>68</v>
      </c>
      <c r="AD502" s="9" t="str">
        <f>IF(OR(Form_Responses34[[#This Row],[Total_monthly_fuel_expense 
]]&gt;10040,Form_Responses34[[#This Row],[Total_monthly_fuel_expense 
]]&lt;-4760),"Outlier","Normal")</f>
        <v>Normal</v>
      </c>
    </row>
    <row r="503" spans="1:30" x14ac:dyDescent="0.2">
      <c r="A503" s="20">
        <v>44</v>
      </c>
      <c r="B503" s="15" t="s">
        <v>73</v>
      </c>
      <c r="C503" s="12" t="s">
        <v>1890</v>
      </c>
      <c r="D503" s="20">
        <v>5</v>
      </c>
      <c r="E503" s="20">
        <v>1</v>
      </c>
      <c r="F503" s="15" t="s">
        <v>431</v>
      </c>
      <c r="I503" s="15" t="s">
        <v>47</v>
      </c>
      <c r="K503" s="21"/>
      <c r="L503" s="21"/>
      <c r="M503" s="21"/>
      <c r="N503" s="21"/>
      <c r="O503" s="21"/>
      <c r="P503" s="21"/>
      <c r="Q503" s="20">
        <v>7</v>
      </c>
      <c r="R503" s="20">
        <v>9</v>
      </c>
      <c r="S503" s="20">
        <v>20</v>
      </c>
      <c r="T503" s="21"/>
      <c r="U503" s="21"/>
      <c r="V503" s="21"/>
      <c r="W503" s="20">
        <v>2100</v>
      </c>
      <c r="X503" s="15" t="s">
        <v>159</v>
      </c>
      <c r="Y503" s="20">
        <v>6</v>
      </c>
      <c r="Z503" s="15" t="s">
        <v>255</v>
      </c>
      <c r="AA503" s="15" t="s">
        <v>362</v>
      </c>
      <c r="AB503" s="15" t="s">
        <v>307</v>
      </c>
      <c r="AC503" s="20" t="s">
        <v>257</v>
      </c>
      <c r="AD503" s="9" t="str">
        <f>IF(OR(Form_Responses34[[#This Row],[Total_monthly_fuel_expense 
]]&gt;10040,Form_Responses34[[#This Row],[Total_monthly_fuel_expense 
]]&lt;-4760),"Outlier","Normal")</f>
        <v>Normal</v>
      </c>
    </row>
    <row r="504" spans="1:30" x14ac:dyDescent="0.2">
      <c r="A504" s="20">
        <v>23</v>
      </c>
      <c r="B504" s="15" t="s">
        <v>73</v>
      </c>
      <c r="C504" s="12" t="s">
        <v>182</v>
      </c>
      <c r="D504" s="20">
        <v>4</v>
      </c>
      <c r="E504" s="20">
        <v>1</v>
      </c>
      <c r="F504" s="15" t="s">
        <v>46</v>
      </c>
      <c r="G504" s="15" t="s">
        <v>47</v>
      </c>
      <c r="K504" s="20">
        <v>2</v>
      </c>
      <c r="L504" s="20">
        <v>15</v>
      </c>
      <c r="M504" s="20">
        <v>9</v>
      </c>
      <c r="N504" s="21"/>
      <c r="O504" s="21"/>
      <c r="P504" s="21"/>
      <c r="Q504" s="21"/>
      <c r="R504" s="21"/>
      <c r="S504" s="21"/>
      <c r="T504" s="21"/>
      <c r="U504" s="21"/>
      <c r="V504" s="21"/>
      <c r="W504" s="20">
        <v>1170</v>
      </c>
      <c r="X504" s="15" t="s">
        <v>360</v>
      </c>
      <c r="Y504" s="20">
        <v>7</v>
      </c>
      <c r="Z504" s="15" t="s">
        <v>285</v>
      </c>
      <c r="AA504" s="15" t="s">
        <v>96</v>
      </c>
      <c r="AB504" s="15" t="s">
        <v>256</v>
      </c>
      <c r="AC504" s="20" t="s">
        <v>257</v>
      </c>
      <c r="AD504" s="9" t="str">
        <f>IF(OR(Form_Responses34[[#This Row],[Total_monthly_fuel_expense 
]]&gt;10040,Form_Responses34[[#This Row],[Total_monthly_fuel_expense 
]]&lt;-4760),"Outlier","Normal")</f>
        <v>Normal</v>
      </c>
    </row>
    <row r="505" spans="1:30" x14ac:dyDescent="0.2">
      <c r="A505" s="20">
        <v>39</v>
      </c>
      <c r="B505" s="15" t="s">
        <v>42</v>
      </c>
      <c r="C505" s="12" t="s">
        <v>1890</v>
      </c>
      <c r="D505" s="20">
        <v>4</v>
      </c>
      <c r="E505" s="20">
        <v>1</v>
      </c>
      <c r="F505" s="15" t="s">
        <v>431</v>
      </c>
      <c r="I505" s="15" t="s">
        <v>47</v>
      </c>
      <c r="K505" s="21"/>
      <c r="L505" s="21"/>
      <c r="M505" s="21"/>
      <c r="N505" s="21"/>
      <c r="O505" s="21"/>
      <c r="P505" s="21"/>
      <c r="Q505" s="20">
        <v>6</v>
      </c>
      <c r="R505" s="20">
        <v>22</v>
      </c>
      <c r="S505" s="20">
        <v>20</v>
      </c>
      <c r="T505" s="21"/>
      <c r="U505" s="21"/>
      <c r="V505" s="21"/>
      <c r="W505" s="20">
        <v>3200</v>
      </c>
      <c r="X505" s="15" t="s">
        <v>252</v>
      </c>
      <c r="Y505" s="20">
        <v>11</v>
      </c>
      <c r="Z505" s="15" t="s">
        <v>255</v>
      </c>
      <c r="AA505" s="15" t="s">
        <v>85</v>
      </c>
      <c r="AB505" s="15" t="s">
        <v>256</v>
      </c>
      <c r="AC505" s="20" t="s">
        <v>152</v>
      </c>
      <c r="AD505" s="9" t="str">
        <f>IF(OR(Form_Responses34[[#This Row],[Total_monthly_fuel_expense 
]]&gt;10040,Form_Responses34[[#This Row],[Total_monthly_fuel_expense 
]]&lt;-4760),"Outlier","Normal")</f>
        <v>Normal</v>
      </c>
    </row>
    <row r="506" spans="1:30" x14ac:dyDescent="0.2">
      <c r="A506" s="20">
        <v>36</v>
      </c>
      <c r="B506" s="15" t="s">
        <v>42</v>
      </c>
      <c r="C506" s="12" t="s">
        <v>1889</v>
      </c>
      <c r="D506" s="20">
        <v>4</v>
      </c>
      <c r="E506" s="20">
        <v>1</v>
      </c>
      <c r="F506" s="15" t="s">
        <v>46</v>
      </c>
      <c r="G506" s="15" t="s">
        <v>47</v>
      </c>
      <c r="K506" s="20">
        <v>4</v>
      </c>
      <c r="L506" s="20">
        <v>20</v>
      </c>
      <c r="M506" s="20">
        <v>11</v>
      </c>
      <c r="N506" s="21"/>
      <c r="O506" s="21"/>
      <c r="P506" s="21"/>
      <c r="Q506" s="21"/>
      <c r="R506" s="21"/>
      <c r="S506" s="21"/>
      <c r="T506" s="21"/>
      <c r="U506" s="21"/>
      <c r="V506" s="21"/>
      <c r="W506" s="20">
        <v>1430</v>
      </c>
      <c r="X506" s="15" t="s">
        <v>276</v>
      </c>
      <c r="Y506" s="20">
        <v>10</v>
      </c>
      <c r="Z506" s="15" t="s">
        <v>255</v>
      </c>
      <c r="AA506" s="15" t="s">
        <v>85</v>
      </c>
      <c r="AB506" s="15" t="s">
        <v>335</v>
      </c>
      <c r="AC506" s="20" t="s">
        <v>257</v>
      </c>
      <c r="AD506" s="9" t="str">
        <f>IF(OR(Form_Responses34[[#This Row],[Total_monthly_fuel_expense 
]]&gt;10040,Form_Responses34[[#This Row],[Total_monthly_fuel_expense 
]]&lt;-4760),"Outlier","Normal")</f>
        <v>Normal</v>
      </c>
    </row>
    <row r="507" spans="1:30" x14ac:dyDescent="0.2">
      <c r="A507" s="20">
        <v>54</v>
      </c>
      <c r="B507" s="15" t="s">
        <v>73</v>
      </c>
      <c r="C507" s="12" t="s">
        <v>1890</v>
      </c>
      <c r="D507" s="20">
        <v>6</v>
      </c>
      <c r="E507" s="20">
        <v>2</v>
      </c>
      <c r="F507" s="15" t="s">
        <v>290</v>
      </c>
      <c r="G507" s="15" t="s">
        <v>47</v>
      </c>
      <c r="J507" s="15" t="s">
        <v>291</v>
      </c>
      <c r="K507" s="20">
        <v>15</v>
      </c>
      <c r="L507" s="20">
        <v>5</v>
      </c>
      <c r="M507" s="20">
        <v>3</v>
      </c>
      <c r="N507" s="21"/>
      <c r="O507" s="21"/>
      <c r="P507" s="21"/>
      <c r="Q507" s="21"/>
      <c r="R507" s="21"/>
      <c r="S507" s="21"/>
      <c r="T507" s="20">
        <v>18</v>
      </c>
      <c r="U507" s="20">
        <v>45</v>
      </c>
      <c r="V507" s="20">
        <v>75</v>
      </c>
      <c r="W507" s="20">
        <v>9300</v>
      </c>
      <c r="X507" s="15" t="s">
        <v>252</v>
      </c>
      <c r="Y507" s="20">
        <v>3</v>
      </c>
      <c r="Z507" s="15" t="s">
        <v>296</v>
      </c>
      <c r="AA507" s="15" t="s">
        <v>85</v>
      </c>
      <c r="AB507" s="15" t="s">
        <v>335</v>
      </c>
      <c r="AC507" s="20" t="s">
        <v>257</v>
      </c>
      <c r="AD507" s="9" t="str">
        <f>IF(OR(Form_Responses34[[#This Row],[Total_monthly_fuel_expense 
]]&gt;10040,Form_Responses34[[#This Row],[Total_monthly_fuel_expense 
]]&lt;-4760),"Outlier","Normal")</f>
        <v>Normal</v>
      </c>
    </row>
    <row r="508" spans="1:30" x14ac:dyDescent="0.2">
      <c r="A508" s="20">
        <v>23</v>
      </c>
      <c r="B508" s="15" t="s">
        <v>42</v>
      </c>
      <c r="C508" s="12" t="s">
        <v>182</v>
      </c>
      <c r="D508" s="20">
        <v>6</v>
      </c>
      <c r="E508" s="20">
        <v>1</v>
      </c>
      <c r="F508" s="15" t="s">
        <v>100</v>
      </c>
      <c r="H508" s="15" t="s">
        <v>47</v>
      </c>
      <c r="K508" s="21"/>
      <c r="L508" s="21"/>
      <c r="M508" s="21"/>
      <c r="N508" s="20">
        <v>1</v>
      </c>
      <c r="O508" s="20">
        <v>5</v>
      </c>
      <c r="P508" s="20">
        <v>7</v>
      </c>
      <c r="Q508" s="21"/>
      <c r="R508" s="21"/>
      <c r="S508" s="21"/>
      <c r="T508" s="21"/>
      <c r="U508" s="21"/>
      <c r="V508" s="21"/>
      <c r="W508" s="20">
        <v>780</v>
      </c>
      <c r="X508" s="15" t="s">
        <v>159</v>
      </c>
      <c r="Y508" s="20">
        <v>3</v>
      </c>
      <c r="Z508" s="15" t="s">
        <v>285</v>
      </c>
      <c r="AA508" s="15" t="s">
        <v>85</v>
      </c>
      <c r="AB508" s="15" t="s">
        <v>256</v>
      </c>
      <c r="AC508" s="20" t="s">
        <v>257</v>
      </c>
      <c r="AD508" s="9" t="str">
        <f>IF(OR(Form_Responses34[[#This Row],[Total_monthly_fuel_expense 
]]&gt;10040,Form_Responses34[[#This Row],[Total_monthly_fuel_expense 
]]&lt;-4760),"Outlier","Normal")</f>
        <v>Normal</v>
      </c>
    </row>
    <row r="509" spans="1:30" x14ac:dyDescent="0.2">
      <c r="A509" s="20">
        <v>44</v>
      </c>
      <c r="B509" s="15" t="s">
        <v>73</v>
      </c>
      <c r="C509" s="12" t="s">
        <v>1888</v>
      </c>
      <c r="D509" s="20">
        <v>6</v>
      </c>
      <c r="E509" s="20">
        <v>1</v>
      </c>
      <c r="F509" s="15" t="s">
        <v>46</v>
      </c>
      <c r="G509" s="15" t="s">
        <v>47</v>
      </c>
      <c r="K509" s="20">
        <v>13</v>
      </c>
      <c r="L509" s="20">
        <v>8</v>
      </c>
      <c r="M509" s="20">
        <v>6</v>
      </c>
      <c r="N509" s="21"/>
      <c r="O509" s="21"/>
      <c r="P509" s="21"/>
      <c r="Q509" s="21"/>
      <c r="R509" s="21"/>
      <c r="S509" s="21"/>
      <c r="T509" s="21"/>
      <c r="U509" s="21"/>
      <c r="V509" s="21"/>
      <c r="W509" s="20">
        <v>780</v>
      </c>
      <c r="X509" s="15" t="s">
        <v>252</v>
      </c>
      <c r="Y509" s="20">
        <v>4</v>
      </c>
      <c r="Z509" s="15" t="s">
        <v>724</v>
      </c>
      <c r="AA509" s="15" t="s">
        <v>96</v>
      </c>
      <c r="AB509" s="15" t="s">
        <v>256</v>
      </c>
      <c r="AC509" s="20" t="s">
        <v>68</v>
      </c>
      <c r="AD509" s="9" t="str">
        <f>IF(OR(Form_Responses34[[#This Row],[Total_monthly_fuel_expense 
]]&gt;10040,Form_Responses34[[#This Row],[Total_monthly_fuel_expense 
]]&lt;-4760),"Outlier","Normal")</f>
        <v>Normal</v>
      </c>
    </row>
    <row r="510" spans="1:30" x14ac:dyDescent="0.2">
      <c r="A510" s="20">
        <v>39</v>
      </c>
      <c r="B510" s="15" t="s">
        <v>73</v>
      </c>
      <c r="C510" s="12" t="s">
        <v>1889</v>
      </c>
      <c r="D510" s="20">
        <v>4</v>
      </c>
      <c r="E510" s="20">
        <v>2</v>
      </c>
      <c r="F510" s="15" t="s">
        <v>246</v>
      </c>
      <c r="G510" s="15" t="s">
        <v>47</v>
      </c>
      <c r="I510" s="15" t="s">
        <v>47</v>
      </c>
      <c r="K510" s="20">
        <v>7</v>
      </c>
      <c r="L510" s="20">
        <v>6</v>
      </c>
      <c r="M510" s="20">
        <v>5</v>
      </c>
      <c r="N510" s="21"/>
      <c r="O510" s="21"/>
      <c r="P510" s="21"/>
      <c r="Q510" s="20">
        <v>6</v>
      </c>
      <c r="R510" s="20">
        <v>21</v>
      </c>
      <c r="S510" s="20">
        <v>22</v>
      </c>
      <c r="T510" s="21"/>
      <c r="U510" s="21"/>
      <c r="V510" s="21"/>
      <c r="W510" s="20">
        <v>3600</v>
      </c>
      <c r="X510" s="15" t="s">
        <v>252</v>
      </c>
      <c r="Y510" s="20">
        <v>10</v>
      </c>
      <c r="Z510" s="15" t="s">
        <v>559</v>
      </c>
      <c r="AA510" s="15" t="s">
        <v>362</v>
      </c>
      <c r="AB510" s="15" t="s">
        <v>307</v>
      </c>
      <c r="AC510" s="20" t="s">
        <v>68</v>
      </c>
      <c r="AD510" s="9" t="str">
        <f>IF(OR(Form_Responses34[[#This Row],[Total_monthly_fuel_expense 
]]&gt;10040,Form_Responses34[[#This Row],[Total_monthly_fuel_expense 
]]&lt;-4760),"Outlier","Normal")</f>
        <v>Normal</v>
      </c>
    </row>
    <row r="511" spans="1:30" x14ac:dyDescent="0.2">
      <c r="A511" s="20">
        <v>31</v>
      </c>
      <c r="B511" s="15" t="s">
        <v>42</v>
      </c>
      <c r="C511" s="12" t="s">
        <v>1889</v>
      </c>
      <c r="D511" s="20">
        <v>5</v>
      </c>
      <c r="E511" s="20">
        <v>1</v>
      </c>
      <c r="F511" s="15" t="s">
        <v>431</v>
      </c>
      <c r="I511" s="15" t="s">
        <v>47</v>
      </c>
      <c r="K511" s="21"/>
      <c r="L511" s="21"/>
      <c r="M511" s="21"/>
      <c r="N511" s="21"/>
      <c r="O511" s="21"/>
      <c r="P511" s="21"/>
      <c r="Q511" s="20">
        <v>3</v>
      </c>
      <c r="R511" s="20">
        <v>26</v>
      </c>
      <c r="S511" s="20">
        <v>23</v>
      </c>
      <c r="T511" s="21"/>
      <c r="U511" s="21"/>
      <c r="V511" s="21"/>
      <c r="W511" s="20">
        <v>3600</v>
      </c>
      <c r="X511" s="15" t="s">
        <v>276</v>
      </c>
      <c r="Y511" s="20">
        <v>12</v>
      </c>
      <c r="Z511" s="15" t="s">
        <v>255</v>
      </c>
      <c r="AA511" s="15" t="s">
        <v>362</v>
      </c>
      <c r="AB511" s="15" t="s">
        <v>307</v>
      </c>
      <c r="AC511" s="20" t="s">
        <v>257</v>
      </c>
      <c r="AD511" s="9" t="str">
        <f>IF(OR(Form_Responses34[[#This Row],[Total_monthly_fuel_expense 
]]&gt;10040,Form_Responses34[[#This Row],[Total_monthly_fuel_expense 
]]&lt;-4760),"Outlier","Normal")</f>
        <v>Normal</v>
      </c>
    </row>
    <row r="512" spans="1:30" x14ac:dyDescent="0.2">
      <c r="A512" s="20">
        <v>47</v>
      </c>
      <c r="B512" s="15" t="s">
        <v>73</v>
      </c>
      <c r="C512" s="12" t="s">
        <v>1890</v>
      </c>
      <c r="D512" s="20">
        <v>6</v>
      </c>
      <c r="E512" s="20">
        <v>2</v>
      </c>
      <c r="F512" s="15" t="s">
        <v>290</v>
      </c>
      <c r="G512" s="15" t="s">
        <v>47</v>
      </c>
      <c r="J512" s="15" t="s">
        <v>291</v>
      </c>
      <c r="K512" s="20">
        <v>11</v>
      </c>
      <c r="L512" s="20">
        <v>6</v>
      </c>
      <c r="M512" s="20">
        <v>5</v>
      </c>
      <c r="N512" s="21"/>
      <c r="O512" s="21"/>
      <c r="P512" s="21"/>
      <c r="Q512" s="21"/>
      <c r="R512" s="21"/>
      <c r="S512" s="21"/>
      <c r="T512" s="20">
        <v>13</v>
      </c>
      <c r="U512" s="20">
        <v>13</v>
      </c>
      <c r="V512" s="20">
        <v>60</v>
      </c>
      <c r="W512" s="20">
        <v>7500</v>
      </c>
      <c r="X512" s="15" t="s">
        <v>252</v>
      </c>
      <c r="Y512" s="20">
        <v>6</v>
      </c>
      <c r="Z512" s="15" t="s">
        <v>296</v>
      </c>
      <c r="AA512" s="15" t="s">
        <v>362</v>
      </c>
      <c r="AB512" s="15" t="s">
        <v>307</v>
      </c>
      <c r="AC512" s="20" t="s">
        <v>257</v>
      </c>
      <c r="AD512" s="9" t="str">
        <f>IF(OR(Form_Responses34[[#This Row],[Total_monthly_fuel_expense 
]]&gt;10040,Form_Responses34[[#This Row],[Total_monthly_fuel_expense 
]]&lt;-4760),"Outlier","Normal")</f>
        <v>Normal</v>
      </c>
    </row>
    <row r="513" spans="1:30" x14ac:dyDescent="0.2">
      <c r="A513" s="20">
        <v>31</v>
      </c>
      <c r="B513" s="15" t="s">
        <v>73</v>
      </c>
      <c r="C513" s="12" t="s">
        <v>1890</v>
      </c>
      <c r="D513" s="20">
        <v>3</v>
      </c>
      <c r="E513" s="20">
        <v>1</v>
      </c>
      <c r="F513" s="15" t="s">
        <v>1390</v>
      </c>
      <c r="K513" s="21"/>
      <c r="L513" s="21"/>
      <c r="M513" s="21"/>
      <c r="N513" s="21"/>
      <c r="O513" s="21"/>
      <c r="P513" s="21"/>
      <c r="Q513" s="21"/>
      <c r="R513" s="21"/>
      <c r="S513" s="21"/>
      <c r="T513" s="21"/>
      <c r="U513" s="21"/>
      <c r="V513" s="21"/>
      <c r="W513" s="20">
        <v>1200</v>
      </c>
      <c r="X513" s="15" t="s">
        <v>857</v>
      </c>
      <c r="Y513" s="20">
        <v>14</v>
      </c>
      <c r="Z513" s="15" t="s">
        <v>255</v>
      </c>
      <c r="AA513" s="15" t="s">
        <v>362</v>
      </c>
      <c r="AB513" s="15" t="s">
        <v>307</v>
      </c>
      <c r="AC513" s="20" t="s">
        <v>152</v>
      </c>
      <c r="AD513" s="9" t="str">
        <f>IF(OR(Form_Responses34[[#This Row],[Total_monthly_fuel_expense 
]]&gt;10040,Form_Responses34[[#This Row],[Total_monthly_fuel_expense 
]]&lt;-4760),"Outlier","Normal")</f>
        <v>Normal</v>
      </c>
    </row>
    <row r="514" spans="1:30" x14ac:dyDescent="0.2">
      <c r="A514" s="20">
        <v>34</v>
      </c>
      <c r="B514" s="15" t="s">
        <v>42</v>
      </c>
      <c r="C514" s="12" t="s">
        <v>1888</v>
      </c>
      <c r="D514" s="20">
        <v>5</v>
      </c>
      <c r="E514" s="20">
        <v>1</v>
      </c>
      <c r="F514" s="15" t="s">
        <v>100</v>
      </c>
      <c r="H514" s="15" t="s">
        <v>47</v>
      </c>
      <c r="K514" s="21"/>
      <c r="L514" s="21"/>
      <c r="M514" s="21"/>
      <c r="N514" s="20">
        <v>6</v>
      </c>
      <c r="O514" s="20">
        <v>5</v>
      </c>
      <c r="P514" s="20">
        <v>4</v>
      </c>
      <c r="Q514" s="21"/>
      <c r="R514" s="21"/>
      <c r="S514" s="21"/>
      <c r="T514" s="21"/>
      <c r="U514" s="21"/>
      <c r="V514" s="21"/>
      <c r="W514" s="20">
        <v>430</v>
      </c>
      <c r="X514" s="15" t="s">
        <v>252</v>
      </c>
      <c r="Y514" s="20">
        <v>3</v>
      </c>
      <c r="Z514" s="15" t="s">
        <v>306</v>
      </c>
      <c r="AA514" s="15" t="s">
        <v>85</v>
      </c>
      <c r="AB514" s="15" t="s">
        <v>335</v>
      </c>
      <c r="AC514" s="20" t="s">
        <v>257</v>
      </c>
      <c r="AD514" s="9" t="str">
        <f>IF(OR(Form_Responses34[[#This Row],[Total_monthly_fuel_expense 
]]&gt;10040,Form_Responses34[[#This Row],[Total_monthly_fuel_expense 
]]&lt;-4760),"Outlier","Normal")</f>
        <v>Normal</v>
      </c>
    </row>
    <row r="515" spans="1:30" x14ac:dyDescent="0.2">
      <c r="A515" s="20">
        <v>26</v>
      </c>
      <c r="B515" s="15" t="s">
        <v>73</v>
      </c>
      <c r="C515" s="12" t="s">
        <v>1889</v>
      </c>
      <c r="D515" s="20">
        <v>3</v>
      </c>
      <c r="E515" s="20">
        <v>1</v>
      </c>
      <c r="F515" s="15" t="s">
        <v>46</v>
      </c>
      <c r="G515" s="15" t="s">
        <v>47</v>
      </c>
      <c r="K515" s="20">
        <v>2</v>
      </c>
      <c r="L515" s="20">
        <v>18</v>
      </c>
      <c r="M515" s="20">
        <v>10</v>
      </c>
      <c r="N515" s="21"/>
      <c r="O515" s="21"/>
      <c r="P515" s="21"/>
      <c r="Q515" s="21"/>
      <c r="R515" s="21"/>
      <c r="S515" s="21"/>
      <c r="T515" s="21"/>
      <c r="U515" s="21"/>
      <c r="V515" s="21"/>
      <c r="W515" s="20">
        <v>1000</v>
      </c>
      <c r="X515" s="15" t="s">
        <v>159</v>
      </c>
      <c r="Y515" s="20">
        <v>9</v>
      </c>
      <c r="Z515" s="15" t="s">
        <v>255</v>
      </c>
      <c r="AA515" s="15" t="s">
        <v>85</v>
      </c>
      <c r="AB515" s="15" t="s">
        <v>256</v>
      </c>
      <c r="AC515" s="20" t="s">
        <v>257</v>
      </c>
      <c r="AD515" s="9" t="str">
        <f>IF(OR(Form_Responses34[[#This Row],[Total_monthly_fuel_expense 
]]&gt;10040,Form_Responses34[[#This Row],[Total_monthly_fuel_expense 
]]&lt;-4760),"Outlier","Normal")</f>
        <v>Normal</v>
      </c>
    </row>
    <row r="516" spans="1:30" x14ac:dyDescent="0.2">
      <c r="A516" s="20">
        <v>28</v>
      </c>
      <c r="B516" s="15" t="s">
        <v>73</v>
      </c>
      <c r="C516" s="12" t="s">
        <v>1889</v>
      </c>
      <c r="D516" s="20">
        <v>3</v>
      </c>
      <c r="E516" s="20">
        <v>1</v>
      </c>
      <c r="F516" s="15" t="s">
        <v>1390</v>
      </c>
      <c r="K516" s="21"/>
      <c r="L516" s="21"/>
      <c r="M516" s="21"/>
      <c r="N516" s="21"/>
      <c r="O516" s="21"/>
      <c r="P516" s="21"/>
      <c r="Q516" s="21"/>
      <c r="R516" s="21"/>
      <c r="S516" s="21"/>
      <c r="T516" s="21"/>
      <c r="U516" s="21"/>
      <c r="V516" s="21"/>
      <c r="W516" s="20">
        <v>1100</v>
      </c>
      <c r="X516" s="15" t="s">
        <v>857</v>
      </c>
      <c r="Y516" s="20">
        <v>12</v>
      </c>
      <c r="Z516" s="15" t="s">
        <v>559</v>
      </c>
      <c r="AA516" s="15" t="s">
        <v>277</v>
      </c>
      <c r="AB516" s="15" t="s">
        <v>256</v>
      </c>
      <c r="AC516" s="20" t="s">
        <v>68</v>
      </c>
      <c r="AD516" s="9" t="str">
        <f>IF(OR(Form_Responses34[[#This Row],[Total_monthly_fuel_expense 
]]&gt;10040,Form_Responses34[[#This Row],[Total_monthly_fuel_expense 
]]&lt;-4760),"Outlier","Normal")</f>
        <v>Normal</v>
      </c>
    </row>
    <row r="517" spans="1:30" x14ac:dyDescent="0.2">
      <c r="A517" s="20">
        <v>28</v>
      </c>
      <c r="B517" s="15" t="s">
        <v>73</v>
      </c>
      <c r="C517" s="12" t="s">
        <v>1890</v>
      </c>
      <c r="D517" s="20">
        <v>5</v>
      </c>
      <c r="E517" s="20">
        <v>2</v>
      </c>
      <c r="F517" s="15" t="s">
        <v>246</v>
      </c>
      <c r="G517" s="15" t="s">
        <v>47</v>
      </c>
      <c r="I517" s="15" t="s">
        <v>47</v>
      </c>
      <c r="K517" s="20">
        <v>12</v>
      </c>
      <c r="L517" s="20">
        <v>4</v>
      </c>
      <c r="M517" s="20">
        <v>3</v>
      </c>
      <c r="N517" s="21"/>
      <c r="O517" s="21"/>
      <c r="P517" s="21"/>
      <c r="Q517" s="20">
        <v>6</v>
      </c>
      <c r="R517" s="20">
        <v>16</v>
      </c>
      <c r="S517" s="20">
        <v>18</v>
      </c>
      <c r="T517" s="21"/>
      <c r="U517" s="21"/>
      <c r="V517" s="21"/>
      <c r="W517" s="20">
        <v>3000</v>
      </c>
      <c r="X517" s="15" t="s">
        <v>159</v>
      </c>
      <c r="Y517" s="20">
        <v>6</v>
      </c>
      <c r="Z517" s="15" t="s">
        <v>559</v>
      </c>
      <c r="AA517" s="15" t="s">
        <v>85</v>
      </c>
      <c r="AB517" s="15" t="s">
        <v>335</v>
      </c>
      <c r="AC517" s="20" t="s">
        <v>257</v>
      </c>
      <c r="AD517" s="9" t="str">
        <f>IF(OR(Form_Responses34[[#This Row],[Total_monthly_fuel_expense 
]]&gt;10040,Form_Responses34[[#This Row],[Total_monthly_fuel_expense 
]]&lt;-4760),"Outlier","Normal")</f>
        <v>Normal</v>
      </c>
    </row>
    <row r="518" spans="1:30" x14ac:dyDescent="0.2">
      <c r="A518" s="20">
        <v>23</v>
      </c>
      <c r="B518" s="15" t="s">
        <v>42</v>
      </c>
      <c r="C518" s="12" t="s">
        <v>182</v>
      </c>
      <c r="D518" s="20">
        <v>5</v>
      </c>
      <c r="E518" s="20">
        <v>1</v>
      </c>
      <c r="F518" s="15" t="s">
        <v>46</v>
      </c>
      <c r="G518" s="15" t="s">
        <v>47</v>
      </c>
      <c r="K518" s="20">
        <v>1</v>
      </c>
      <c r="L518" s="20">
        <v>14</v>
      </c>
      <c r="M518" s="20">
        <v>8</v>
      </c>
      <c r="N518" s="21"/>
      <c r="O518" s="21"/>
      <c r="P518" s="21"/>
      <c r="Q518" s="21"/>
      <c r="R518" s="21"/>
      <c r="S518" s="21"/>
      <c r="T518" s="21"/>
      <c r="U518" s="21"/>
      <c r="V518" s="21"/>
      <c r="W518" s="20">
        <v>900</v>
      </c>
      <c r="X518" s="15" t="s">
        <v>252</v>
      </c>
      <c r="Y518" s="20">
        <v>7</v>
      </c>
      <c r="Z518" s="15" t="s">
        <v>285</v>
      </c>
      <c r="AA518" s="15" t="s">
        <v>85</v>
      </c>
      <c r="AB518" s="15" t="s">
        <v>256</v>
      </c>
      <c r="AC518" s="20" t="s">
        <v>257</v>
      </c>
      <c r="AD518" s="9" t="str">
        <f>IF(OR(Form_Responses34[[#This Row],[Total_monthly_fuel_expense 
]]&gt;10040,Form_Responses34[[#This Row],[Total_monthly_fuel_expense 
]]&lt;-4760),"Outlier","Normal")</f>
        <v>Normal</v>
      </c>
    </row>
    <row r="519" spans="1:30" x14ac:dyDescent="0.2">
      <c r="A519" s="20">
        <v>41</v>
      </c>
      <c r="B519" s="15" t="s">
        <v>42</v>
      </c>
      <c r="C519" s="12" t="s">
        <v>1890</v>
      </c>
      <c r="D519" s="20">
        <v>5</v>
      </c>
      <c r="E519" s="20">
        <v>1</v>
      </c>
      <c r="F519" s="15" t="s">
        <v>431</v>
      </c>
      <c r="I519" s="15" t="s">
        <v>291</v>
      </c>
      <c r="K519" s="21"/>
      <c r="L519" s="21"/>
      <c r="M519" s="21"/>
      <c r="N519" s="21"/>
      <c r="O519" s="21"/>
      <c r="P519" s="21"/>
      <c r="Q519" s="20">
        <v>8</v>
      </c>
      <c r="R519" s="20">
        <v>18</v>
      </c>
      <c r="S519" s="20">
        <v>19</v>
      </c>
      <c r="T519" s="21"/>
      <c r="U519" s="21"/>
      <c r="V519" s="21"/>
      <c r="W519" s="20">
        <v>1900</v>
      </c>
      <c r="X519" s="15" t="s">
        <v>276</v>
      </c>
      <c r="Y519" s="20">
        <v>9</v>
      </c>
      <c r="Z519" s="15" t="s">
        <v>255</v>
      </c>
      <c r="AA519" s="15" t="s">
        <v>362</v>
      </c>
      <c r="AB519" s="15" t="s">
        <v>307</v>
      </c>
      <c r="AC519" s="20" t="s">
        <v>68</v>
      </c>
      <c r="AD519" s="9" t="str">
        <f>IF(OR(Form_Responses34[[#This Row],[Total_monthly_fuel_expense 
]]&gt;10040,Form_Responses34[[#This Row],[Total_monthly_fuel_expense 
]]&lt;-4760),"Outlier","Normal")</f>
        <v>Normal</v>
      </c>
    </row>
    <row r="520" spans="1:30" x14ac:dyDescent="0.2">
      <c r="A520" s="20">
        <v>26</v>
      </c>
      <c r="B520" s="15" t="s">
        <v>42</v>
      </c>
      <c r="C520" s="12" t="s">
        <v>1889</v>
      </c>
      <c r="D520" s="20">
        <v>3</v>
      </c>
      <c r="E520" s="20">
        <v>1</v>
      </c>
      <c r="F520" s="15" t="s">
        <v>100</v>
      </c>
      <c r="H520" s="15" t="s">
        <v>47</v>
      </c>
      <c r="K520" s="21"/>
      <c r="L520" s="21"/>
      <c r="M520" s="21"/>
      <c r="N520" s="20">
        <v>2</v>
      </c>
      <c r="O520" s="20">
        <v>9</v>
      </c>
      <c r="P520" s="20">
        <v>6</v>
      </c>
      <c r="Q520" s="21"/>
      <c r="R520" s="21"/>
      <c r="S520" s="21"/>
      <c r="T520" s="21"/>
      <c r="U520" s="21"/>
      <c r="V520" s="21"/>
      <c r="W520" s="20">
        <v>650</v>
      </c>
      <c r="X520" s="15" t="s">
        <v>276</v>
      </c>
      <c r="Y520" s="20">
        <v>3</v>
      </c>
      <c r="Z520" s="15" t="s">
        <v>255</v>
      </c>
      <c r="AA520" s="15" t="s">
        <v>362</v>
      </c>
      <c r="AB520" s="15" t="s">
        <v>307</v>
      </c>
      <c r="AC520" s="20" t="s">
        <v>257</v>
      </c>
      <c r="AD520" s="9" t="str">
        <f>IF(OR(Form_Responses34[[#This Row],[Total_monthly_fuel_expense 
]]&gt;10040,Form_Responses34[[#This Row],[Total_monthly_fuel_expense 
]]&lt;-4760),"Outlier","Normal")</f>
        <v>Normal</v>
      </c>
    </row>
    <row r="521" spans="1:30" x14ac:dyDescent="0.2">
      <c r="A521" s="20">
        <v>52</v>
      </c>
      <c r="B521" s="15" t="s">
        <v>73</v>
      </c>
      <c r="C521" s="12" t="s">
        <v>1889</v>
      </c>
      <c r="D521" s="20">
        <v>6</v>
      </c>
      <c r="E521" s="20">
        <v>2</v>
      </c>
      <c r="F521" s="15" t="s">
        <v>290</v>
      </c>
      <c r="G521" s="15" t="s">
        <v>47</v>
      </c>
      <c r="J521" s="15" t="s">
        <v>291</v>
      </c>
      <c r="K521" s="20">
        <v>14</v>
      </c>
      <c r="L521" s="20">
        <v>5</v>
      </c>
      <c r="M521" s="20">
        <v>4</v>
      </c>
      <c r="N521" s="21"/>
      <c r="O521" s="21"/>
      <c r="P521" s="21"/>
      <c r="Q521" s="21"/>
      <c r="R521" s="21"/>
      <c r="S521" s="21"/>
      <c r="T521" s="20">
        <v>15</v>
      </c>
      <c r="U521" s="20">
        <v>0</v>
      </c>
      <c r="V521" s="20">
        <v>60</v>
      </c>
      <c r="W521" s="20">
        <v>8700</v>
      </c>
      <c r="X521" s="15" t="s">
        <v>252</v>
      </c>
      <c r="Y521" s="20">
        <v>3</v>
      </c>
      <c r="Z521" s="15" t="s">
        <v>296</v>
      </c>
      <c r="AA521" s="15" t="s">
        <v>362</v>
      </c>
      <c r="AB521" s="15" t="s">
        <v>307</v>
      </c>
      <c r="AC521" s="20" t="s">
        <v>257</v>
      </c>
      <c r="AD521" s="9" t="str">
        <f>IF(OR(Form_Responses34[[#This Row],[Total_monthly_fuel_expense 
]]&gt;10040,Form_Responses34[[#This Row],[Total_monthly_fuel_expense 
]]&lt;-4760),"Outlier","Normal")</f>
        <v>Normal</v>
      </c>
    </row>
    <row r="522" spans="1:30" x14ac:dyDescent="0.2">
      <c r="A522" s="20">
        <v>34</v>
      </c>
      <c r="B522" s="15" t="s">
        <v>42</v>
      </c>
      <c r="C522" s="12" t="s">
        <v>1890</v>
      </c>
      <c r="D522" s="20">
        <v>3</v>
      </c>
      <c r="E522" s="20">
        <v>1</v>
      </c>
      <c r="F522" s="15" t="s">
        <v>431</v>
      </c>
      <c r="I522" s="15" t="s">
        <v>47</v>
      </c>
      <c r="K522" s="21"/>
      <c r="L522" s="21"/>
      <c r="M522" s="21"/>
      <c r="N522" s="21"/>
      <c r="O522" s="21"/>
      <c r="P522" s="21"/>
      <c r="Q522" s="20">
        <v>4</v>
      </c>
      <c r="R522" s="20">
        <v>24</v>
      </c>
      <c r="S522" s="20">
        <v>22</v>
      </c>
      <c r="T522" s="21"/>
      <c r="U522" s="21"/>
      <c r="V522" s="21"/>
      <c r="W522" s="20">
        <v>3000</v>
      </c>
      <c r="X522" s="15" t="s">
        <v>276</v>
      </c>
      <c r="Y522" s="20">
        <v>12</v>
      </c>
      <c r="Z522" s="15" t="s">
        <v>255</v>
      </c>
      <c r="AA522" s="15" t="s">
        <v>362</v>
      </c>
      <c r="AB522" s="15" t="s">
        <v>307</v>
      </c>
      <c r="AC522" s="20" t="s">
        <v>68</v>
      </c>
      <c r="AD522" s="9" t="str">
        <f>IF(OR(Form_Responses34[[#This Row],[Total_monthly_fuel_expense 
]]&gt;10040,Form_Responses34[[#This Row],[Total_monthly_fuel_expense 
]]&lt;-4760),"Outlier","Normal")</f>
        <v>Normal</v>
      </c>
    </row>
    <row r="523" spans="1:30" x14ac:dyDescent="0.2">
      <c r="A523" s="20">
        <v>38</v>
      </c>
      <c r="B523" s="15" t="s">
        <v>73</v>
      </c>
      <c r="C523" s="12" t="s">
        <v>1890</v>
      </c>
      <c r="D523" s="20">
        <v>4</v>
      </c>
      <c r="E523" s="20">
        <v>2</v>
      </c>
      <c r="F523" s="15" t="s">
        <v>246</v>
      </c>
      <c r="G523" s="15" t="s">
        <v>47</v>
      </c>
      <c r="I523" s="15" t="s">
        <v>47</v>
      </c>
      <c r="K523" s="20">
        <v>8</v>
      </c>
      <c r="L523" s="20">
        <v>6</v>
      </c>
      <c r="M523" s="20">
        <v>5</v>
      </c>
      <c r="N523" s="21"/>
      <c r="O523" s="21"/>
      <c r="P523" s="21"/>
      <c r="Q523" s="20">
        <v>6</v>
      </c>
      <c r="R523" s="20">
        <v>20</v>
      </c>
      <c r="S523" s="20">
        <v>21</v>
      </c>
      <c r="T523" s="21"/>
      <c r="U523" s="21"/>
      <c r="V523" s="21"/>
      <c r="W523" s="20">
        <v>3600</v>
      </c>
      <c r="X523" s="15" t="s">
        <v>323</v>
      </c>
      <c r="Y523" s="20">
        <v>10</v>
      </c>
      <c r="Z523" s="15" t="s">
        <v>559</v>
      </c>
      <c r="AA523" s="15" t="s">
        <v>362</v>
      </c>
      <c r="AB523" s="15" t="s">
        <v>307</v>
      </c>
      <c r="AC523" s="20" t="s">
        <v>257</v>
      </c>
      <c r="AD523" s="9" t="str">
        <f>IF(OR(Form_Responses34[[#This Row],[Total_monthly_fuel_expense 
]]&gt;10040,Form_Responses34[[#This Row],[Total_monthly_fuel_expense 
]]&lt;-4760),"Outlier","Normal")</f>
        <v>Normal</v>
      </c>
    </row>
    <row r="524" spans="1:30" x14ac:dyDescent="0.2">
      <c r="A524" s="20">
        <v>55</v>
      </c>
      <c r="B524" s="15" t="s">
        <v>42</v>
      </c>
      <c r="C524" s="12" t="s">
        <v>1889</v>
      </c>
      <c r="D524" s="20">
        <v>5</v>
      </c>
      <c r="E524" s="20">
        <v>1</v>
      </c>
      <c r="F524" s="15" t="s">
        <v>100</v>
      </c>
      <c r="H524" s="15" t="s">
        <v>47</v>
      </c>
      <c r="K524" s="21"/>
      <c r="L524" s="21"/>
      <c r="M524" s="21"/>
      <c r="N524" s="20">
        <v>7</v>
      </c>
      <c r="O524" s="20">
        <v>10</v>
      </c>
      <c r="P524" s="20">
        <v>6</v>
      </c>
      <c r="Q524" s="21"/>
      <c r="R524" s="21"/>
      <c r="S524" s="21"/>
      <c r="T524" s="21"/>
      <c r="U524" s="21"/>
      <c r="V524" s="21"/>
      <c r="W524" s="20">
        <v>600</v>
      </c>
      <c r="X524" s="15" t="s">
        <v>276</v>
      </c>
      <c r="Y524" s="20">
        <v>5</v>
      </c>
      <c r="Z524" s="15" t="s">
        <v>296</v>
      </c>
      <c r="AA524" s="15" t="s">
        <v>362</v>
      </c>
      <c r="AB524" s="15" t="s">
        <v>307</v>
      </c>
      <c r="AC524" s="20" t="s">
        <v>68</v>
      </c>
      <c r="AD524" s="9" t="str">
        <f>IF(OR(Form_Responses34[[#This Row],[Total_monthly_fuel_expense 
]]&gt;10040,Form_Responses34[[#This Row],[Total_monthly_fuel_expense 
]]&lt;-4760),"Outlier","Normal")</f>
        <v>Normal</v>
      </c>
    </row>
    <row r="525" spans="1:30" x14ac:dyDescent="0.2">
      <c r="A525" s="20">
        <v>28</v>
      </c>
      <c r="B525" s="15" t="s">
        <v>73</v>
      </c>
      <c r="C525" s="12" t="s">
        <v>1889</v>
      </c>
      <c r="D525" s="20">
        <v>5</v>
      </c>
      <c r="E525" s="20">
        <v>1</v>
      </c>
      <c r="F525" s="15" t="s">
        <v>46</v>
      </c>
      <c r="G525" s="15" t="s">
        <v>47</v>
      </c>
      <c r="K525" s="20">
        <v>3</v>
      </c>
      <c r="L525" s="20">
        <v>22</v>
      </c>
      <c r="M525" s="20">
        <v>12</v>
      </c>
      <c r="N525" s="21"/>
      <c r="O525" s="21"/>
      <c r="P525" s="21"/>
      <c r="Q525" s="21"/>
      <c r="R525" s="21"/>
      <c r="S525" s="21"/>
      <c r="T525" s="21"/>
      <c r="U525" s="21"/>
      <c r="V525" s="21"/>
      <c r="W525" s="20">
        <v>1300</v>
      </c>
      <c r="X525" s="15" t="s">
        <v>252</v>
      </c>
      <c r="Y525" s="20">
        <v>6</v>
      </c>
      <c r="Z525" s="15" t="s">
        <v>255</v>
      </c>
      <c r="AA525" s="15" t="s">
        <v>362</v>
      </c>
      <c r="AB525" s="15" t="s">
        <v>307</v>
      </c>
      <c r="AC525" s="20" t="s">
        <v>257</v>
      </c>
      <c r="AD525" s="9" t="str">
        <f>IF(OR(Form_Responses34[[#This Row],[Total_monthly_fuel_expense 
]]&gt;10040,Form_Responses34[[#This Row],[Total_monthly_fuel_expense 
]]&lt;-4760),"Outlier","Normal")</f>
        <v>Normal</v>
      </c>
    </row>
    <row r="526" spans="1:30" x14ac:dyDescent="0.2">
      <c r="A526" s="20">
        <v>52</v>
      </c>
      <c r="B526" s="15" t="s">
        <v>73</v>
      </c>
      <c r="C526" s="12" t="s">
        <v>1891</v>
      </c>
      <c r="D526" s="20">
        <v>5</v>
      </c>
      <c r="E526" s="20">
        <v>2</v>
      </c>
      <c r="F526" s="15" t="s">
        <v>352</v>
      </c>
      <c r="I526" s="15" t="s">
        <v>47</v>
      </c>
      <c r="K526" s="21"/>
      <c r="L526" s="21"/>
      <c r="M526" s="21"/>
      <c r="N526" s="21"/>
      <c r="O526" s="21"/>
      <c r="P526" s="21"/>
      <c r="Q526" s="20">
        <v>8</v>
      </c>
      <c r="R526" s="20">
        <v>20</v>
      </c>
      <c r="S526" s="20">
        <v>19</v>
      </c>
      <c r="T526" s="21"/>
      <c r="U526" s="21"/>
      <c r="V526" s="21"/>
      <c r="W526" s="20">
        <v>3000</v>
      </c>
      <c r="X526" s="15" t="s">
        <v>159</v>
      </c>
      <c r="Y526" s="20">
        <v>10</v>
      </c>
      <c r="Z526" s="15" t="s">
        <v>559</v>
      </c>
      <c r="AA526" s="15" t="s">
        <v>362</v>
      </c>
      <c r="AB526" s="15" t="s">
        <v>307</v>
      </c>
      <c r="AC526" s="20" t="s">
        <v>257</v>
      </c>
      <c r="AD526" s="9" t="str">
        <f>IF(OR(Form_Responses34[[#This Row],[Total_monthly_fuel_expense 
]]&gt;10040,Form_Responses34[[#This Row],[Total_monthly_fuel_expense 
]]&lt;-4760),"Outlier","Normal")</f>
        <v>Normal</v>
      </c>
    </row>
    <row r="527" spans="1:30" x14ac:dyDescent="0.2">
      <c r="A527" s="20">
        <v>21</v>
      </c>
      <c r="B527" s="15" t="s">
        <v>73</v>
      </c>
      <c r="C527" s="12" t="s">
        <v>182</v>
      </c>
      <c r="D527" s="20">
        <v>5</v>
      </c>
      <c r="E527" s="20">
        <v>1</v>
      </c>
      <c r="F527" s="15" t="s">
        <v>46</v>
      </c>
      <c r="G527" s="15" t="s">
        <v>47</v>
      </c>
      <c r="K527" s="20">
        <v>6</v>
      </c>
      <c r="L527" s="20">
        <v>16</v>
      </c>
      <c r="M527" s="20">
        <v>9</v>
      </c>
      <c r="N527" s="21"/>
      <c r="O527" s="21"/>
      <c r="P527" s="21"/>
      <c r="Q527" s="21"/>
      <c r="R527" s="21"/>
      <c r="S527" s="21"/>
      <c r="T527" s="21"/>
      <c r="U527" s="21"/>
      <c r="V527" s="21"/>
      <c r="W527" s="20">
        <v>980</v>
      </c>
      <c r="X527" s="15" t="s">
        <v>252</v>
      </c>
      <c r="Y527" s="20">
        <v>6</v>
      </c>
      <c r="Z527" s="15" t="s">
        <v>285</v>
      </c>
      <c r="AA527" s="15" t="s">
        <v>96</v>
      </c>
      <c r="AB527" s="15" t="s">
        <v>256</v>
      </c>
      <c r="AC527" s="20" t="s">
        <v>257</v>
      </c>
      <c r="AD527" s="9" t="str">
        <f>IF(OR(Form_Responses34[[#This Row],[Total_monthly_fuel_expense 
]]&gt;10040,Form_Responses34[[#This Row],[Total_monthly_fuel_expense 
]]&lt;-4760),"Outlier","Normal")</f>
        <v>Normal</v>
      </c>
    </row>
    <row r="528" spans="1:30" x14ac:dyDescent="0.2">
      <c r="A528" s="20">
        <v>38</v>
      </c>
      <c r="B528" s="15" t="s">
        <v>73</v>
      </c>
      <c r="C528" s="12" t="s">
        <v>1889</v>
      </c>
      <c r="D528" s="20">
        <v>6</v>
      </c>
      <c r="E528" s="20">
        <v>1</v>
      </c>
      <c r="F528" s="15" t="s">
        <v>46</v>
      </c>
      <c r="G528" s="15" t="s">
        <v>47</v>
      </c>
      <c r="K528" s="20">
        <v>12</v>
      </c>
      <c r="L528" s="20">
        <v>9</v>
      </c>
      <c r="M528" s="20">
        <v>7</v>
      </c>
      <c r="N528" s="21"/>
      <c r="O528" s="21"/>
      <c r="P528" s="21"/>
      <c r="Q528" s="21"/>
      <c r="R528" s="21"/>
      <c r="S528" s="21"/>
      <c r="T528" s="21"/>
      <c r="U528" s="21"/>
      <c r="V528" s="21"/>
      <c r="W528" s="20">
        <v>910</v>
      </c>
      <c r="X528" s="15" t="s">
        <v>360</v>
      </c>
      <c r="Y528" s="20">
        <v>4</v>
      </c>
      <c r="Z528" s="15" t="s">
        <v>724</v>
      </c>
      <c r="AA528" s="15" t="s">
        <v>85</v>
      </c>
      <c r="AB528" s="15" t="s">
        <v>256</v>
      </c>
      <c r="AC528" s="20" t="s">
        <v>68</v>
      </c>
      <c r="AD528" s="9" t="str">
        <f>IF(OR(Form_Responses34[[#This Row],[Total_monthly_fuel_expense 
]]&gt;10040,Form_Responses34[[#This Row],[Total_monthly_fuel_expense 
]]&lt;-4760),"Outlier","Normal")</f>
        <v>Normal</v>
      </c>
    </row>
    <row r="529" spans="1:30" x14ac:dyDescent="0.2">
      <c r="A529" s="20">
        <v>47</v>
      </c>
      <c r="B529" s="15" t="s">
        <v>42</v>
      </c>
      <c r="C529" s="12" t="s">
        <v>1890</v>
      </c>
      <c r="D529" s="20">
        <v>4</v>
      </c>
      <c r="E529" s="20">
        <v>1</v>
      </c>
      <c r="F529" s="15" t="s">
        <v>431</v>
      </c>
      <c r="I529" s="15" t="s">
        <v>47</v>
      </c>
      <c r="K529" s="21"/>
      <c r="L529" s="21"/>
      <c r="M529" s="21"/>
      <c r="N529" s="21"/>
      <c r="O529" s="21"/>
      <c r="P529" s="21"/>
      <c r="Q529" s="20">
        <v>6</v>
      </c>
      <c r="R529" s="20">
        <v>24</v>
      </c>
      <c r="S529" s="20">
        <v>21</v>
      </c>
      <c r="T529" s="21"/>
      <c r="U529" s="21"/>
      <c r="V529" s="21"/>
      <c r="W529" s="20">
        <v>2300</v>
      </c>
      <c r="X529" s="15" t="s">
        <v>276</v>
      </c>
      <c r="Y529" s="20">
        <v>12</v>
      </c>
      <c r="Z529" s="15" t="s">
        <v>255</v>
      </c>
      <c r="AA529" s="15" t="s">
        <v>85</v>
      </c>
      <c r="AB529" s="15" t="s">
        <v>256</v>
      </c>
      <c r="AC529" s="20" t="s">
        <v>257</v>
      </c>
      <c r="AD529" s="9" t="str">
        <f>IF(OR(Form_Responses34[[#This Row],[Total_monthly_fuel_expense 
]]&gt;10040,Form_Responses34[[#This Row],[Total_monthly_fuel_expense 
]]&lt;-4760),"Outlier","Normal")</f>
        <v>Normal</v>
      </c>
    </row>
    <row r="530" spans="1:30" x14ac:dyDescent="0.2">
      <c r="A530" s="20">
        <v>27</v>
      </c>
      <c r="B530" s="15" t="s">
        <v>73</v>
      </c>
      <c r="C530" s="12" t="s">
        <v>1889</v>
      </c>
      <c r="D530" s="20">
        <v>4</v>
      </c>
      <c r="E530" s="20">
        <v>1</v>
      </c>
      <c r="F530" s="15" t="s">
        <v>46</v>
      </c>
      <c r="G530" s="15" t="s">
        <v>47</v>
      </c>
      <c r="K530" s="20">
        <v>3</v>
      </c>
      <c r="L530" s="20">
        <v>21</v>
      </c>
      <c r="M530" s="20">
        <v>22</v>
      </c>
      <c r="N530" s="21"/>
      <c r="O530" s="21"/>
      <c r="P530" s="21"/>
      <c r="Q530" s="21"/>
      <c r="R530" s="21"/>
      <c r="S530" s="21"/>
      <c r="T530" s="21"/>
      <c r="U530" s="21"/>
      <c r="V530" s="21"/>
      <c r="W530" s="20">
        <v>2300</v>
      </c>
      <c r="X530" s="15" t="s">
        <v>323</v>
      </c>
      <c r="Y530" s="20">
        <v>12</v>
      </c>
      <c r="Z530" s="15" t="s">
        <v>255</v>
      </c>
      <c r="AA530" s="15" t="s">
        <v>85</v>
      </c>
      <c r="AB530" s="15" t="s">
        <v>256</v>
      </c>
      <c r="AC530" s="20" t="s">
        <v>257</v>
      </c>
      <c r="AD530" s="9" t="str">
        <f>IF(OR(Form_Responses34[[#This Row],[Total_monthly_fuel_expense 
]]&gt;10040,Form_Responses34[[#This Row],[Total_monthly_fuel_expense 
]]&lt;-4760),"Outlier","Normal")</f>
        <v>Normal</v>
      </c>
    </row>
    <row r="531" spans="1:30" x14ac:dyDescent="0.2">
      <c r="A531" s="20">
        <v>36</v>
      </c>
      <c r="B531" s="15" t="s">
        <v>42</v>
      </c>
      <c r="C531" s="12" t="s">
        <v>1888</v>
      </c>
      <c r="D531" s="20">
        <v>4</v>
      </c>
      <c r="E531" s="20">
        <v>1</v>
      </c>
      <c r="F531" s="15" t="s">
        <v>100</v>
      </c>
      <c r="H531" s="15" t="s">
        <v>47</v>
      </c>
      <c r="K531" s="21"/>
      <c r="L531" s="21"/>
      <c r="M531" s="21"/>
      <c r="N531" s="20">
        <v>4</v>
      </c>
      <c r="O531" s="20">
        <v>5</v>
      </c>
      <c r="P531" s="20">
        <v>6</v>
      </c>
      <c r="Q531" s="21"/>
      <c r="R531" s="21"/>
      <c r="S531" s="21"/>
      <c r="T531" s="21"/>
      <c r="U531" s="21"/>
      <c r="V531" s="21"/>
      <c r="W531" s="20">
        <v>630</v>
      </c>
      <c r="X531" s="15" t="s">
        <v>252</v>
      </c>
      <c r="Y531" s="20">
        <v>3</v>
      </c>
      <c r="Z531" s="15" t="s">
        <v>344</v>
      </c>
      <c r="AA531" s="15" t="s">
        <v>85</v>
      </c>
      <c r="AB531" s="15" t="s">
        <v>256</v>
      </c>
      <c r="AC531" s="20" t="s">
        <v>68</v>
      </c>
      <c r="AD531" s="9" t="str">
        <f>IF(OR(Form_Responses34[[#This Row],[Total_monthly_fuel_expense 
]]&gt;10040,Form_Responses34[[#This Row],[Total_monthly_fuel_expense 
]]&lt;-4760),"Outlier","Normal")</f>
        <v>Normal</v>
      </c>
    </row>
    <row r="532" spans="1:30" x14ac:dyDescent="0.2">
      <c r="A532" s="20">
        <v>29</v>
      </c>
      <c r="B532" s="15" t="s">
        <v>73</v>
      </c>
      <c r="C532" s="12" t="s">
        <v>1889</v>
      </c>
      <c r="D532" s="20">
        <v>4</v>
      </c>
      <c r="E532" s="20">
        <v>1</v>
      </c>
      <c r="F532" s="15" t="s">
        <v>46</v>
      </c>
      <c r="G532" s="15" t="s">
        <v>47</v>
      </c>
      <c r="K532" s="20">
        <v>4</v>
      </c>
      <c r="L532" s="20">
        <v>26</v>
      </c>
      <c r="M532" s="20">
        <v>18</v>
      </c>
      <c r="N532" s="21"/>
      <c r="O532" s="21"/>
      <c r="P532" s="21"/>
      <c r="Q532" s="21"/>
      <c r="R532" s="21"/>
      <c r="S532" s="21"/>
      <c r="T532" s="21"/>
      <c r="U532" s="21"/>
      <c r="V532" s="21"/>
      <c r="W532" s="20">
        <v>1820</v>
      </c>
      <c r="X532" s="15" t="s">
        <v>252</v>
      </c>
      <c r="Y532" s="20">
        <v>13</v>
      </c>
      <c r="Z532" s="15" t="s">
        <v>255</v>
      </c>
      <c r="AA532" s="15" t="s">
        <v>85</v>
      </c>
      <c r="AB532" s="15" t="s">
        <v>256</v>
      </c>
      <c r="AC532" s="20" t="s">
        <v>257</v>
      </c>
      <c r="AD532" s="9" t="str">
        <f>IF(OR(Form_Responses34[[#This Row],[Total_monthly_fuel_expense 
]]&gt;10040,Form_Responses34[[#This Row],[Total_monthly_fuel_expense 
]]&lt;-4760),"Outlier","Normal")</f>
        <v>Normal</v>
      </c>
    </row>
    <row r="533" spans="1:30" x14ac:dyDescent="0.2">
      <c r="A533" s="20">
        <v>41</v>
      </c>
      <c r="B533" s="15" t="s">
        <v>73</v>
      </c>
      <c r="C533" s="12" t="s">
        <v>1890</v>
      </c>
      <c r="D533" s="20">
        <v>5</v>
      </c>
      <c r="E533" s="20">
        <v>2</v>
      </c>
      <c r="F533" s="15" t="s">
        <v>246</v>
      </c>
      <c r="G533" s="15" t="s">
        <v>47</v>
      </c>
      <c r="I533" s="15" t="s">
        <v>47</v>
      </c>
      <c r="K533" s="20">
        <v>9</v>
      </c>
      <c r="L533" s="20">
        <v>6</v>
      </c>
      <c r="M533" s="20">
        <v>5</v>
      </c>
      <c r="N533" s="21"/>
      <c r="O533" s="21"/>
      <c r="P533" s="21"/>
      <c r="Q533" s="20">
        <v>5</v>
      </c>
      <c r="R533" s="20">
        <v>22</v>
      </c>
      <c r="S533" s="20">
        <v>23</v>
      </c>
      <c r="T533" s="21"/>
      <c r="U533" s="21"/>
      <c r="V533" s="21"/>
      <c r="W533" s="20">
        <v>3900</v>
      </c>
      <c r="X533" s="15" t="s">
        <v>159</v>
      </c>
      <c r="Y533" s="20">
        <v>10</v>
      </c>
      <c r="Z533" s="15" t="s">
        <v>559</v>
      </c>
      <c r="AA533" s="15" t="s">
        <v>85</v>
      </c>
      <c r="AB533" s="15" t="s">
        <v>256</v>
      </c>
      <c r="AC533" s="20" t="s">
        <v>68</v>
      </c>
      <c r="AD533" s="9" t="str">
        <f>IF(OR(Form_Responses34[[#This Row],[Total_monthly_fuel_expense 
]]&gt;10040,Form_Responses34[[#This Row],[Total_monthly_fuel_expense 
]]&lt;-4760),"Outlier","Normal")</f>
        <v>Normal</v>
      </c>
    </row>
    <row r="534" spans="1:30" x14ac:dyDescent="0.2">
      <c r="A534" s="20">
        <v>25</v>
      </c>
      <c r="B534" s="15" t="s">
        <v>42</v>
      </c>
      <c r="C534" s="12" t="s">
        <v>1889</v>
      </c>
      <c r="D534" s="20">
        <v>5</v>
      </c>
      <c r="E534" s="20">
        <v>1</v>
      </c>
      <c r="F534" s="15" t="s">
        <v>100</v>
      </c>
      <c r="H534" s="15" t="s">
        <v>47</v>
      </c>
      <c r="K534" s="21"/>
      <c r="L534" s="21"/>
      <c r="M534" s="21"/>
      <c r="N534" s="20">
        <v>3</v>
      </c>
      <c r="O534" s="20">
        <v>11</v>
      </c>
      <c r="P534" s="20">
        <v>7</v>
      </c>
      <c r="Q534" s="21"/>
      <c r="R534" s="21"/>
      <c r="S534" s="21"/>
      <c r="T534" s="21"/>
      <c r="U534" s="21"/>
      <c r="V534" s="21"/>
      <c r="W534" s="20">
        <v>780</v>
      </c>
      <c r="X534" s="15" t="s">
        <v>159</v>
      </c>
      <c r="Y534" s="20">
        <v>6</v>
      </c>
      <c r="Z534" s="15" t="s">
        <v>255</v>
      </c>
      <c r="AA534" s="15" t="s">
        <v>85</v>
      </c>
      <c r="AB534" s="15" t="s">
        <v>335</v>
      </c>
      <c r="AC534" s="20" t="s">
        <v>257</v>
      </c>
      <c r="AD534" s="9" t="str">
        <f>IF(OR(Form_Responses34[[#This Row],[Total_monthly_fuel_expense 
]]&gt;10040,Form_Responses34[[#This Row],[Total_monthly_fuel_expense 
]]&lt;-4760),"Outlier","Normal")</f>
        <v>Normal</v>
      </c>
    </row>
    <row r="535" spans="1:30" x14ac:dyDescent="0.2">
      <c r="A535" s="20">
        <v>34</v>
      </c>
      <c r="B535" s="15" t="s">
        <v>73</v>
      </c>
      <c r="C535" s="12" t="s">
        <v>1889</v>
      </c>
      <c r="D535" s="20">
        <v>5</v>
      </c>
      <c r="E535" s="20">
        <v>2</v>
      </c>
      <c r="F535" s="15" t="s">
        <v>246</v>
      </c>
      <c r="G535" s="15" t="s">
        <v>47</v>
      </c>
      <c r="I535" s="15" t="s">
        <v>47</v>
      </c>
      <c r="K535" s="20">
        <v>6</v>
      </c>
      <c r="L535" s="20">
        <v>8</v>
      </c>
      <c r="M535" s="20">
        <v>6</v>
      </c>
      <c r="N535" s="21"/>
      <c r="O535" s="21"/>
      <c r="P535" s="21"/>
      <c r="Q535" s="20">
        <v>7</v>
      </c>
      <c r="R535" s="20">
        <v>18</v>
      </c>
      <c r="S535" s="20">
        <v>20</v>
      </c>
      <c r="T535" s="21"/>
      <c r="U535" s="21"/>
      <c r="V535" s="21"/>
      <c r="W535" s="20">
        <v>3200</v>
      </c>
      <c r="X535" s="15" t="s">
        <v>323</v>
      </c>
      <c r="Y535" s="20">
        <v>6</v>
      </c>
      <c r="Z535" s="15" t="s">
        <v>296</v>
      </c>
      <c r="AA535" s="15" t="s">
        <v>362</v>
      </c>
      <c r="AB535" s="15" t="s">
        <v>307</v>
      </c>
      <c r="AC535" s="20" t="s">
        <v>68</v>
      </c>
      <c r="AD535" s="9" t="str">
        <f>IF(OR(Form_Responses34[[#This Row],[Total_monthly_fuel_expense 
]]&gt;10040,Form_Responses34[[#This Row],[Total_monthly_fuel_expense 
]]&lt;-4760),"Outlier","Normal")</f>
        <v>Normal</v>
      </c>
    </row>
    <row r="536" spans="1:30" x14ac:dyDescent="0.2">
      <c r="A536" s="20">
        <v>37</v>
      </c>
      <c r="B536" s="15" t="s">
        <v>73</v>
      </c>
      <c r="C536" s="12" t="s">
        <v>1889</v>
      </c>
      <c r="D536" s="20">
        <v>5</v>
      </c>
      <c r="E536" s="20">
        <v>2</v>
      </c>
      <c r="F536" s="15" t="s">
        <v>290</v>
      </c>
      <c r="G536" s="15" t="s">
        <v>47</v>
      </c>
      <c r="J536" s="15" t="s">
        <v>291</v>
      </c>
      <c r="K536" s="20">
        <v>7</v>
      </c>
      <c r="L536" s="20">
        <v>6</v>
      </c>
      <c r="M536" s="20">
        <v>5</v>
      </c>
      <c r="N536" s="21"/>
      <c r="O536" s="21"/>
      <c r="P536" s="21"/>
      <c r="Q536" s="21"/>
      <c r="R536" s="21"/>
      <c r="S536" s="21"/>
      <c r="T536" s="20">
        <v>10</v>
      </c>
      <c r="U536" s="20">
        <v>0</v>
      </c>
      <c r="V536" s="20">
        <v>55</v>
      </c>
      <c r="W536" s="20">
        <v>6700</v>
      </c>
      <c r="X536" s="15" t="s">
        <v>252</v>
      </c>
      <c r="Y536" s="20">
        <v>3</v>
      </c>
      <c r="Z536" s="15" t="s">
        <v>296</v>
      </c>
      <c r="AA536" s="15" t="s">
        <v>362</v>
      </c>
      <c r="AB536" s="15" t="s">
        <v>307</v>
      </c>
      <c r="AC536" s="20" t="s">
        <v>68</v>
      </c>
      <c r="AD536" s="9" t="str">
        <f>IF(OR(Form_Responses34[[#This Row],[Total_monthly_fuel_expense 
]]&gt;10040,Form_Responses34[[#This Row],[Total_monthly_fuel_expense 
]]&lt;-4760),"Outlier","Normal")</f>
        <v>Normal</v>
      </c>
    </row>
    <row r="537" spans="1:30" x14ac:dyDescent="0.2">
      <c r="A537" s="20">
        <v>24</v>
      </c>
      <c r="B537" s="15" t="s">
        <v>42</v>
      </c>
      <c r="C537" s="12" t="s">
        <v>182</v>
      </c>
      <c r="D537" s="20">
        <v>4</v>
      </c>
      <c r="E537" s="20">
        <v>1</v>
      </c>
      <c r="F537" s="15" t="s">
        <v>100</v>
      </c>
      <c r="H537" s="15" t="s">
        <v>47</v>
      </c>
      <c r="K537" s="21"/>
      <c r="L537" s="21"/>
      <c r="M537" s="21"/>
      <c r="N537" s="20">
        <v>2</v>
      </c>
      <c r="O537" s="20">
        <v>10</v>
      </c>
      <c r="P537" s="20">
        <v>6</v>
      </c>
      <c r="Q537" s="21"/>
      <c r="R537" s="21"/>
      <c r="S537" s="21"/>
      <c r="T537" s="21"/>
      <c r="U537" s="21"/>
      <c r="V537" s="21"/>
      <c r="W537" s="20">
        <v>780</v>
      </c>
      <c r="X537" s="15" t="s">
        <v>360</v>
      </c>
      <c r="Y537" s="20">
        <v>5</v>
      </c>
      <c r="Z537" s="15" t="s">
        <v>285</v>
      </c>
      <c r="AA537" s="15" t="s">
        <v>96</v>
      </c>
      <c r="AB537" s="15" t="s">
        <v>256</v>
      </c>
      <c r="AC537" s="20" t="s">
        <v>257</v>
      </c>
      <c r="AD537" s="9" t="str">
        <f>IF(OR(Form_Responses34[[#This Row],[Total_monthly_fuel_expense 
]]&gt;10040,Form_Responses34[[#This Row],[Total_monthly_fuel_expense 
]]&lt;-4760),"Outlier","Normal")</f>
        <v>Normal</v>
      </c>
    </row>
    <row r="538" spans="1:30" x14ac:dyDescent="0.2">
      <c r="A538" s="20">
        <v>49</v>
      </c>
      <c r="B538" s="15" t="s">
        <v>73</v>
      </c>
      <c r="C538" s="12" t="s">
        <v>155</v>
      </c>
      <c r="D538" s="20">
        <v>4</v>
      </c>
      <c r="E538" s="20">
        <v>2</v>
      </c>
      <c r="F538" s="15" t="s">
        <v>246</v>
      </c>
      <c r="G538" s="15" t="s">
        <v>47</v>
      </c>
      <c r="I538" s="15" t="s">
        <v>47</v>
      </c>
      <c r="K538" s="20">
        <v>5</v>
      </c>
      <c r="L538" s="20">
        <v>4</v>
      </c>
      <c r="M538" s="21">
        <v>8</v>
      </c>
      <c r="N538" s="21"/>
      <c r="O538" s="21"/>
      <c r="P538" s="21"/>
      <c r="Q538" s="20">
        <v>4</v>
      </c>
      <c r="R538" s="20">
        <v>20</v>
      </c>
      <c r="S538" s="20">
        <v>21</v>
      </c>
      <c r="T538" s="21"/>
      <c r="U538" s="21"/>
      <c r="V538" s="21"/>
      <c r="W538" s="20">
        <v>3900</v>
      </c>
      <c r="X538" s="15" t="s">
        <v>276</v>
      </c>
      <c r="Y538" s="20">
        <v>10</v>
      </c>
      <c r="Z538" s="15" t="s">
        <v>559</v>
      </c>
      <c r="AA538" s="15" t="s">
        <v>362</v>
      </c>
      <c r="AB538" s="15" t="s">
        <v>307</v>
      </c>
      <c r="AC538" s="20" t="s">
        <v>152</v>
      </c>
      <c r="AD538" s="9" t="str">
        <f>IF(OR(Form_Responses34[[#This Row],[Total_monthly_fuel_expense 
]]&gt;10040,Form_Responses34[[#This Row],[Total_monthly_fuel_expense 
]]&lt;-4760),"Outlier","Normal")</f>
        <v>Normal</v>
      </c>
    </row>
    <row r="539" spans="1:30" x14ac:dyDescent="0.2">
      <c r="A539" s="20">
        <v>35</v>
      </c>
      <c r="B539" s="15" t="s">
        <v>42</v>
      </c>
      <c r="C539" s="12" t="s">
        <v>1891</v>
      </c>
      <c r="D539" s="20">
        <v>3</v>
      </c>
      <c r="E539" s="20">
        <v>1</v>
      </c>
      <c r="F539" s="15" t="s">
        <v>431</v>
      </c>
      <c r="I539" s="15" t="s">
        <v>47</v>
      </c>
      <c r="K539" s="21"/>
      <c r="L539" s="21"/>
      <c r="M539" s="21"/>
      <c r="N539" s="21"/>
      <c r="O539" s="21"/>
      <c r="P539" s="21"/>
      <c r="Q539" s="20">
        <v>5</v>
      </c>
      <c r="R539" s="20">
        <v>25</v>
      </c>
      <c r="S539" s="20">
        <v>22</v>
      </c>
      <c r="T539" s="21"/>
      <c r="U539" s="21"/>
      <c r="V539" s="21"/>
      <c r="W539" s="20">
        <v>3520</v>
      </c>
      <c r="X539" s="15" t="s">
        <v>159</v>
      </c>
      <c r="Y539" s="20">
        <v>12</v>
      </c>
      <c r="Z539" s="15" t="s">
        <v>255</v>
      </c>
      <c r="AA539" s="15" t="s">
        <v>85</v>
      </c>
      <c r="AB539" s="15" t="s">
        <v>256</v>
      </c>
      <c r="AC539" s="20" t="s">
        <v>152</v>
      </c>
      <c r="AD539" s="9" t="str">
        <f>IF(OR(Form_Responses34[[#This Row],[Total_monthly_fuel_expense 
]]&gt;10040,Form_Responses34[[#This Row],[Total_monthly_fuel_expense 
]]&lt;-4760),"Outlier","Normal")</f>
        <v>Normal</v>
      </c>
    </row>
    <row r="540" spans="1:30" x14ac:dyDescent="0.2">
      <c r="A540" s="20">
        <v>28</v>
      </c>
      <c r="B540" s="15" t="s">
        <v>73</v>
      </c>
      <c r="C540" s="12" t="s">
        <v>1888</v>
      </c>
      <c r="D540" s="20">
        <v>6</v>
      </c>
      <c r="E540" s="20">
        <v>1</v>
      </c>
      <c r="F540" s="15" t="s">
        <v>46</v>
      </c>
      <c r="G540" s="15" t="s">
        <v>47</v>
      </c>
      <c r="K540" s="20">
        <v>9</v>
      </c>
      <c r="L540" s="20">
        <v>12</v>
      </c>
      <c r="M540" s="20">
        <v>8</v>
      </c>
      <c r="N540" s="21"/>
      <c r="O540" s="21"/>
      <c r="P540" s="21"/>
      <c r="Q540" s="21"/>
      <c r="R540" s="21"/>
      <c r="S540" s="21"/>
      <c r="T540" s="21"/>
      <c r="U540" s="21"/>
      <c r="V540" s="21"/>
      <c r="W540" s="20">
        <v>1049</v>
      </c>
      <c r="X540" s="15" t="s">
        <v>252</v>
      </c>
      <c r="Y540" s="20">
        <v>6</v>
      </c>
      <c r="Z540" s="15" t="s">
        <v>724</v>
      </c>
      <c r="AA540" s="15" t="s">
        <v>85</v>
      </c>
      <c r="AB540" s="15" t="s">
        <v>256</v>
      </c>
      <c r="AC540" s="20" t="s">
        <v>152</v>
      </c>
      <c r="AD540" s="9" t="str">
        <f>IF(OR(Form_Responses34[[#This Row],[Total_monthly_fuel_expense 
]]&gt;10040,Form_Responses34[[#This Row],[Total_monthly_fuel_expense 
]]&lt;-4760),"Outlier","Normal")</f>
        <v>Normal</v>
      </c>
    </row>
    <row r="541" spans="1:30" x14ac:dyDescent="0.2">
      <c r="A541" s="20">
        <v>46</v>
      </c>
      <c r="B541" s="15" t="s">
        <v>42</v>
      </c>
      <c r="C541" s="12" t="s">
        <v>1888</v>
      </c>
      <c r="D541" s="20">
        <v>4</v>
      </c>
      <c r="E541" s="20">
        <v>1</v>
      </c>
      <c r="F541" s="15" t="s">
        <v>100</v>
      </c>
      <c r="H541" s="15" t="s">
        <v>47</v>
      </c>
      <c r="K541" s="21"/>
      <c r="L541" s="21"/>
      <c r="M541" s="21"/>
      <c r="N541" s="20">
        <v>7</v>
      </c>
      <c r="O541" s="20">
        <v>6</v>
      </c>
      <c r="P541" s="20">
        <v>5</v>
      </c>
      <c r="Q541" s="21"/>
      <c r="R541" s="21"/>
      <c r="S541" s="21"/>
      <c r="T541" s="21"/>
      <c r="U541" s="21"/>
      <c r="V541" s="21"/>
      <c r="W541" s="20">
        <v>530</v>
      </c>
      <c r="X541" s="15" t="s">
        <v>857</v>
      </c>
      <c r="Y541" s="20">
        <v>3</v>
      </c>
      <c r="Z541" s="15" t="s">
        <v>344</v>
      </c>
      <c r="AA541" s="15" t="s">
        <v>277</v>
      </c>
      <c r="AB541" s="15" t="s">
        <v>335</v>
      </c>
      <c r="AC541" s="20" t="s">
        <v>68</v>
      </c>
      <c r="AD541" s="9" t="str">
        <f>IF(OR(Form_Responses34[[#This Row],[Total_monthly_fuel_expense 
]]&gt;10040,Form_Responses34[[#This Row],[Total_monthly_fuel_expense 
]]&lt;-4760),"Outlier","Normal")</f>
        <v>Normal</v>
      </c>
    </row>
    <row r="542" spans="1:30" x14ac:dyDescent="0.2">
      <c r="A542" s="20">
        <v>35</v>
      </c>
      <c r="B542" s="15" t="s">
        <v>73</v>
      </c>
      <c r="C542" s="12" t="s">
        <v>1891</v>
      </c>
      <c r="D542" s="20">
        <v>3</v>
      </c>
      <c r="E542" s="20">
        <v>1</v>
      </c>
      <c r="F542" s="15" t="s">
        <v>431</v>
      </c>
      <c r="I542" s="15" t="s">
        <v>47</v>
      </c>
      <c r="K542" s="21"/>
      <c r="L542" s="21"/>
      <c r="M542" s="21"/>
      <c r="N542" s="21"/>
      <c r="O542" s="21"/>
      <c r="P542" s="21"/>
      <c r="Q542" s="20">
        <v>3</v>
      </c>
      <c r="R542" s="20">
        <v>33</v>
      </c>
      <c r="S542" s="20">
        <v>29</v>
      </c>
      <c r="T542" s="21"/>
      <c r="U542" s="21"/>
      <c r="V542" s="21"/>
      <c r="W542" s="20">
        <v>4890</v>
      </c>
      <c r="X542" s="15" t="s">
        <v>276</v>
      </c>
      <c r="Y542" s="20">
        <v>15</v>
      </c>
      <c r="Z542" s="15" t="s">
        <v>255</v>
      </c>
      <c r="AA542" s="15" t="s">
        <v>362</v>
      </c>
      <c r="AB542" s="15" t="s">
        <v>307</v>
      </c>
      <c r="AC542" s="20" t="s">
        <v>152</v>
      </c>
      <c r="AD542" s="9" t="str">
        <f>IF(OR(Form_Responses34[[#This Row],[Total_monthly_fuel_expense 
]]&gt;10040,Form_Responses34[[#This Row],[Total_monthly_fuel_expense 
]]&lt;-4760),"Outlier","Normal")</f>
        <v>Normal</v>
      </c>
    </row>
    <row r="543" spans="1:30" x14ac:dyDescent="0.2">
      <c r="A543" s="20">
        <v>25</v>
      </c>
      <c r="B543" s="15" t="s">
        <v>42</v>
      </c>
      <c r="C543" s="12" t="s">
        <v>1890</v>
      </c>
      <c r="D543" s="20">
        <v>3</v>
      </c>
      <c r="E543" s="20">
        <v>1</v>
      </c>
      <c r="F543" s="15" t="s">
        <v>46</v>
      </c>
      <c r="G543" s="15" t="s">
        <v>47</v>
      </c>
      <c r="K543" s="20">
        <v>5</v>
      </c>
      <c r="L543" s="20">
        <v>15</v>
      </c>
      <c r="M543" s="20">
        <v>10</v>
      </c>
      <c r="N543" s="21"/>
      <c r="O543" s="21"/>
      <c r="P543" s="21"/>
      <c r="Q543" s="21"/>
      <c r="R543" s="21"/>
      <c r="S543" s="21"/>
      <c r="T543" s="21"/>
      <c r="U543" s="21"/>
      <c r="V543" s="21"/>
      <c r="W543" s="20">
        <v>1180</v>
      </c>
      <c r="X543" s="15" t="s">
        <v>857</v>
      </c>
      <c r="Y543" s="20">
        <v>7</v>
      </c>
      <c r="Z543" s="15" t="s">
        <v>255</v>
      </c>
      <c r="AA543" s="15" t="s">
        <v>85</v>
      </c>
      <c r="AB543" s="15" t="s">
        <v>256</v>
      </c>
      <c r="AC543" s="20" t="s">
        <v>257</v>
      </c>
      <c r="AD543" s="9" t="str">
        <f>IF(OR(Form_Responses34[[#This Row],[Total_monthly_fuel_expense 
]]&gt;10040,Form_Responses34[[#This Row],[Total_monthly_fuel_expense 
]]&lt;-4760),"Outlier","Normal")</f>
        <v>Normal</v>
      </c>
    </row>
    <row r="544" spans="1:30" x14ac:dyDescent="0.2">
      <c r="A544" s="20">
        <v>57</v>
      </c>
      <c r="B544" s="15" t="s">
        <v>73</v>
      </c>
      <c r="C544" s="12" t="s">
        <v>1890</v>
      </c>
      <c r="D544" s="20">
        <v>5</v>
      </c>
      <c r="E544" s="20">
        <v>2</v>
      </c>
      <c r="F544" s="15" t="s">
        <v>290</v>
      </c>
      <c r="G544" s="15" t="s">
        <v>47</v>
      </c>
      <c r="J544" s="45" t="s">
        <v>291</v>
      </c>
      <c r="K544" s="20">
        <v>6</v>
      </c>
      <c r="L544" s="20">
        <v>5</v>
      </c>
      <c r="M544" s="20">
        <v>4</v>
      </c>
      <c r="N544" s="21"/>
      <c r="O544" s="21"/>
      <c r="P544" s="21"/>
      <c r="Q544" s="21"/>
      <c r="R544" s="21"/>
      <c r="S544" s="21"/>
      <c r="T544" s="20">
        <v>16</v>
      </c>
      <c r="U544" s="20">
        <v>0</v>
      </c>
      <c r="V544" s="20">
        <v>65</v>
      </c>
      <c r="W544" s="20">
        <v>8100</v>
      </c>
      <c r="X544" s="15" t="s">
        <v>252</v>
      </c>
      <c r="Y544" s="20">
        <v>2</v>
      </c>
      <c r="Z544" s="15" t="s">
        <v>296</v>
      </c>
      <c r="AA544" s="15" t="s">
        <v>362</v>
      </c>
      <c r="AB544" s="15" t="s">
        <v>307</v>
      </c>
      <c r="AC544" s="20" t="s">
        <v>68</v>
      </c>
      <c r="AD544" s="9" t="str">
        <f>IF(OR(Form_Responses34[[#This Row],[Total_monthly_fuel_expense 
]]&gt;10040,Form_Responses34[[#This Row],[Total_monthly_fuel_expense 
]]&lt;-4760),"Outlier","Normal")</f>
        <v>Normal</v>
      </c>
    </row>
    <row r="545" spans="1:30" x14ac:dyDescent="0.2">
      <c r="A545" s="20">
        <v>30</v>
      </c>
      <c r="B545" s="15" t="s">
        <v>73</v>
      </c>
      <c r="C545" s="12" t="s">
        <v>155</v>
      </c>
      <c r="D545" s="20">
        <v>5</v>
      </c>
      <c r="E545" s="20">
        <v>2</v>
      </c>
      <c r="F545" s="15" t="s">
        <v>352</v>
      </c>
      <c r="I545" s="15" t="s">
        <v>47</v>
      </c>
      <c r="K545" s="21"/>
      <c r="L545" s="21"/>
      <c r="M545" s="21"/>
      <c r="N545" s="21"/>
      <c r="O545" s="21"/>
      <c r="P545" s="21"/>
      <c r="Q545" s="20">
        <v>2</v>
      </c>
      <c r="R545" s="20">
        <v>22</v>
      </c>
      <c r="S545" s="20">
        <v>18</v>
      </c>
      <c r="T545" s="21"/>
      <c r="U545" s="21"/>
      <c r="V545" s="21"/>
      <c r="W545" s="20">
        <v>2600</v>
      </c>
      <c r="X545" s="15" t="s">
        <v>276</v>
      </c>
      <c r="Y545" s="20">
        <v>11</v>
      </c>
      <c r="Z545" s="15" t="s">
        <v>559</v>
      </c>
      <c r="AA545" s="15" t="s">
        <v>362</v>
      </c>
      <c r="AB545" s="15" t="s">
        <v>307</v>
      </c>
      <c r="AC545" s="20" t="s">
        <v>152</v>
      </c>
      <c r="AD545" s="9" t="str">
        <f>IF(OR(Form_Responses34[[#This Row],[Total_monthly_fuel_expense 
]]&gt;10040,Form_Responses34[[#This Row],[Total_monthly_fuel_expense 
]]&lt;-4760),"Outlier","Normal")</f>
        <v>Normal</v>
      </c>
    </row>
    <row r="546" spans="1:30" x14ac:dyDescent="0.2">
      <c r="A546" s="20">
        <v>18</v>
      </c>
      <c r="B546" s="15" t="s">
        <v>42</v>
      </c>
      <c r="C546" s="12" t="s">
        <v>182</v>
      </c>
      <c r="D546" s="20">
        <v>4</v>
      </c>
      <c r="E546" s="20">
        <v>3</v>
      </c>
      <c r="F546" s="15" t="s">
        <v>100</v>
      </c>
      <c r="H546" s="15" t="s">
        <v>47</v>
      </c>
      <c r="K546" s="21"/>
      <c r="L546" s="21"/>
      <c r="M546" s="21"/>
      <c r="N546" s="20">
        <v>2</v>
      </c>
      <c r="O546" s="20">
        <v>2</v>
      </c>
      <c r="P546" s="20">
        <v>6</v>
      </c>
      <c r="Q546" s="21"/>
      <c r="R546" s="21"/>
      <c r="S546" s="21"/>
      <c r="T546" s="21"/>
      <c r="U546" s="21"/>
      <c r="V546" s="21"/>
      <c r="W546" s="20">
        <v>3000</v>
      </c>
      <c r="X546" s="15" t="s">
        <v>252</v>
      </c>
      <c r="Y546" s="20">
        <v>2</v>
      </c>
      <c r="Z546" s="15" t="s">
        <v>344</v>
      </c>
      <c r="AA546" s="15" t="s">
        <v>54</v>
      </c>
      <c r="AB546" s="15" t="s">
        <v>256</v>
      </c>
      <c r="AC546" s="20" t="s">
        <v>68</v>
      </c>
      <c r="AD546" s="9" t="str">
        <f>IF(OR(Form_Responses34[[#This Row],[Total_monthly_fuel_expense 
]]&gt;10040,Form_Responses34[[#This Row],[Total_monthly_fuel_expense 
]]&lt;-4760),"Outlier","Normal")</f>
        <v>Normal</v>
      </c>
    </row>
    <row r="547" spans="1:30" x14ac:dyDescent="0.2">
      <c r="A547" s="20">
        <v>21</v>
      </c>
      <c r="B547" s="15" t="s">
        <v>42</v>
      </c>
      <c r="C547" s="12" t="s">
        <v>1888</v>
      </c>
      <c r="D547" s="20">
        <v>6</v>
      </c>
      <c r="E547" s="20">
        <v>2</v>
      </c>
      <c r="F547" s="15" t="s">
        <v>100</v>
      </c>
      <c r="H547" s="15" t="s">
        <v>47</v>
      </c>
      <c r="K547" s="21"/>
      <c r="L547" s="21"/>
      <c r="M547" s="21"/>
      <c r="N547" s="20">
        <v>8</v>
      </c>
      <c r="O547" s="20">
        <v>25</v>
      </c>
      <c r="P547" s="20">
        <v>30</v>
      </c>
      <c r="Q547" s="21"/>
      <c r="R547" s="21"/>
      <c r="S547" s="21"/>
      <c r="T547" s="21"/>
      <c r="U547" s="21"/>
      <c r="V547" s="21"/>
      <c r="W547" s="21">
        <v>555</v>
      </c>
      <c r="X547" s="15" t="s">
        <v>252</v>
      </c>
      <c r="Y547" s="20">
        <v>5</v>
      </c>
      <c r="Z547" s="15" t="s">
        <v>285</v>
      </c>
      <c r="AA547" s="15" t="s">
        <v>85</v>
      </c>
      <c r="AB547" s="15" t="s">
        <v>1424</v>
      </c>
      <c r="AC547" s="21" t="s">
        <v>257</v>
      </c>
      <c r="AD547" s="9" t="str">
        <f>IF(OR(Form_Responses34[[#This Row],[Total_monthly_fuel_expense 
]]&gt;10040,Form_Responses34[[#This Row],[Total_monthly_fuel_expense 
]]&lt;-4760),"Outlier","Normal")</f>
        <v>Normal</v>
      </c>
    </row>
    <row r="548" spans="1:30" x14ac:dyDescent="0.2">
      <c r="A548" s="20">
        <v>21</v>
      </c>
      <c r="B548" s="15" t="s">
        <v>42</v>
      </c>
      <c r="C548" s="12" t="s">
        <v>182</v>
      </c>
      <c r="D548" s="20">
        <v>5</v>
      </c>
      <c r="E548" s="20">
        <v>1</v>
      </c>
      <c r="F548" s="15" t="s">
        <v>46</v>
      </c>
      <c r="G548" s="15" t="s">
        <v>47</v>
      </c>
      <c r="K548" s="20">
        <v>7</v>
      </c>
      <c r="L548" s="20">
        <v>2</v>
      </c>
      <c r="M548" s="20">
        <v>22</v>
      </c>
      <c r="N548" s="21"/>
      <c r="O548" s="21"/>
      <c r="P548" s="21"/>
      <c r="Q548" s="21"/>
      <c r="R548" s="21"/>
      <c r="S548" s="21"/>
      <c r="T548" s="21"/>
      <c r="U548" s="21"/>
      <c r="V548" s="21"/>
      <c r="W548" s="21">
        <v>650</v>
      </c>
      <c r="X548" s="15" t="s">
        <v>252</v>
      </c>
      <c r="Y548" s="21">
        <v>6</v>
      </c>
      <c r="Z548" s="15" t="s">
        <v>296</v>
      </c>
      <c r="AA548" s="15" t="s">
        <v>85</v>
      </c>
      <c r="AB548" s="15" t="s">
        <v>256</v>
      </c>
      <c r="AC548" s="20" t="s">
        <v>152</v>
      </c>
      <c r="AD548" s="9" t="str">
        <f>IF(OR(Form_Responses34[[#This Row],[Total_monthly_fuel_expense 
]]&gt;10040,Form_Responses34[[#This Row],[Total_monthly_fuel_expense 
]]&lt;-4760),"Outlier","Normal")</f>
        <v>Normal</v>
      </c>
    </row>
    <row r="549" spans="1:30" x14ac:dyDescent="0.2">
      <c r="A549" s="20">
        <v>19</v>
      </c>
      <c r="B549" s="15" t="s">
        <v>42</v>
      </c>
      <c r="C549" s="12" t="s">
        <v>182</v>
      </c>
      <c r="D549" s="20">
        <v>6</v>
      </c>
      <c r="E549" s="20">
        <v>1</v>
      </c>
      <c r="F549" s="15" t="s">
        <v>46</v>
      </c>
      <c r="G549" s="15" t="s">
        <v>47</v>
      </c>
      <c r="K549" s="20">
        <v>3</v>
      </c>
      <c r="L549" s="20">
        <v>4</v>
      </c>
      <c r="M549" s="20">
        <v>22</v>
      </c>
      <c r="N549" s="21"/>
      <c r="O549" s="21"/>
      <c r="P549" s="21"/>
      <c r="Q549" s="21"/>
      <c r="R549" s="21"/>
      <c r="S549" s="21"/>
      <c r="T549" s="21"/>
      <c r="U549" s="21"/>
      <c r="V549" s="21"/>
      <c r="W549" s="21">
        <v>750</v>
      </c>
      <c r="X549" s="15" t="s">
        <v>252</v>
      </c>
      <c r="Y549" s="20">
        <v>7</v>
      </c>
      <c r="Z549" s="15" t="s">
        <v>255</v>
      </c>
      <c r="AA549" s="15" t="s">
        <v>362</v>
      </c>
      <c r="AB549" s="15" t="s">
        <v>256</v>
      </c>
      <c r="AC549" s="21" t="s">
        <v>257</v>
      </c>
      <c r="AD549" s="9" t="str">
        <f>IF(OR(Form_Responses34[[#This Row],[Total_monthly_fuel_expense 
]]&gt;10040,Form_Responses34[[#This Row],[Total_monthly_fuel_expense 
]]&lt;-4760),"Outlier","Normal")</f>
        <v>Normal</v>
      </c>
    </row>
    <row r="550" spans="1:30" x14ac:dyDescent="0.2">
      <c r="A550" s="20">
        <v>19</v>
      </c>
      <c r="B550" s="15" t="s">
        <v>42</v>
      </c>
      <c r="C550" s="12" t="s">
        <v>182</v>
      </c>
      <c r="D550" s="20">
        <v>6</v>
      </c>
      <c r="E550" s="20">
        <v>1</v>
      </c>
      <c r="F550" s="15" t="s">
        <v>46</v>
      </c>
      <c r="G550" s="15" t="s">
        <v>47</v>
      </c>
      <c r="K550" s="20">
        <v>5</v>
      </c>
      <c r="L550" s="20">
        <v>2</v>
      </c>
      <c r="M550" s="20">
        <v>22</v>
      </c>
      <c r="N550" s="21"/>
      <c r="O550" s="21"/>
      <c r="P550" s="21"/>
      <c r="Q550" s="21"/>
      <c r="R550" s="21"/>
      <c r="S550" s="21"/>
      <c r="T550" s="21"/>
      <c r="U550" s="21"/>
      <c r="V550" s="21"/>
      <c r="W550" s="21">
        <v>950</v>
      </c>
      <c r="X550" s="15" t="s">
        <v>252</v>
      </c>
      <c r="Y550" s="21">
        <v>6</v>
      </c>
      <c r="Z550" s="15" t="s">
        <v>296</v>
      </c>
      <c r="AA550" s="15" t="s">
        <v>85</v>
      </c>
      <c r="AB550" s="15" t="s">
        <v>256</v>
      </c>
      <c r="AC550" s="20" t="s">
        <v>152</v>
      </c>
      <c r="AD550" s="9" t="str">
        <f>IF(OR(Form_Responses34[[#This Row],[Total_monthly_fuel_expense 
]]&gt;10040,Form_Responses34[[#This Row],[Total_monthly_fuel_expense 
]]&lt;-4760),"Outlier","Normal")</f>
        <v>Normal</v>
      </c>
    </row>
    <row r="551" spans="1:30" x14ac:dyDescent="0.2">
      <c r="A551" s="20">
        <v>21</v>
      </c>
      <c r="B551" s="15" t="s">
        <v>42</v>
      </c>
      <c r="C551" s="12" t="s">
        <v>1888</v>
      </c>
      <c r="D551" s="20">
        <v>6</v>
      </c>
      <c r="E551" s="20">
        <v>2</v>
      </c>
      <c r="F551" s="15" t="s">
        <v>100</v>
      </c>
      <c r="H551" s="15" t="s">
        <v>47</v>
      </c>
      <c r="K551" s="20"/>
      <c r="L551" s="20"/>
      <c r="M551" s="21"/>
      <c r="N551" s="20">
        <v>1</v>
      </c>
      <c r="O551" s="20">
        <v>6</v>
      </c>
      <c r="P551" s="20">
        <v>7</v>
      </c>
      <c r="Q551" s="21"/>
      <c r="R551" s="21"/>
      <c r="S551" s="21"/>
      <c r="T551" s="21"/>
      <c r="U551" s="21"/>
      <c r="V551" s="21"/>
      <c r="W551" s="21">
        <v>1000</v>
      </c>
      <c r="X551" s="15" t="s">
        <v>252</v>
      </c>
      <c r="Y551" s="20">
        <v>6</v>
      </c>
      <c r="Z551" s="15" t="s">
        <v>285</v>
      </c>
      <c r="AA551" s="15" t="s">
        <v>54</v>
      </c>
      <c r="AB551" s="15" t="s">
        <v>256</v>
      </c>
      <c r="AC551" s="20" t="s">
        <v>152</v>
      </c>
      <c r="AD551" s="9" t="str">
        <f>IF(OR(Form_Responses34[[#This Row],[Total_monthly_fuel_expense 
]]&gt;10040,Form_Responses34[[#This Row],[Total_monthly_fuel_expense 
]]&lt;-4760),"Outlier","Normal")</f>
        <v>Normal</v>
      </c>
    </row>
    <row r="552" spans="1:30" x14ac:dyDescent="0.2">
      <c r="A552" s="20">
        <v>18</v>
      </c>
      <c r="B552" s="15" t="s">
        <v>42</v>
      </c>
      <c r="C552" s="12" t="s">
        <v>182</v>
      </c>
      <c r="D552" s="20">
        <v>4</v>
      </c>
      <c r="E552" s="20">
        <v>1</v>
      </c>
      <c r="F552" s="15" t="s">
        <v>100</v>
      </c>
      <c r="H552" s="15" t="s">
        <v>47</v>
      </c>
      <c r="K552" s="21"/>
      <c r="L552" s="21"/>
      <c r="M552" s="21"/>
      <c r="N552" s="20">
        <v>1</v>
      </c>
      <c r="O552" s="20">
        <v>5</v>
      </c>
      <c r="P552" s="20">
        <v>30</v>
      </c>
      <c r="Q552" s="21"/>
      <c r="R552" s="21"/>
      <c r="S552" s="21"/>
      <c r="T552" s="21"/>
      <c r="U552" s="21"/>
      <c r="V552" s="21"/>
      <c r="W552" s="20">
        <v>3000</v>
      </c>
      <c r="X552" s="15" t="s">
        <v>252</v>
      </c>
      <c r="Y552" s="20">
        <v>5</v>
      </c>
      <c r="Z552" s="15" t="s">
        <v>285</v>
      </c>
      <c r="AA552" s="15" t="s">
        <v>362</v>
      </c>
      <c r="AB552" s="15" t="s">
        <v>307</v>
      </c>
      <c r="AC552" s="20" t="s">
        <v>68</v>
      </c>
      <c r="AD552" s="9" t="str">
        <f>IF(OR(Form_Responses34[[#This Row],[Total_monthly_fuel_expense 
]]&gt;10040,Form_Responses34[[#This Row],[Total_monthly_fuel_expense 
]]&lt;-4760),"Outlier","Normal")</f>
        <v>Normal</v>
      </c>
    </row>
    <row r="553" spans="1:30" x14ac:dyDescent="0.2">
      <c r="A553" s="20">
        <v>18</v>
      </c>
      <c r="B553" s="15" t="s">
        <v>42</v>
      </c>
      <c r="C553" s="12" t="s">
        <v>182</v>
      </c>
      <c r="D553" s="20">
        <v>6</v>
      </c>
      <c r="E553" s="20">
        <v>1</v>
      </c>
      <c r="F553" s="15" t="s">
        <v>100</v>
      </c>
      <c r="H553" s="15" t="s">
        <v>47</v>
      </c>
      <c r="K553" s="21"/>
      <c r="L553" s="21"/>
      <c r="M553" s="21"/>
      <c r="N553" s="20">
        <v>4</v>
      </c>
      <c r="O553" s="20">
        <v>5</v>
      </c>
      <c r="P553" s="20">
        <v>25</v>
      </c>
      <c r="Q553" s="21"/>
      <c r="R553" s="21"/>
      <c r="S553" s="21"/>
      <c r="T553" s="21"/>
      <c r="U553" s="21"/>
      <c r="V553" s="21"/>
      <c r="W553" s="21">
        <v>1000</v>
      </c>
      <c r="X553" s="15" t="s">
        <v>252</v>
      </c>
      <c r="Y553" s="20">
        <v>5</v>
      </c>
      <c r="Z553" s="15" t="s">
        <v>285</v>
      </c>
      <c r="AA553" s="15" t="s">
        <v>362</v>
      </c>
      <c r="AB553" s="15" t="s">
        <v>307</v>
      </c>
      <c r="AC553" s="20" t="s">
        <v>68</v>
      </c>
      <c r="AD553" s="9" t="str">
        <f>IF(OR(Form_Responses34[[#This Row],[Total_monthly_fuel_expense 
]]&gt;10040,Form_Responses34[[#This Row],[Total_monthly_fuel_expense 
]]&lt;-4760),"Outlier","Normal")</f>
        <v>Normal</v>
      </c>
    </row>
    <row r="554" spans="1:30" x14ac:dyDescent="0.2">
      <c r="A554" s="20">
        <v>21</v>
      </c>
      <c r="B554" s="15" t="s">
        <v>73</v>
      </c>
      <c r="C554" s="12" t="s">
        <v>182</v>
      </c>
      <c r="D554" s="20">
        <v>3</v>
      </c>
      <c r="E554" s="20">
        <v>1</v>
      </c>
      <c r="F554" s="15" t="s">
        <v>46</v>
      </c>
      <c r="G554" s="15" t="s">
        <v>47</v>
      </c>
      <c r="K554" s="20">
        <v>4</v>
      </c>
      <c r="L554" s="20">
        <v>12</v>
      </c>
      <c r="M554" s="20">
        <v>35</v>
      </c>
      <c r="N554" s="21"/>
      <c r="O554" s="21"/>
      <c r="P554" s="21"/>
      <c r="Q554" s="21"/>
      <c r="R554" s="21"/>
      <c r="S554" s="21"/>
      <c r="T554" s="21"/>
      <c r="U554" s="21"/>
      <c r="V554" s="21"/>
      <c r="W554" s="21">
        <v>750</v>
      </c>
      <c r="X554" s="15" t="s">
        <v>252</v>
      </c>
      <c r="Y554" s="20">
        <v>12</v>
      </c>
      <c r="Z554" s="15" t="s">
        <v>285</v>
      </c>
      <c r="AA554" s="15" t="s">
        <v>96</v>
      </c>
      <c r="AB554" s="15" t="s">
        <v>256</v>
      </c>
      <c r="AC554" s="20" t="s">
        <v>68</v>
      </c>
      <c r="AD554" s="9" t="str">
        <f>IF(OR(Form_Responses34[[#This Row],[Total_monthly_fuel_expense 
]]&gt;10040,Form_Responses34[[#This Row],[Total_monthly_fuel_expense 
]]&lt;-4760),"Outlier","Normal")</f>
        <v>Normal</v>
      </c>
    </row>
    <row r="555" spans="1:30" x14ac:dyDescent="0.2">
      <c r="A555" s="20">
        <v>22</v>
      </c>
      <c r="B555" s="15" t="s">
        <v>73</v>
      </c>
      <c r="C555" s="12" t="s">
        <v>182</v>
      </c>
      <c r="D555" s="20">
        <v>3</v>
      </c>
      <c r="E555" s="20">
        <v>1</v>
      </c>
      <c r="F555" s="15" t="s">
        <v>46</v>
      </c>
      <c r="G555" s="15" t="s">
        <v>47</v>
      </c>
      <c r="K555" s="20">
        <v>7</v>
      </c>
      <c r="L555" s="20">
        <v>6</v>
      </c>
      <c r="M555" s="20">
        <v>22</v>
      </c>
      <c r="N555" s="21"/>
      <c r="O555" s="21"/>
      <c r="P555" s="21"/>
      <c r="Q555" s="21"/>
      <c r="R555" s="21"/>
      <c r="S555" s="21"/>
      <c r="T555" s="21"/>
      <c r="U555" s="21"/>
      <c r="V555" s="21"/>
      <c r="W555" s="21">
        <v>950</v>
      </c>
      <c r="X555" s="15" t="s">
        <v>252</v>
      </c>
      <c r="Y555" s="20">
        <v>6</v>
      </c>
      <c r="Z555" s="15" t="s">
        <v>285</v>
      </c>
      <c r="AA555" s="15" t="s">
        <v>277</v>
      </c>
      <c r="AB555" s="15" t="s">
        <v>256</v>
      </c>
      <c r="AC555" s="20" t="s">
        <v>152</v>
      </c>
      <c r="AD555" s="9" t="str">
        <f>IF(OR(Form_Responses34[[#This Row],[Total_monthly_fuel_expense 
]]&gt;10040,Form_Responses34[[#This Row],[Total_monthly_fuel_expense 
]]&lt;-4760),"Outlier","Normal")</f>
        <v>Normal</v>
      </c>
    </row>
    <row r="556" spans="1:30" x14ac:dyDescent="0.2">
      <c r="A556" s="20">
        <v>30</v>
      </c>
      <c r="B556" s="15" t="s">
        <v>73</v>
      </c>
      <c r="C556" s="12" t="s">
        <v>1889</v>
      </c>
      <c r="D556" s="20">
        <v>5</v>
      </c>
      <c r="E556" s="20">
        <v>2</v>
      </c>
      <c r="F556" s="15" t="s">
        <v>352</v>
      </c>
      <c r="I556" s="15" t="s">
        <v>47</v>
      </c>
      <c r="K556" s="21"/>
      <c r="L556" s="21"/>
      <c r="M556" s="21"/>
      <c r="N556" s="21"/>
      <c r="O556" s="21"/>
      <c r="P556" s="21"/>
      <c r="Q556" s="20">
        <v>2</v>
      </c>
      <c r="R556" s="20">
        <v>22</v>
      </c>
      <c r="S556" s="20">
        <v>18</v>
      </c>
      <c r="T556" s="21"/>
      <c r="U556" s="21"/>
      <c r="V556" s="21"/>
      <c r="W556" s="20">
        <v>2600</v>
      </c>
      <c r="X556" s="15" t="s">
        <v>276</v>
      </c>
      <c r="Y556" s="20">
        <v>11</v>
      </c>
      <c r="Z556" s="15" t="s">
        <v>559</v>
      </c>
      <c r="AA556" s="15" t="s">
        <v>362</v>
      </c>
      <c r="AB556" s="15" t="s">
        <v>307</v>
      </c>
      <c r="AC556" s="20" t="s">
        <v>68</v>
      </c>
      <c r="AD556" s="9" t="str">
        <f>IF(OR(Form_Responses34[[#This Row],[Total_monthly_fuel_expense 
]]&gt;10040,Form_Responses34[[#This Row],[Total_monthly_fuel_expense 
]]&lt;-4760),"Outlier","Normal")</f>
        <v>Normal</v>
      </c>
    </row>
    <row r="557" spans="1:30" x14ac:dyDescent="0.2">
      <c r="A557" s="20">
        <v>56</v>
      </c>
      <c r="B557" s="15" t="s">
        <v>73</v>
      </c>
      <c r="C557" s="12" t="s">
        <v>1889</v>
      </c>
      <c r="D557" s="20">
        <v>6</v>
      </c>
      <c r="E557" s="20">
        <v>2</v>
      </c>
      <c r="F557" s="15" t="s">
        <v>290</v>
      </c>
      <c r="G557" s="15" t="s">
        <v>47</v>
      </c>
      <c r="J557" s="15" t="s">
        <v>291</v>
      </c>
      <c r="K557" s="20">
        <v>15</v>
      </c>
      <c r="L557" s="20">
        <v>5</v>
      </c>
      <c r="M557" s="20">
        <v>4</v>
      </c>
      <c r="N557" s="21"/>
      <c r="O557" s="21"/>
      <c r="P557" s="21"/>
      <c r="Q557" s="21"/>
      <c r="R557" s="21"/>
      <c r="S557" s="21"/>
      <c r="T557" s="20">
        <v>16</v>
      </c>
      <c r="U557" s="20">
        <v>0</v>
      </c>
      <c r="V557" s="20">
        <v>65</v>
      </c>
      <c r="W557" s="20">
        <v>8100</v>
      </c>
      <c r="X557" s="15" t="s">
        <v>252</v>
      </c>
      <c r="Y557" s="20">
        <v>2</v>
      </c>
      <c r="Z557" s="15" t="s">
        <v>296</v>
      </c>
      <c r="AA557" s="15" t="s">
        <v>362</v>
      </c>
      <c r="AB557" s="15" t="s">
        <v>307</v>
      </c>
      <c r="AC557" s="20" t="s">
        <v>257</v>
      </c>
      <c r="AD557" s="9" t="str">
        <f>IF(OR(Form_Responses34[[#This Row],[Total_monthly_fuel_expense 
]]&gt;10040,Form_Responses34[[#This Row],[Total_monthly_fuel_expense 
]]&lt;-4760),"Outlier","Normal")</f>
        <v>Normal</v>
      </c>
    </row>
    <row r="558" spans="1:30" x14ac:dyDescent="0.2">
      <c r="A558" s="20">
        <v>36</v>
      </c>
      <c r="B558" s="15" t="s">
        <v>42</v>
      </c>
      <c r="C558" s="12" t="s">
        <v>1889</v>
      </c>
      <c r="D558" s="20">
        <v>4</v>
      </c>
      <c r="E558" s="20">
        <v>1</v>
      </c>
      <c r="F558" s="15" t="s">
        <v>46</v>
      </c>
      <c r="G558" s="15" t="s">
        <v>47</v>
      </c>
      <c r="K558" s="20">
        <v>4</v>
      </c>
      <c r="L558" s="20">
        <v>15</v>
      </c>
      <c r="M558" s="20">
        <v>9</v>
      </c>
      <c r="N558" s="21"/>
      <c r="O558" s="21"/>
      <c r="P558" s="21"/>
      <c r="Q558" s="21"/>
      <c r="R558" s="21"/>
      <c r="S558" s="21"/>
      <c r="T558" s="21"/>
      <c r="U558" s="21"/>
      <c r="V558" s="21"/>
      <c r="W558" s="20">
        <v>1170</v>
      </c>
      <c r="X558" s="15" t="s">
        <v>159</v>
      </c>
      <c r="Y558" s="20">
        <v>7</v>
      </c>
      <c r="Z558" s="15" t="s">
        <v>255</v>
      </c>
      <c r="AA558" s="15" t="s">
        <v>362</v>
      </c>
      <c r="AB558" s="15" t="s">
        <v>307</v>
      </c>
      <c r="AC558" s="20" t="s">
        <v>257</v>
      </c>
      <c r="AD558" s="9" t="str">
        <f>IF(OR(Form_Responses34[[#This Row],[Total_monthly_fuel_expense 
]]&gt;10040,Form_Responses34[[#This Row],[Total_monthly_fuel_expense 
]]&lt;-4760),"Outlier","Normal")</f>
        <v>Normal</v>
      </c>
    </row>
    <row r="559" spans="1:30" x14ac:dyDescent="0.2">
      <c r="A559" s="20">
        <v>34</v>
      </c>
      <c r="B559" s="15" t="s">
        <v>73</v>
      </c>
      <c r="C559" s="12" t="s">
        <v>1889</v>
      </c>
      <c r="D559" s="20">
        <v>4</v>
      </c>
      <c r="E559" s="20">
        <v>1</v>
      </c>
      <c r="F559" s="15" t="s">
        <v>431</v>
      </c>
      <c r="I559" s="15" t="s">
        <v>47</v>
      </c>
      <c r="K559" s="21"/>
      <c r="L559" s="21"/>
      <c r="M559" s="21"/>
      <c r="N559" s="21"/>
      <c r="O559" s="21"/>
      <c r="P559" s="21"/>
      <c r="Q559" s="20">
        <v>3</v>
      </c>
      <c r="R559" s="20">
        <v>32</v>
      </c>
      <c r="S559" s="20">
        <v>28</v>
      </c>
      <c r="T559" s="21"/>
      <c r="U559" s="21"/>
      <c r="V559" s="21"/>
      <c r="W559" s="20">
        <v>4480</v>
      </c>
      <c r="X559" s="15" t="s">
        <v>252</v>
      </c>
      <c r="Y559" s="20">
        <v>16</v>
      </c>
      <c r="Z559" s="15" t="s">
        <v>255</v>
      </c>
      <c r="AA559" s="15" t="s">
        <v>85</v>
      </c>
      <c r="AB559" s="15" t="s">
        <v>256</v>
      </c>
      <c r="AC559" s="20" t="s">
        <v>257</v>
      </c>
      <c r="AD559" s="9" t="str">
        <f>IF(OR(Form_Responses34[[#This Row],[Total_monthly_fuel_expense 
]]&gt;10040,Form_Responses34[[#This Row],[Total_monthly_fuel_expense 
]]&lt;-4760),"Outlier","Normal")</f>
        <v>Normal</v>
      </c>
    </row>
    <row r="560" spans="1:30" x14ac:dyDescent="0.2">
      <c r="A560" s="20">
        <v>41</v>
      </c>
      <c r="B560" s="15" t="s">
        <v>73</v>
      </c>
      <c r="C560" s="12" t="s">
        <v>1890</v>
      </c>
      <c r="D560" s="20">
        <v>4</v>
      </c>
      <c r="E560" s="20">
        <v>2</v>
      </c>
      <c r="F560" s="15" t="s">
        <v>246</v>
      </c>
      <c r="G560" s="15" t="s">
        <v>47</v>
      </c>
      <c r="I560" s="15" t="s">
        <v>47</v>
      </c>
      <c r="K560" s="20">
        <v>6</v>
      </c>
      <c r="L560" s="20">
        <v>10</v>
      </c>
      <c r="M560" s="20">
        <v>6</v>
      </c>
      <c r="N560" s="21"/>
      <c r="O560" s="21"/>
      <c r="P560" s="21"/>
      <c r="Q560" s="20">
        <v>5</v>
      </c>
      <c r="R560" s="20">
        <v>20</v>
      </c>
      <c r="S560" s="20">
        <v>21</v>
      </c>
      <c r="T560" s="21"/>
      <c r="U560" s="21"/>
      <c r="V560" s="21"/>
      <c r="W560" s="20">
        <v>3510</v>
      </c>
      <c r="X560" s="15" t="s">
        <v>252</v>
      </c>
      <c r="Y560" s="20">
        <v>10</v>
      </c>
      <c r="Z560" s="15" t="s">
        <v>559</v>
      </c>
      <c r="AA560" s="15" t="s">
        <v>362</v>
      </c>
      <c r="AB560" s="15" t="s">
        <v>307</v>
      </c>
      <c r="AC560" s="20" t="s">
        <v>68</v>
      </c>
      <c r="AD560" s="9" t="str">
        <f>IF(OR(Form_Responses34[[#This Row],[Total_monthly_fuel_expense 
]]&gt;10040,Form_Responses34[[#This Row],[Total_monthly_fuel_expense 
]]&lt;-4760),"Outlier","Normal")</f>
        <v>Normal</v>
      </c>
    </row>
    <row r="561" spans="1:30" x14ac:dyDescent="0.2">
      <c r="A561" s="20">
        <v>31</v>
      </c>
      <c r="B561" s="15" t="s">
        <v>42</v>
      </c>
      <c r="C561" s="12" t="s">
        <v>1888</v>
      </c>
      <c r="D561" s="20">
        <v>5</v>
      </c>
      <c r="E561" s="20">
        <v>1</v>
      </c>
      <c r="F561" s="15" t="s">
        <v>100</v>
      </c>
      <c r="H561" s="15" t="s">
        <v>47</v>
      </c>
      <c r="K561" s="21"/>
      <c r="L561" s="21"/>
      <c r="M561" s="21"/>
      <c r="N561" s="20">
        <v>6</v>
      </c>
      <c r="O561" s="20">
        <v>4</v>
      </c>
      <c r="P561" s="20">
        <v>6</v>
      </c>
      <c r="Q561" s="21"/>
      <c r="R561" s="21"/>
      <c r="S561" s="21"/>
      <c r="T561" s="21"/>
      <c r="U561" s="21"/>
      <c r="V561" s="21"/>
      <c r="W561" s="20">
        <v>520</v>
      </c>
      <c r="X561" s="15" t="s">
        <v>276</v>
      </c>
      <c r="Y561" s="20">
        <v>2</v>
      </c>
      <c r="Z561" s="15" t="s">
        <v>306</v>
      </c>
      <c r="AA561" s="15" t="s">
        <v>85</v>
      </c>
      <c r="AB561" s="15" t="s">
        <v>335</v>
      </c>
      <c r="AC561" s="20" t="s">
        <v>257</v>
      </c>
      <c r="AD561" s="9" t="str">
        <f>IF(OR(Form_Responses34[[#This Row],[Total_monthly_fuel_expense 
]]&gt;10040,Form_Responses34[[#This Row],[Total_monthly_fuel_expense 
]]&lt;-4760),"Outlier","Normal")</f>
        <v>Normal</v>
      </c>
    </row>
    <row r="562" spans="1:30" x14ac:dyDescent="0.2">
      <c r="A562" s="20">
        <v>46</v>
      </c>
      <c r="B562" s="15" t="s">
        <v>73</v>
      </c>
      <c r="C562" s="12" t="s">
        <v>1890</v>
      </c>
      <c r="D562" s="20">
        <v>5</v>
      </c>
      <c r="E562" s="20">
        <v>2</v>
      </c>
      <c r="F562" s="15" t="s">
        <v>290</v>
      </c>
      <c r="G562" s="15" t="s">
        <v>47</v>
      </c>
      <c r="J562" s="15" t="s">
        <v>291</v>
      </c>
      <c r="K562" s="20">
        <v>13</v>
      </c>
      <c r="L562" s="20">
        <v>5</v>
      </c>
      <c r="M562" s="20">
        <v>4</v>
      </c>
      <c r="N562" s="21"/>
      <c r="O562" s="21"/>
      <c r="P562" s="21"/>
      <c r="Q562" s="21"/>
      <c r="R562" s="21"/>
      <c r="S562" s="21"/>
      <c r="T562" s="20">
        <v>11</v>
      </c>
      <c r="U562" s="20">
        <v>0</v>
      </c>
      <c r="V562" s="20">
        <v>85</v>
      </c>
      <c r="W562" s="20">
        <v>7200</v>
      </c>
      <c r="X562" s="15" t="s">
        <v>252</v>
      </c>
      <c r="Y562" s="20">
        <v>7</v>
      </c>
      <c r="Z562" s="15" t="s">
        <v>296</v>
      </c>
      <c r="AA562" s="15" t="s">
        <v>85</v>
      </c>
      <c r="AB562" s="15" t="s">
        <v>256</v>
      </c>
      <c r="AC562" s="20" t="s">
        <v>257</v>
      </c>
      <c r="AD562" s="9" t="str">
        <f>IF(OR(Form_Responses34[[#This Row],[Total_monthly_fuel_expense 
]]&gt;10040,Form_Responses34[[#This Row],[Total_monthly_fuel_expense 
]]&lt;-4760),"Outlier","Normal")</f>
        <v>Normal</v>
      </c>
    </row>
    <row r="563" spans="1:30" x14ac:dyDescent="0.2">
      <c r="A563" s="20">
        <v>32</v>
      </c>
      <c r="B563" s="15" t="s">
        <v>73</v>
      </c>
      <c r="C563" s="12" t="s">
        <v>1889</v>
      </c>
      <c r="D563" s="20">
        <v>3</v>
      </c>
      <c r="E563" s="20">
        <v>1</v>
      </c>
      <c r="F563" s="15" t="s">
        <v>46</v>
      </c>
      <c r="G563" s="15" t="s">
        <v>47</v>
      </c>
      <c r="K563" s="20">
        <v>4</v>
      </c>
      <c r="L563" s="20">
        <v>22</v>
      </c>
      <c r="M563" s="20">
        <v>12</v>
      </c>
      <c r="N563" s="21"/>
      <c r="O563" s="21"/>
      <c r="P563" s="21"/>
      <c r="Q563" s="21"/>
      <c r="R563" s="21"/>
      <c r="S563" s="21"/>
      <c r="T563" s="21"/>
      <c r="U563" s="21"/>
      <c r="V563" s="21"/>
      <c r="W563" s="20">
        <v>1560</v>
      </c>
      <c r="X563" s="15" t="s">
        <v>252</v>
      </c>
      <c r="Y563" s="20">
        <v>11</v>
      </c>
      <c r="Z563" s="15" t="s">
        <v>255</v>
      </c>
      <c r="AA563" s="15" t="s">
        <v>85</v>
      </c>
      <c r="AB563" s="15" t="s">
        <v>256</v>
      </c>
      <c r="AC563" s="20" t="s">
        <v>257</v>
      </c>
      <c r="AD563" s="9" t="str">
        <f>IF(OR(Form_Responses34[[#This Row],[Total_monthly_fuel_expense 
]]&gt;10040,Form_Responses34[[#This Row],[Total_monthly_fuel_expense 
]]&lt;-4760),"Outlier","Normal")</f>
        <v>Normal</v>
      </c>
    </row>
    <row r="564" spans="1:30" x14ac:dyDescent="0.2">
      <c r="A564" s="20">
        <v>41</v>
      </c>
      <c r="B564" s="15" t="s">
        <v>42</v>
      </c>
      <c r="C564" s="12" t="s">
        <v>1888</v>
      </c>
      <c r="D564" s="20">
        <v>5</v>
      </c>
      <c r="E564" s="20">
        <v>1</v>
      </c>
      <c r="F564" s="15" t="s">
        <v>100</v>
      </c>
      <c r="H564" s="15" t="s">
        <v>47</v>
      </c>
      <c r="K564" s="21"/>
      <c r="L564" s="21"/>
      <c r="M564" s="21"/>
      <c r="N564" s="20">
        <v>6</v>
      </c>
      <c r="O564" s="20">
        <v>5</v>
      </c>
      <c r="P564" s="20">
        <v>4</v>
      </c>
      <c r="Q564" s="21"/>
      <c r="R564" s="21"/>
      <c r="S564" s="21"/>
      <c r="T564" s="21"/>
      <c r="U564" s="21"/>
      <c r="V564" s="21"/>
      <c r="W564" s="20">
        <v>520</v>
      </c>
      <c r="X564" s="15" t="s">
        <v>159</v>
      </c>
      <c r="Y564" s="20">
        <v>2</v>
      </c>
      <c r="Z564" s="15" t="s">
        <v>344</v>
      </c>
      <c r="AA564" s="15" t="s">
        <v>277</v>
      </c>
      <c r="AB564" s="15" t="s">
        <v>335</v>
      </c>
      <c r="AC564" s="20" t="s">
        <v>257</v>
      </c>
      <c r="AD564" s="9" t="str">
        <f>IF(OR(Form_Responses34[[#This Row],[Total_monthly_fuel_expense 
]]&gt;10040,Form_Responses34[[#This Row],[Total_monthly_fuel_expense 
]]&lt;-4760),"Outlier","Normal")</f>
        <v>Normal</v>
      </c>
    </row>
    <row r="565" spans="1:30" x14ac:dyDescent="0.2">
      <c r="A565" s="20">
        <v>39</v>
      </c>
      <c r="B565" s="15" t="s">
        <v>73</v>
      </c>
      <c r="C565" s="12" t="s">
        <v>1889</v>
      </c>
      <c r="D565" s="20">
        <v>5</v>
      </c>
      <c r="E565" s="20">
        <v>1</v>
      </c>
      <c r="F565" s="15" t="s">
        <v>46</v>
      </c>
      <c r="G565" s="15" t="s">
        <v>47</v>
      </c>
      <c r="K565" s="20">
        <v>5</v>
      </c>
      <c r="L565" s="20">
        <v>20</v>
      </c>
      <c r="M565" s="20">
        <v>11</v>
      </c>
      <c r="N565" s="21"/>
      <c r="O565" s="21"/>
      <c r="P565" s="21"/>
      <c r="Q565" s="21"/>
      <c r="R565" s="21"/>
      <c r="S565" s="21"/>
      <c r="T565" s="21"/>
      <c r="U565" s="21"/>
      <c r="V565" s="21"/>
      <c r="W565" s="20">
        <v>1180</v>
      </c>
      <c r="X565" s="15" t="s">
        <v>323</v>
      </c>
      <c r="Y565" s="20">
        <v>10</v>
      </c>
      <c r="Z565" s="15" t="s">
        <v>255</v>
      </c>
      <c r="AA565" s="15" t="s">
        <v>362</v>
      </c>
      <c r="AB565" s="15" t="s">
        <v>307</v>
      </c>
      <c r="AC565" s="20" t="s">
        <v>257</v>
      </c>
      <c r="AD565" s="9" t="str">
        <f>IF(OR(Form_Responses34[[#This Row],[Total_monthly_fuel_expense 
]]&gt;10040,Form_Responses34[[#This Row],[Total_monthly_fuel_expense 
]]&lt;-4760),"Outlier","Normal")</f>
        <v>Normal</v>
      </c>
    </row>
    <row r="566" spans="1:30" x14ac:dyDescent="0.2">
      <c r="A566" s="20">
        <v>57</v>
      </c>
      <c r="B566" s="15" t="s">
        <v>73</v>
      </c>
      <c r="C566" s="12" t="s">
        <v>1889</v>
      </c>
      <c r="D566" s="20">
        <v>5</v>
      </c>
      <c r="E566" s="20">
        <v>2</v>
      </c>
      <c r="F566" s="15" t="s">
        <v>290</v>
      </c>
      <c r="G566" s="15" t="s">
        <v>47</v>
      </c>
      <c r="J566" s="15" t="s">
        <v>291</v>
      </c>
      <c r="K566" s="20">
        <v>11</v>
      </c>
      <c r="L566" s="20">
        <v>6</v>
      </c>
      <c r="M566" s="20">
        <v>4</v>
      </c>
      <c r="N566" s="21"/>
      <c r="O566" s="21"/>
      <c r="P566" s="21"/>
      <c r="Q566" s="21"/>
      <c r="R566" s="21"/>
      <c r="S566" s="21"/>
      <c r="T566" s="20">
        <v>9</v>
      </c>
      <c r="U566" s="20">
        <v>0</v>
      </c>
      <c r="V566" s="20">
        <v>52</v>
      </c>
      <c r="W566" s="20">
        <v>6600</v>
      </c>
      <c r="X566" s="15" t="s">
        <v>159</v>
      </c>
      <c r="Y566" s="20">
        <v>3</v>
      </c>
      <c r="Z566" s="15" t="s">
        <v>296</v>
      </c>
      <c r="AA566" s="15" t="s">
        <v>362</v>
      </c>
      <c r="AB566" s="15" t="s">
        <v>307</v>
      </c>
      <c r="AC566" s="20" t="s">
        <v>257</v>
      </c>
      <c r="AD566" s="9" t="str">
        <f>IF(OR(Form_Responses34[[#This Row],[Total_monthly_fuel_expense 
]]&gt;10040,Form_Responses34[[#This Row],[Total_monthly_fuel_expense 
]]&lt;-4760),"Outlier","Normal")</f>
        <v>Normal</v>
      </c>
    </row>
    <row r="567" spans="1:30" x14ac:dyDescent="0.2">
      <c r="A567" s="20">
        <v>45</v>
      </c>
      <c r="B567" s="15" t="s">
        <v>42</v>
      </c>
      <c r="C567" s="12" t="s">
        <v>1889</v>
      </c>
      <c r="D567" s="20">
        <v>5</v>
      </c>
      <c r="E567" s="20">
        <v>1</v>
      </c>
      <c r="F567" s="15" t="s">
        <v>100</v>
      </c>
      <c r="H567" s="15" t="s">
        <v>47</v>
      </c>
      <c r="K567" s="21"/>
      <c r="L567" s="21"/>
      <c r="M567" s="21"/>
      <c r="N567" s="20">
        <v>2</v>
      </c>
      <c r="O567" s="20">
        <v>9</v>
      </c>
      <c r="P567" s="20">
        <v>6</v>
      </c>
      <c r="Q567" s="21"/>
      <c r="R567" s="21"/>
      <c r="S567" s="21"/>
      <c r="T567" s="21"/>
      <c r="U567" s="21"/>
      <c r="V567" s="21"/>
      <c r="W567" s="20">
        <v>680</v>
      </c>
      <c r="X567" s="15" t="s">
        <v>276</v>
      </c>
      <c r="Y567" s="20">
        <v>3</v>
      </c>
      <c r="Z567" s="15" t="s">
        <v>255</v>
      </c>
      <c r="AA567" s="15" t="s">
        <v>85</v>
      </c>
      <c r="AB567" s="15" t="s">
        <v>256</v>
      </c>
      <c r="AC567" s="20" t="s">
        <v>257</v>
      </c>
      <c r="AD567" s="9" t="str">
        <f>IF(OR(Form_Responses34[[#This Row],[Total_monthly_fuel_expense 
]]&gt;10040,Form_Responses34[[#This Row],[Total_monthly_fuel_expense 
]]&lt;-4760),"Outlier","Normal")</f>
        <v>Normal</v>
      </c>
    </row>
    <row r="568" spans="1:30" x14ac:dyDescent="0.2">
      <c r="A568" s="20">
        <v>52</v>
      </c>
      <c r="B568" s="15" t="s">
        <v>42</v>
      </c>
      <c r="C568" s="12" t="s">
        <v>1890</v>
      </c>
      <c r="D568" s="20">
        <v>5</v>
      </c>
      <c r="E568" s="20">
        <v>1</v>
      </c>
      <c r="F568" s="15" t="s">
        <v>431</v>
      </c>
      <c r="I568" s="15" t="s">
        <v>47</v>
      </c>
      <c r="K568" s="21"/>
      <c r="L568" s="21"/>
      <c r="M568" s="21"/>
      <c r="N568" s="21"/>
      <c r="O568" s="21"/>
      <c r="P568" s="21"/>
      <c r="Q568" s="20">
        <v>8</v>
      </c>
      <c r="R568" s="20">
        <v>18</v>
      </c>
      <c r="S568" s="20">
        <v>19</v>
      </c>
      <c r="T568" s="21"/>
      <c r="U568" s="21"/>
      <c r="V568" s="21"/>
      <c r="W568" s="20">
        <v>2000</v>
      </c>
      <c r="X568" s="15" t="s">
        <v>252</v>
      </c>
      <c r="Y568" s="20">
        <v>9</v>
      </c>
      <c r="Z568" s="15" t="s">
        <v>255</v>
      </c>
      <c r="AA568" s="15" t="s">
        <v>362</v>
      </c>
      <c r="AB568" s="15" t="s">
        <v>307</v>
      </c>
      <c r="AC568" s="20" t="s">
        <v>257</v>
      </c>
      <c r="AD568" s="9" t="str">
        <f>IF(OR(Form_Responses34[[#This Row],[Total_monthly_fuel_expense 
]]&gt;10040,Form_Responses34[[#This Row],[Total_monthly_fuel_expense 
]]&lt;-4760),"Outlier","Normal")</f>
        <v>Normal</v>
      </c>
    </row>
  </sheetData>
  <conditionalFormatting sqref="A1:AD568">
    <cfRule type="containsBlanks" dxfId="122" priority="1">
      <formula>LEN(TRIM(A1))=0</formula>
    </cfRule>
  </conditionalFormatting>
  <pageMargins left="0.7" right="0.7" top="0.75" bottom="0.75" header="0.3" footer="0.3"/>
  <pageSetup paperSize="9"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3:K27"/>
  <sheetViews>
    <sheetView zoomScale="106" zoomScaleNormal="106" workbookViewId="0">
      <selection activeCell="H15" sqref="H15"/>
    </sheetView>
  </sheetViews>
  <sheetFormatPr defaultRowHeight="12.75" x14ac:dyDescent="0.2"/>
  <cols>
    <col min="1" max="1" width="28.140625" customWidth="1"/>
    <col min="2" max="5" width="12.42578125" customWidth="1"/>
    <col min="6" max="6" width="9.7109375" customWidth="1"/>
    <col min="7" max="8" width="9" customWidth="1"/>
    <col min="11" max="11" width="12.5703125" customWidth="1"/>
  </cols>
  <sheetData>
    <row r="3" spans="1:11" x14ac:dyDescent="0.2">
      <c r="A3" s="19"/>
    </row>
    <row r="4" spans="1:11" ht="2.25" customHeight="1" thickBot="1" x14ac:dyDescent="0.25"/>
    <row r="5" spans="1:11" ht="38.25" customHeight="1" thickTop="1" thickBot="1" x14ac:dyDescent="0.3">
      <c r="A5" s="33" t="s">
        <v>1483</v>
      </c>
      <c r="B5" s="46" t="s">
        <v>1502</v>
      </c>
      <c r="C5" s="33" t="s">
        <v>1484</v>
      </c>
      <c r="D5" s="33" t="s">
        <v>1485</v>
      </c>
      <c r="E5" s="33" t="s">
        <v>1486</v>
      </c>
      <c r="F5" s="33" t="s">
        <v>1487</v>
      </c>
      <c r="G5" s="33" t="s">
        <v>1488</v>
      </c>
      <c r="H5" s="33" t="s">
        <v>1500</v>
      </c>
      <c r="I5" s="19"/>
      <c r="J5" s="19"/>
      <c r="K5" s="19"/>
    </row>
    <row r="6" spans="1:11" ht="25.5" customHeight="1" thickTop="1" thickBot="1" x14ac:dyDescent="0.25">
      <c r="A6" s="18" t="s">
        <v>1465</v>
      </c>
      <c r="B6" s="31">
        <f>COUNTBLANK(Form_Responses34[fuel_required_Bike ])</f>
        <v>212</v>
      </c>
      <c r="H6" s="31">
        <f>COUNTA(Form_Responses34[fuel_required_Bike ])</f>
        <v>355</v>
      </c>
      <c r="J6" s="19"/>
      <c r="K6" s="19"/>
    </row>
    <row r="7" spans="1:11" ht="22.5" customHeight="1" thickTop="1" thickBot="1" x14ac:dyDescent="0.25">
      <c r="A7" s="18" t="s">
        <v>1466</v>
      </c>
      <c r="B7" s="34">
        <f>COUNTBLANK(Form_Responses34[fuel_required_Scooty ])</f>
        <v>402</v>
      </c>
      <c r="H7" s="34">
        <f>COUNTA(Form_Responses34[fuel_required_Scooty ])</f>
        <v>165</v>
      </c>
    </row>
    <row r="8" spans="1:11" ht="25.5" customHeight="1" thickTop="1" thickBot="1" x14ac:dyDescent="0.25">
      <c r="A8" s="18" t="s">
        <v>1467</v>
      </c>
      <c r="B8" s="36">
        <f>COUNTBLANK(Form_Responses34[fuel_required_Car ])</f>
        <v>398</v>
      </c>
      <c r="H8" s="36">
        <f>COUNTA(Form_Responses34[fuel_required_Car ])</f>
        <v>169</v>
      </c>
    </row>
    <row r="9" spans="1:11" ht="35.25" customHeight="1" thickTop="1" thickBot="1" x14ac:dyDescent="0.25">
      <c r="A9" s="18" t="s">
        <v>1468</v>
      </c>
      <c r="B9" s="38">
        <f>COUNTBLANK(Form_Responses34[fuel_required_Commercial ])</f>
        <v>481</v>
      </c>
      <c r="H9" s="38">
        <f>COUNTA(Form_Responses34[fuel_required_Commercial ])</f>
        <v>86</v>
      </c>
      <c r="K9" s="30"/>
    </row>
    <row r="10" spans="1:11" ht="15.75" thickTop="1" thickBot="1" x14ac:dyDescent="0.25">
      <c r="A10" s="17" t="s">
        <v>1469</v>
      </c>
      <c r="B10" s="31">
        <f>COUNTBLANK(Form_Responses34[Age_bike ])</f>
        <v>212</v>
      </c>
      <c r="C10" s="32">
        <f>MIN(clean_data!K2:K568)</f>
        <v>1</v>
      </c>
      <c r="D10" s="32">
        <f>MAX(clean_data!K2:K568)</f>
        <v>38</v>
      </c>
      <c r="E10" s="31">
        <f>AVEDEV(clean_data!K2:K568)</f>
        <v>3.4466177345764746</v>
      </c>
      <c r="F10" s="32">
        <f>MEDIAN(clean_data!K2:K568)</f>
        <v>6</v>
      </c>
      <c r="G10" s="31">
        <f>_xlfn.MODE.MULT(clean_data!K2:K568)</f>
        <v>6</v>
      </c>
      <c r="H10" s="31">
        <f>COUNT(Form_Responses34[Age_bike ])</f>
        <v>355</v>
      </c>
      <c r="I10" s="43" t="s">
        <v>1489</v>
      </c>
    </row>
    <row r="11" spans="1:11" ht="27" thickTop="1" thickBot="1" x14ac:dyDescent="0.25">
      <c r="A11" s="17" t="s">
        <v>1470</v>
      </c>
      <c r="B11" s="31">
        <f>COUNTBLANK(Form_Responses34[Daily_distance_travelled_bike ])</f>
        <v>212</v>
      </c>
      <c r="C11" s="32">
        <f>MIN(clean_data!L2:L568)</f>
        <v>1</v>
      </c>
      <c r="D11" s="32">
        <f>MAX(clean_data!L2:L569)</f>
        <v>120</v>
      </c>
      <c r="E11" s="31">
        <f>AVEDEV(clean_data!L2:L569)</f>
        <v>6.3055742908153096</v>
      </c>
      <c r="F11" s="32">
        <f>MEDIAN(clean_data!L2:L569)</f>
        <v>12</v>
      </c>
      <c r="G11" s="31">
        <f>_xlfn.MODE.MULT(clean_data!L2:L569)</f>
        <v>10</v>
      </c>
      <c r="H11" s="31">
        <f>COUNT(Form_Responses34[Daily_distance_travelled_bike ])</f>
        <v>355</v>
      </c>
      <c r="I11" s="43" t="s">
        <v>1490</v>
      </c>
    </row>
    <row r="12" spans="1:11" ht="15.75" thickTop="1" thickBot="1" x14ac:dyDescent="0.25">
      <c r="A12" s="17" t="s">
        <v>1499</v>
      </c>
      <c r="B12" s="31">
        <f>COUNTBLANK(Form_Responses34[fuel_monthly_bikes])</f>
        <v>212</v>
      </c>
      <c r="C12" s="32">
        <f>MIN(clean_data!M2:M568)</f>
        <v>1</v>
      </c>
      <c r="D12" s="32">
        <f>MAX(clean_data!M2:M568)</f>
        <v>90</v>
      </c>
      <c r="E12" s="31">
        <f>AVEDEV(clean_data!M2:M570)</f>
        <v>5.6650347153342366</v>
      </c>
      <c r="F12" s="32">
        <f>MEDIAN(clean_data!M2:M570)</f>
        <v>8</v>
      </c>
      <c r="G12" s="31">
        <f>_xlfn.MODE.MULT(clean_data!M2:M570)</f>
        <v>5</v>
      </c>
      <c r="H12" s="31">
        <f>COUNT(Form_Responses34[fuel_monthly_bikes])</f>
        <v>355</v>
      </c>
      <c r="I12" s="43" t="s">
        <v>1493</v>
      </c>
    </row>
    <row r="13" spans="1:11" ht="15.75" thickTop="1" thickBot="1" x14ac:dyDescent="0.25">
      <c r="A13" s="17" t="s">
        <v>1471</v>
      </c>
      <c r="B13" s="34">
        <f>COUNTBLANK(Form_Responses34[Age_Scooty])</f>
        <v>402</v>
      </c>
      <c r="C13" s="35">
        <f>MIN(clean_data!N2:N568)</f>
        <v>1</v>
      </c>
      <c r="D13" s="35">
        <f>MAX(clean_data!N2:N568)</f>
        <v>25</v>
      </c>
      <c r="E13" s="34">
        <f>AVEDEV(clean_data!N2:N571)</f>
        <v>1.9023691460055097</v>
      </c>
      <c r="F13" s="35">
        <f>MEDIAN(clean_data!N2:N571)</f>
        <v>3</v>
      </c>
      <c r="G13" s="34">
        <f>_xlfn.MODE.MULT(clean_data!N2:N571)</f>
        <v>3</v>
      </c>
      <c r="H13" s="34">
        <f>COUNT(Form_Responses34[Age_Scooty])</f>
        <v>165</v>
      </c>
      <c r="I13" s="19" t="s">
        <v>1492</v>
      </c>
    </row>
    <row r="14" spans="1:11" ht="27" thickTop="1" thickBot="1" x14ac:dyDescent="0.25">
      <c r="A14" s="17" t="s">
        <v>1472</v>
      </c>
      <c r="B14" s="34">
        <f>COUNTBLANK(Form_Responses34[Daily_distance_travelled_Scooty ])</f>
        <v>402</v>
      </c>
      <c r="C14" s="35">
        <f>MIN(clean_data!O2:O572)</f>
        <v>1</v>
      </c>
      <c r="D14" s="35">
        <f>MAX(clean_data!O2:O568)</f>
        <v>50</v>
      </c>
      <c r="E14" s="34">
        <f>AVEDEV(clean_data!O2:O572)</f>
        <v>3.4461707988980681</v>
      </c>
      <c r="F14" s="35">
        <f>MEDIAN(clean_data!O2:O572)</f>
        <v>8</v>
      </c>
      <c r="G14" s="34">
        <f>_xlfn.MODE.MULT(clean_data!O2:O572)</f>
        <v>10</v>
      </c>
      <c r="H14" s="34">
        <f>COUNT(Form_Responses34[Daily_distance_travelled_Scooty ])</f>
        <v>165</v>
      </c>
      <c r="I14" s="19" t="s">
        <v>1490</v>
      </c>
    </row>
    <row r="15" spans="1:11" ht="27" thickTop="1" thickBot="1" x14ac:dyDescent="0.25">
      <c r="A15" s="17" t="s">
        <v>1495</v>
      </c>
      <c r="B15" s="34">
        <f>COUNTBLANK(Form_Responses34[Fuel_required_monthly_scooty])</f>
        <v>402</v>
      </c>
      <c r="C15" s="35">
        <f>MIN(clean_data!P2:P572)</f>
        <v>2</v>
      </c>
      <c r="D15" s="35">
        <f>MAX(clean_data!P2:P568)</f>
        <v>46</v>
      </c>
      <c r="E15" s="34">
        <f>AVEDEV(clean_data!P2:P573)</f>
        <v>3.2916804407713443</v>
      </c>
      <c r="F15" s="35">
        <f>MEDIAN(clean_data!P2:P573)</f>
        <v>6</v>
      </c>
      <c r="G15" s="34">
        <f>_xlfn.MODE.MULT(clean_data!P2:P573)</f>
        <v>5</v>
      </c>
      <c r="H15" s="34">
        <f>COUNT(Form_Responses34[Fuel_required_monthly_scooty])</f>
        <v>165</v>
      </c>
      <c r="I15" s="19" t="s">
        <v>1493</v>
      </c>
    </row>
    <row r="16" spans="1:11" ht="15.75" thickTop="1" thickBot="1" x14ac:dyDescent="0.25">
      <c r="A16" s="17" t="s">
        <v>1473</v>
      </c>
      <c r="B16" s="36">
        <f>COUNTBLANK(Form_Responses34[[#All],[ Age_Car]])</f>
        <v>398</v>
      </c>
      <c r="C16" s="37">
        <f>MIN(clean_data!Q6:Q572)</f>
        <v>1</v>
      </c>
      <c r="D16" s="37">
        <f>MAX(clean_data!Q2:Q568)</f>
        <v>13</v>
      </c>
      <c r="E16" s="36">
        <f>AVEDEV(clean_data!Q2:Q574)</f>
        <v>1.5685025034137432</v>
      </c>
      <c r="F16" s="37">
        <f>MEDIAN(clean_data!Q2:Q574)</f>
        <v>5</v>
      </c>
      <c r="G16" s="36">
        <f>_xlfn.MODE.MULT(clean_data!Q2:Q574)</f>
        <v>5</v>
      </c>
      <c r="H16" s="36">
        <f>COUNT(Form_Responses34[[#All],[ Age_Car]])</f>
        <v>169</v>
      </c>
      <c r="I16" s="19" t="s">
        <v>1492</v>
      </c>
    </row>
    <row r="17" spans="1:9" ht="15.75" thickTop="1" thickBot="1" x14ac:dyDescent="0.25">
      <c r="A17" s="17" t="s">
        <v>1474</v>
      </c>
      <c r="B17" s="36">
        <f>COUNTBLANK(Form_Responses34[Daily_distance_travelled_Car ])</f>
        <v>398</v>
      </c>
      <c r="C17" s="37">
        <f>MIN(clean_data!R2:R572)</f>
        <v>8</v>
      </c>
      <c r="D17" s="37">
        <f>MAX(clean_data!R2:R568)</f>
        <v>100</v>
      </c>
      <c r="E17" s="36">
        <f>AVEDEV(clean_data!R2:R575)</f>
        <v>5.7728370855362146</v>
      </c>
      <c r="F17" s="37">
        <f>MEDIAN(clean_data!R2:R575)</f>
        <v>24</v>
      </c>
      <c r="G17" s="36">
        <f>_xlfn.MODE.MULT(clean_data!R2:R575)</f>
        <v>25</v>
      </c>
      <c r="H17" s="36">
        <f>COUNT(Form_Responses34[Daily_distance_travelled_Car ])</f>
        <v>169</v>
      </c>
      <c r="I17" s="19" t="s">
        <v>1490</v>
      </c>
    </row>
    <row r="18" spans="1:9" ht="15.75" thickTop="1" thickBot="1" x14ac:dyDescent="0.25">
      <c r="A18" s="17" t="s">
        <v>1496</v>
      </c>
      <c r="B18" s="36">
        <f>COUNTBLANK(Form_Responses34[Fuel_required_monthly_car])</f>
        <v>398</v>
      </c>
      <c r="C18" s="37">
        <f>MIN(clean_data!S2:S576)</f>
        <v>5</v>
      </c>
      <c r="D18" s="37">
        <f>MAX(clean_data!S2:S568)</f>
        <v>70</v>
      </c>
      <c r="E18" s="36">
        <f>AVEDEV(clean_data!S2:S576)</f>
        <v>7.6939883057315797</v>
      </c>
      <c r="F18" s="37">
        <f>MEDIAN(clean_data!S2:S576)</f>
        <v>24</v>
      </c>
      <c r="G18" s="36">
        <f>_xlfn.MODE.MULT(clean_data!S2:S576)</f>
        <v>22</v>
      </c>
      <c r="H18" s="36">
        <f>COUNT(Form_Responses34[Fuel_required_monthly_car])</f>
        <v>169</v>
      </c>
      <c r="I18" s="19" t="s">
        <v>1493</v>
      </c>
    </row>
    <row r="19" spans="1:9" ht="27" thickTop="1" thickBot="1" x14ac:dyDescent="0.25">
      <c r="A19" s="17" t="s">
        <v>1475</v>
      </c>
      <c r="B19" s="38">
        <f>COUNTBLANK(Form_Responses34[[#All],[
Age_commercial]])</f>
        <v>481</v>
      </c>
      <c r="C19" s="39">
        <f>MIN(clean_data!T10:T576)</f>
        <v>2</v>
      </c>
      <c r="D19" s="39">
        <f>MAX(clean_data!T2:T568)</f>
        <v>24</v>
      </c>
      <c r="E19" s="38">
        <f>AVEDEV(clean_data!T2:T577)</f>
        <v>3.865873445105465</v>
      </c>
      <c r="F19" s="39">
        <f>MEDIAN(clean_data!T2:T577)</f>
        <v>12</v>
      </c>
      <c r="G19" s="38">
        <f>_xlfn.MODE.MULT(clean_data!T2:T577)</f>
        <v>10</v>
      </c>
      <c r="H19" s="38">
        <f>COUNT(Form_Responses34[[#All],[
Age_commercial]])</f>
        <v>86</v>
      </c>
      <c r="I19" s="19" t="s">
        <v>1492</v>
      </c>
    </row>
    <row r="20" spans="1:9" ht="27" thickTop="1" thickBot="1" x14ac:dyDescent="0.25">
      <c r="A20" s="17" t="s">
        <v>1476</v>
      </c>
      <c r="B20" s="38">
        <f>COUNTBLANK(Form_Responses34[Daily_distance_travelled_commercial])</f>
        <v>481</v>
      </c>
      <c r="C20" s="39">
        <f>MIN(clean_data!U10:U576)</f>
        <v>0</v>
      </c>
      <c r="D20" s="39">
        <f>MAX(clean_data!U2:U568)</f>
        <v>75</v>
      </c>
      <c r="E20" s="38">
        <f>AVEDEV(clean_data!U2:U578)</f>
        <v>13.777176852352621</v>
      </c>
      <c r="F20" s="39">
        <f>MEDIAN(clean_data!U2:U578)</f>
        <v>45</v>
      </c>
      <c r="G20" s="38">
        <f>_xlfn.MODE.MULT(clean_data!U2:U578)</f>
        <v>45</v>
      </c>
      <c r="H20" s="38">
        <f>COUNT(Form_Responses34[Daily_distance_travelled_commercial])</f>
        <v>86</v>
      </c>
      <c r="I20" s="19" t="s">
        <v>1490</v>
      </c>
    </row>
    <row r="21" spans="1:9" ht="27" thickTop="1" thickBot="1" x14ac:dyDescent="0.25">
      <c r="A21" s="17" t="s">
        <v>1497</v>
      </c>
      <c r="B21" s="38">
        <f>COUNTBLANK(Form_Responses34[Fuel_required_monthly_commercial])</f>
        <v>481</v>
      </c>
      <c r="C21" s="39">
        <f>MIN(clean_data!V2:V576)</f>
        <v>1</v>
      </c>
      <c r="D21" s="39">
        <f>MAX(clean_data!V2:V568)</f>
        <v>110</v>
      </c>
      <c r="E21" s="38">
        <f>AVEDEV(clean_data!V2:V579)</f>
        <v>16.092482422931308</v>
      </c>
      <c r="F21" s="39">
        <f>MEDIAN(clean_data!V2:V579)</f>
        <v>70</v>
      </c>
      <c r="G21" s="38">
        <f>_xlfn.MODE.MULT(clean_data!V2:V579)</f>
        <v>70</v>
      </c>
      <c r="H21" s="38">
        <f>COUNT(Form_Responses34[Fuel_required_monthly_commercial])</f>
        <v>86</v>
      </c>
      <c r="I21" s="19" t="s">
        <v>1493</v>
      </c>
    </row>
    <row r="22" spans="1:9" ht="30" thickTop="1" thickBot="1" x14ac:dyDescent="0.25">
      <c r="A22" s="40" t="s">
        <v>1477</v>
      </c>
      <c r="B22" s="41">
        <f>COUNTBLANK(Form_Responses34[Total_monthly_fuel_expense 
])</f>
        <v>0</v>
      </c>
      <c r="C22" s="42">
        <f>MIN(clean_data!W2:W580)</f>
        <v>200</v>
      </c>
      <c r="D22" s="42">
        <f>MAX(clean_data!W2:W568)</f>
        <v>20000</v>
      </c>
      <c r="E22" s="41">
        <f>AVEDEV(clean_data!W2:W580)</f>
        <v>2704.8788418888516</v>
      </c>
      <c r="F22" s="42">
        <f>MEDIAN(clean_data!W2:W580)</f>
        <v>1600</v>
      </c>
      <c r="G22" s="41">
        <f>_xlfn.MODE.MULT(clean_data!W2:W580)</f>
        <v>650</v>
      </c>
      <c r="H22" s="41">
        <f>COUNT(Form_Responses34[Total_monthly_fuel_expense 
])</f>
        <v>567</v>
      </c>
      <c r="I22" s="19" t="s">
        <v>1491</v>
      </c>
    </row>
    <row r="23" spans="1:9" ht="13.5" thickTop="1" x14ac:dyDescent="0.2"/>
    <row r="26" spans="1:9" x14ac:dyDescent="0.2">
      <c r="A26" t="s">
        <v>1556</v>
      </c>
    </row>
    <row r="27" spans="1:9" ht="25.5" x14ac:dyDescent="0.2">
      <c r="A27" s="52" t="s">
        <v>1622</v>
      </c>
      <c r="B27" s="121">
        <f>AVERAGE(Form_Responses34[Total_monthly_fuel_expense 
])</f>
        <v>3336.4426807760142</v>
      </c>
    </row>
  </sheetData>
  <conditionalFormatting sqref="A6:A22">
    <cfRule type="containsBlanks" dxfId="86" priority="7" stopIfTrue="1">
      <formula>LEN(TRIM(A6))=0</formula>
    </cfRule>
  </conditionalFormatting>
  <conditionalFormatting sqref="A1:A1048576">
    <cfRule type="containsText" dxfId="85" priority="1" operator="containsText" text="commercial">
      <formula>NOT(ISERROR(SEARCH("commercial",A1)))</formula>
    </cfRule>
    <cfRule type="containsText" dxfId="84" priority="2" operator="containsText" text="car">
      <formula>NOT(ISERROR(SEARCH("car",A1)))</formula>
    </cfRule>
    <cfRule type="containsText" dxfId="83" priority="3" operator="containsText" text="scooty">
      <formula>NOT(ISERROR(SEARCH("scooty",A1)))</formula>
    </cfRule>
    <cfRule type="containsText" dxfId="82" priority="4" operator="containsText" text="bike">
      <formula>NOT(ISERROR(SEARCH("bike",A1)))</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8"/>
  <sheetViews>
    <sheetView workbookViewId="0">
      <selection activeCell="B7" sqref="B7"/>
    </sheetView>
  </sheetViews>
  <sheetFormatPr defaultRowHeight="12.75" x14ac:dyDescent="0.2"/>
  <cols>
    <col min="1" max="1" width="12.140625" customWidth="1"/>
  </cols>
  <sheetData>
    <row r="1" spans="1:2" x14ac:dyDescent="0.2">
      <c r="A1" t="s">
        <v>1648</v>
      </c>
    </row>
    <row r="2" spans="1:2" x14ac:dyDescent="0.2">
      <c r="A2" t="s">
        <v>1637</v>
      </c>
      <c r="B2">
        <f>QUARTILE(Form_Responses34[Total_monthly_fuel_expense 
],1)</f>
        <v>790</v>
      </c>
    </row>
    <row r="3" spans="1:2" x14ac:dyDescent="0.2">
      <c r="A3" t="s">
        <v>1639</v>
      </c>
      <c r="B3">
        <f>QUARTILE(Form_Responses34[Total_monthly_fuel_expense 
],3)</f>
        <v>4490</v>
      </c>
    </row>
    <row r="4" spans="1:2" x14ac:dyDescent="0.2">
      <c r="A4" t="s">
        <v>1647</v>
      </c>
      <c r="B4">
        <f>B3-B2</f>
        <v>3700</v>
      </c>
    </row>
    <row r="5" spans="1:2" x14ac:dyDescent="0.2">
      <c r="A5" t="s">
        <v>1649</v>
      </c>
      <c r="B5">
        <f>B2-1.5*B4</f>
        <v>-4760</v>
      </c>
    </row>
    <row r="6" spans="1:2" x14ac:dyDescent="0.2">
      <c r="A6" t="s">
        <v>1650</v>
      </c>
      <c r="B6">
        <f>B3+1.5*B4</f>
        <v>10040</v>
      </c>
    </row>
    <row r="7" spans="1:2" x14ac:dyDescent="0.2">
      <c r="A7" t="s">
        <v>1651</v>
      </c>
      <c r="B7">
        <f>COUNTIF(Form_Responses34[Total_monthly_fuel_expense 
],"&gt;"&amp;Outlier_detection!B6)</f>
        <v>35</v>
      </c>
    </row>
    <row r="8" spans="1:2" x14ac:dyDescent="0.2">
      <c r="A8" t="s">
        <v>1652</v>
      </c>
      <c r="B8">
        <f>COUNTIF(Form_Responses34[Total_monthly_fuel_expense 
],"&lt;"&amp;Outlier_detection!B5)</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8"/>
  <sheetViews>
    <sheetView topLeftCell="B1" workbookViewId="0">
      <selection activeCell="K10" sqref="K10"/>
    </sheetView>
  </sheetViews>
  <sheetFormatPr defaultRowHeight="12.75" x14ac:dyDescent="0.2"/>
  <cols>
    <col min="1" max="1" width="20" style="126" customWidth="1"/>
    <col min="2" max="8" width="9.140625" style="126"/>
    <col min="9" max="9" width="23" style="126" customWidth="1"/>
    <col min="10" max="16384" width="9.140625" style="126"/>
  </cols>
  <sheetData>
    <row r="1" spans="1:9" ht="22.5" x14ac:dyDescent="0.3">
      <c r="A1" s="141" t="s">
        <v>1656</v>
      </c>
      <c r="B1" s="141"/>
      <c r="C1" s="141"/>
    </row>
    <row r="3" spans="1:9" ht="15.75" x14ac:dyDescent="0.25">
      <c r="A3" s="168" t="s">
        <v>1657</v>
      </c>
      <c r="B3" s="168" t="s">
        <v>1661</v>
      </c>
      <c r="C3" s="168" t="s">
        <v>1662</v>
      </c>
      <c r="D3" s="168" t="s">
        <v>1638</v>
      </c>
      <c r="E3" s="168" t="s">
        <v>1663</v>
      </c>
      <c r="F3" s="168" t="s">
        <v>1484</v>
      </c>
      <c r="G3" s="168" t="s">
        <v>1640</v>
      </c>
      <c r="H3" s="168" t="s">
        <v>1744</v>
      </c>
      <c r="I3" s="168" t="s">
        <v>1745</v>
      </c>
    </row>
    <row r="4" spans="1:9" ht="15.75" x14ac:dyDescent="0.25">
      <c r="A4" s="168" t="s">
        <v>1664</v>
      </c>
      <c r="B4" s="169">
        <v>567</v>
      </c>
      <c r="C4" s="169">
        <f>AVERAGE(Form_Responses34[Total_monthly_fuel_expense 
])</f>
        <v>3336.4426807760142</v>
      </c>
      <c r="D4" s="169">
        <f>MEDIAN(Form_Responses34[Total_monthly_fuel_expense 
])</f>
        <v>1600</v>
      </c>
      <c r="E4" s="169">
        <f>STDEV(Form_Responses34[Total_monthly_fuel_expense 
])</f>
        <v>3508.0290017091329</v>
      </c>
      <c r="F4" s="169">
        <f>MIN(Form_Responses34[Total_monthly_fuel_expense 
])</f>
        <v>200</v>
      </c>
      <c r="G4" s="169">
        <f>MAX(Form_Responses34[Total_monthly_fuel_expense 
])</f>
        <v>20000</v>
      </c>
      <c r="H4" s="169">
        <f>SKEW(Form_Responses34[Total_monthly_fuel_expense 
])</f>
        <v>1.6117876454481961</v>
      </c>
      <c r="I4" s="169" t="s">
        <v>1885</v>
      </c>
    </row>
    <row r="5" spans="1:9" ht="15.75" x14ac:dyDescent="0.25">
      <c r="A5" s="168" t="s">
        <v>1522</v>
      </c>
      <c r="B5" s="169">
        <v>567</v>
      </c>
      <c r="C5" s="169">
        <v>750</v>
      </c>
      <c r="D5" s="169">
        <v>400</v>
      </c>
      <c r="E5" s="169">
        <v>763</v>
      </c>
      <c r="F5" s="169">
        <v>40</v>
      </c>
      <c r="G5" s="169">
        <v>5000</v>
      </c>
      <c r="H5" s="169">
        <f>SKEW(Per_Capita_Expenses!C1:C568)</f>
        <v>1.7721821959166963</v>
      </c>
      <c r="I5" s="169" t="s">
        <v>1885</v>
      </c>
    </row>
    <row r="6" spans="1:9" ht="15.75" x14ac:dyDescent="0.25">
      <c r="A6" s="168" t="s">
        <v>1658</v>
      </c>
      <c r="B6" s="169">
        <v>567</v>
      </c>
      <c r="C6" s="169">
        <f>AVERAGE(Form_Responses34[Num_vehicles_in_family ])</f>
        <v>1.4409171075837743</v>
      </c>
      <c r="D6" s="169">
        <f>MEDIAN(Form_Responses34[Num_vehicles_in_family ])</f>
        <v>1</v>
      </c>
      <c r="E6" s="169">
        <f>STDEV(Form_Responses34[Num_vehicles_in_family ])</f>
        <v>0.62595612110983478</v>
      </c>
      <c r="F6" s="169">
        <f>MIN(Form_Responses34[Num_vehicles_in_family ])</f>
        <v>1</v>
      </c>
      <c r="G6" s="169">
        <f>MAX(Form_Responses34[Num_vehicles_in_family ])</f>
        <v>4</v>
      </c>
      <c r="H6" s="169">
        <f>SKEW(Form_Responses34[Num_vehicles_in_family ])</f>
        <v>1.1570271948672743</v>
      </c>
      <c r="I6" s="169" t="s">
        <v>1885</v>
      </c>
    </row>
    <row r="7" spans="1:9" ht="15.75" x14ac:dyDescent="0.25">
      <c r="A7" s="168" t="s">
        <v>1659</v>
      </c>
      <c r="B7" s="169">
        <v>567</v>
      </c>
      <c r="C7" s="169">
        <f>AVERAGE(Form_Responses34[Total_family _members ])</f>
        <v>4.4620811287477951</v>
      </c>
      <c r="D7" s="169">
        <f>MEDIAN(Form_Responses34[Total_family _members ])</f>
        <v>4</v>
      </c>
      <c r="E7" s="169">
        <f>STDEV(Form_Responses34[Total_family _members ])</f>
        <v>0.99017679139240122</v>
      </c>
      <c r="F7" s="169">
        <f>MIN(Form_Responses34[Total_family _members ])</f>
        <v>2</v>
      </c>
      <c r="G7" s="169">
        <f>MAX(Form_Responses34[Total_family _members ])</f>
        <v>10</v>
      </c>
      <c r="H7" s="169">
        <f>SKEW(Form_Responses34[Total_family _members ])</f>
        <v>0.29729670511163409</v>
      </c>
      <c r="I7" s="169" t="s">
        <v>1746</v>
      </c>
    </row>
    <row r="8" spans="1:9" ht="15.75" x14ac:dyDescent="0.25">
      <c r="A8" s="168" t="s">
        <v>1660</v>
      </c>
      <c r="B8" s="169">
        <v>567</v>
      </c>
      <c r="C8" s="169">
        <f>AVERAGE(Form_Responses34[Distance_home_ workplace])</f>
        <v>8.3403880070546741</v>
      </c>
      <c r="D8" s="169">
        <f>MEDIAN(Form_Responses34[Distance_home_ workplace])</f>
        <v>7</v>
      </c>
      <c r="E8" s="169">
        <f>STDEV(Form_Responses34[Distance_home_ workplace])</f>
        <v>4.9046212279665973</v>
      </c>
      <c r="F8" s="169">
        <f>MIN(Form_Responses34[Distance_home_ workplace])</f>
        <v>1</v>
      </c>
      <c r="G8" s="169">
        <f>MAX(Form_Responses34[Distance_home_ workplace])</f>
        <v>40</v>
      </c>
      <c r="H8" s="169">
        <f>SKEW(Form_Responses34[Distance_home_ workplace])</f>
        <v>1.7491890507654921</v>
      </c>
      <c r="I8" s="169" t="s">
        <v>1885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T34"/>
  <sheetViews>
    <sheetView zoomScaleNormal="100" workbookViewId="0">
      <selection activeCell="G30" sqref="G30"/>
    </sheetView>
  </sheetViews>
  <sheetFormatPr defaultRowHeight="12.75" x14ac:dyDescent="0.2"/>
  <cols>
    <col min="1" max="1" width="19.28515625" customWidth="1"/>
    <col min="9" max="9" width="9.28515625" customWidth="1"/>
    <col min="10" max="12" width="10" customWidth="1"/>
    <col min="13" max="13" width="12.85546875" bestFit="1" customWidth="1"/>
    <col min="14" max="14" width="15.5703125" customWidth="1"/>
    <col min="15" max="15" width="9.140625" customWidth="1"/>
    <col min="16" max="16" width="12" customWidth="1"/>
    <col min="17" max="17" width="11.28515625" customWidth="1"/>
    <col min="18" max="18" width="12.85546875" customWidth="1"/>
    <col min="19" max="19" width="14.42578125" customWidth="1"/>
    <col min="20" max="20" width="34.7109375" bestFit="1" customWidth="1"/>
  </cols>
  <sheetData>
    <row r="1" spans="1:20" x14ac:dyDescent="0.2">
      <c r="A1" t="s">
        <v>1626</v>
      </c>
      <c r="B1" t="s">
        <v>1627</v>
      </c>
      <c r="M1" s="139"/>
      <c r="N1" s="139"/>
      <c r="O1" s="139"/>
      <c r="P1" s="139"/>
      <c r="Q1" s="139"/>
      <c r="R1" s="139"/>
      <c r="S1" s="139"/>
      <c r="T1" s="139"/>
    </row>
    <row r="2" spans="1:20" x14ac:dyDescent="0.2">
      <c r="A2" t="s">
        <v>55</v>
      </c>
      <c r="B2">
        <f>COUNTIF('Fuel_Data_Used_Avg_Fuel(l)'!G2:G568,1)</f>
        <v>355</v>
      </c>
      <c r="M2" s="117"/>
      <c r="N2" s="152"/>
      <c r="O2" s="152"/>
      <c r="P2" s="152"/>
      <c r="Q2" s="152"/>
      <c r="R2" s="139"/>
      <c r="S2" s="117"/>
      <c r="T2" s="152"/>
    </row>
    <row r="3" spans="1:20" x14ac:dyDescent="0.2">
      <c r="A3" t="s">
        <v>1628</v>
      </c>
      <c r="B3">
        <f>COUNTIF('Fuel_Data_Used_Avg_Fuel(l)'!H2:H568,1)</f>
        <v>165</v>
      </c>
      <c r="M3" s="117"/>
      <c r="N3" s="152"/>
      <c r="O3" s="152"/>
      <c r="P3" s="152"/>
      <c r="Q3" s="152"/>
      <c r="R3" s="139"/>
      <c r="S3" s="117"/>
      <c r="T3" s="152"/>
    </row>
    <row r="4" spans="1:20" x14ac:dyDescent="0.2">
      <c r="A4" t="s">
        <v>100</v>
      </c>
      <c r="B4">
        <f>COUNTIF('Fuel_Data_Used_Avg_Fuel(l)'!I2:I568,1)</f>
        <v>169</v>
      </c>
      <c r="M4" s="117"/>
      <c r="N4" s="152"/>
      <c r="O4" s="152"/>
      <c r="P4" s="152"/>
      <c r="Q4" s="152"/>
      <c r="R4" s="139"/>
      <c r="S4" s="117"/>
      <c r="T4" s="152"/>
    </row>
    <row r="5" spans="1:20" x14ac:dyDescent="0.2">
      <c r="A5" t="s">
        <v>1629</v>
      </c>
      <c r="B5">
        <f>COUNTIF('Fuel_Data_Used_Avg_Fuel(l)'!J2:J568,1)</f>
        <v>86</v>
      </c>
      <c r="S5" s="117"/>
      <c r="T5" s="152"/>
    </row>
    <row r="6" spans="1:20" x14ac:dyDescent="0.2">
      <c r="S6" s="117"/>
      <c r="T6" s="152"/>
    </row>
    <row r="7" spans="1:20" x14ac:dyDescent="0.2">
      <c r="S7" s="117"/>
      <c r="T7" s="152"/>
    </row>
    <row r="8" spans="1:20" x14ac:dyDescent="0.2">
      <c r="S8" s="117"/>
      <c r="T8" s="152"/>
    </row>
    <row r="9" spans="1:20" x14ac:dyDescent="0.2">
      <c r="S9" s="117"/>
      <c r="T9" s="152"/>
    </row>
    <row r="26" spans="19:19" x14ac:dyDescent="0.2">
      <c r="S26" s="126"/>
    </row>
    <row r="33" spans="9:18" x14ac:dyDescent="0.2">
      <c r="I33" s="126"/>
      <c r="J33" s="126"/>
      <c r="K33" s="126"/>
      <c r="L33" s="126"/>
      <c r="M33" s="126"/>
      <c r="O33" s="126"/>
      <c r="P33" s="126"/>
      <c r="Q33" s="126"/>
      <c r="R33" s="126"/>
    </row>
    <row r="34" spans="9:18" x14ac:dyDescent="0.2">
      <c r="I34" s="126"/>
      <c r="J34" s="126"/>
      <c r="K34" s="126"/>
      <c r="L34" s="126"/>
      <c r="M34" s="126"/>
    </row>
  </sheetData>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2:J14"/>
  <sheetViews>
    <sheetView workbookViewId="0">
      <selection activeCell="I17" sqref="I17"/>
    </sheetView>
  </sheetViews>
  <sheetFormatPr defaultRowHeight="12.75" x14ac:dyDescent="0.2"/>
  <cols>
    <col min="1" max="1" width="13" customWidth="1"/>
    <col min="2" max="2" width="12" customWidth="1"/>
    <col min="3" max="3" width="11.5703125" customWidth="1"/>
    <col min="4" max="4" width="12.7109375" customWidth="1"/>
    <col min="5" max="5" width="13.7109375" customWidth="1"/>
    <col min="7" max="7" width="12.7109375" customWidth="1"/>
    <col min="8" max="8" width="12.140625" customWidth="1"/>
    <col min="9" max="9" width="11.28515625" customWidth="1"/>
    <col min="10" max="10" width="13" customWidth="1"/>
  </cols>
  <sheetData>
    <row r="2" spans="1:10" ht="15.75" x14ac:dyDescent="0.25">
      <c r="A2" s="125" t="s">
        <v>1636</v>
      </c>
      <c r="B2" s="126"/>
      <c r="C2" s="126"/>
      <c r="D2" s="126"/>
      <c r="E2" s="126"/>
      <c r="G2" s="125" t="s">
        <v>1641</v>
      </c>
      <c r="H2" s="126"/>
      <c r="I2" s="126"/>
      <c r="J2" s="126"/>
    </row>
    <row r="3" spans="1:10" x14ac:dyDescent="0.2">
      <c r="A3" s="126" t="s">
        <v>1524</v>
      </c>
      <c r="B3" s="126" t="s">
        <v>1551</v>
      </c>
      <c r="C3" s="126" t="s">
        <v>1552</v>
      </c>
      <c r="D3" s="126" t="s">
        <v>1553</v>
      </c>
      <c r="E3" s="126" t="s">
        <v>1554</v>
      </c>
      <c r="G3" s="126" t="s">
        <v>1524</v>
      </c>
      <c r="H3" s="126" t="s">
        <v>1551</v>
      </c>
      <c r="I3" s="126" t="s">
        <v>1552</v>
      </c>
      <c r="J3" s="126" t="s">
        <v>1553</v>
      </c>
    </row>
    <row r="4" spans="1:10" x14ac:dyDescent="0.2">
      <c r="A4" s="126" t="s">
        <v>1484</v>
      </c>
      <c r="B4" s="126">
        <f>MIN(ANOVA1!D:D)</f>
        <v>260</v>
      </c>
      <c r="C4" s="126">
        <f>MIN(ANOVA1!E:E)</f>
        <v>330</v>
      </c>
      <c r="D4" s="126">
        <f>MIN(ANOVA1!F:F)</f>
        <v>200</v>
      </c>
      <c r="E4" s="126">
        <f>MIN(ANOVA1!G:G)</f>
        <v>15000</v>
      </c>
      <c r="G4" s="126" t="s">
        <v>1484</v>
      </c>
      <c r="H4" s="126">
        <v>260</v>
      </c>
      <c r="I4" s="126">
        <v>330</v>
      </c>
      <c r="J4" s="126">
        <v>200</v>
      </c>
    </row>
    <row r="5" spans="1:10" x14ac:dyDescent="0.2">
      <c r="A5" s="126" t="s">
        <v>1637</v>
      </c>
      <c r="B5" s="126">
        <f>QUARTILE(ANOVA1!D:D,1)</f>
        <v>650</v>
      </c>
      <c r="C5" s="126">
        <f>QUARTILE(ANOVA1!E:E,1)</f>
        <v>3600</v>
      </c>
      <c r="D5" s="126">
        <f>QUARTILE(ANOVA1!F:F,1)</f>
        <v>5125</v>
      </c>
      <c r="E5" s="126">
        <f>QUARTILE(ANOVA1!G:G,1)</f>
        <v>15000</v>
      </c>
      <c r="G5" s="126" t="s">
        <v>1637</v>
      </c>
      <c r="H5" s="126">
        <f>650-H4</f>
        <v>390</v>
      </c>
      <c r="I5" s="126">
        <f>3600-I4</f>
        <v>3270</v>
      </c>
      <c r="J5" s="126">
        <f>5125-J4</f>
        <v>4925</v>
      </c>
    </row>
    <row r="6" spans="1:10" x14ac:dyDescent="0.2">
      <c r="A6" s="126" t="s">
        <v>1638</v>
      </c>
      <c r="B6" s="126">
        <f>QUARTILE(ANOVA1!D:D,2)</f>
        <v>1000</v>
      </c>
      <c r="C6" s="126">
        <f>QUARTILE(ANOVA1!E:E,2)</f>
        <v>4800</v>
      </c>
      <c r="D6" s="126">
        <f>QUARTILE(ANOVA1!F:F,2)</f>
        <v>9450</v>
      </c>
      <c r="E6" s="126">
        <f>QUARTILE(ANOVA1!G:G,2)</f>
        <v>15000</v>
      </c>
      <c r="G6" s="126" t="s">
        <v>1638</v>
      </c>
      <c r="H6" s="126">
        <f>1000-650</f>
        <v>350</v>
      </c>
      <c r="I6" s="126">
        <f>4800-3600</f>
        <v>1200</v>
      </c>
      <c r="J6" s="126">
        <f>9450-5125</f>
        <v>4325</v>
      </c>
    </row>
    <row r="7" spans="1:10" x14ac:dyDescent="0.2">
      <c r="A7" s="126" t="s">
        <v>1639</v>
      </c>
      <c r="B7" s="126">
        <f>QUARTILE(ANOVA1!D:D,3)</f>
        <v>1800</v>
      </c>
      <c r="C7" s="126">
        <f>QUARTILE(ANOVA1!E:E,3)</f>
        <v>8050</v>
      </c>
      <c r="D7" s="126">
        <f>QUARTILE(ANOVA1!F:F,3)</f>
        <v>12000</v>
      </c>
      <c r="E7" s="126">
        <f>QUARTILE(ANOVA1!G:G,3)</f>
        <v>15000</v>
      </c>
      <c r="G7" s="126" t="s">
        <v>1639</v>
      </c>
      <c r="H7" s="126">
        <f>1800-1000</f>
        <v>800</v>
      </c>
      <c r="I7" s="126">
        <f>8050-4800</f>
        <v>3250</v>
      </c>
      <c r="J7" s="126">
        <f>12000-9450</f>
        <v>2550</v>
      </c>
    </row>
    <row r="8" spans="1:10" x14ac:dyDescent="0.2">
      <c r="A8" s="126" t="s">
        <v>1640</v>
      </c>
      <c r="B8" s="126">
        <f>MAX(ANOVA1!D:D)</f>
        <v>20000</v>
      </c>
      <c r="C8" s="126">
        <f>MAX(ANOVA1!E:E)</f>
        <v>20000</v>
      </c>
      <c r="D8" s="126">
        <f>MAX(ANOVA1!F:F)</f>
        <v>15600</v>
      </c>
      <c r="E8" s="126">
        <f>MAX(ANOVA1!G:G)</f>
        <v>15000</v>
      </c>
      <c r="G8" s="126" t="s">
        <v>1640</v>
      </c>
      <c r="H8" s="126">
        <f>20000-1800</f>
        <v>18200</v>
      </c>
      <c r="I8" s="126">
        <f>20000-8050</f>
        <v>11950</v>
      </c>
      <c r="J8" s="126">
        <f>15600-12000</f>
        <v>3600</v>
      </c>
    </row>
    <row r="11" spans="1:10" ht="25.5" x14ac:dyDescent="0.2">
      <c r="A11" s="55"/>
      <c r="B11" s="143" t="s">
        <v>1642</v>
      </c>
      <c r="C11" s="143" t="s">
        <v>1643</v>
      </c>
      <c r="D11" s="143" t="s">
        <v>1645</v>
      </c>
      <c r="E11" s="143" t="s">
        <v>1646</v>
      </c>
      <c r="F11" s="143" t="s">
        <v>1644</v>
      </c>
    </row>
    <row r="12" spans="1:10" x14ac:dyDescent="0.2">
      <c r="A12" s="144" t="s">
        <v>1551</v>
      </c>
      <c r="B12" s="55">
        <v>260</v>
      </c>
      <c r="C12" s="55">
        <v>390</v>
      </c>
      <c r="D12" s="55">
        <v>350</v>
      </c>
      <c r="E12" s="55">
        <v>800</v>
      </c>
      <c r="F12" s="55">
        <v>18200</v>
      </c>
    </row>
    <row r="13" spans="1:10" x14ac:dyDescent="0.2">
      <c r="A13" s="144" t="s">
        <v>1552</v>
      </c>
      <c r="B13" s="55">
        <v>330</v>
      </c>
      <c r="C13" s="55">
        <v>3270</v>
      </c>
      <c r="D13" s="55">
        <v>1200</v>
      </c>
      <c r="E13" s="55">
        <v>3250</v>
      </c>
      <c r="F13" s="55">
        <v>11950</v>
      </c>
    </row>
    <row r="14" spans="1:10" x14ac:dyDescent="0.2">
      <c r="A14" s="144" t="s">
        <v>1553</v>
      </c>
      <c r="B14" s="55">
        <v>200</v>
      </c>
      <c r="C14" s="55">
        <v>4925</v>
      </c>
      <c r="D14" s="55">
        <v>4325</v>
      </c>
      <c r="E14" s="55">
        <v>2550</v>
      </c>
      <c r="F14" s="55">
        <v>3600</v>
      </c>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H10"/>
  <sheetViews>
    <sheetView workbookViewId="0">
      <selection activeCell="L13" sqref="L13"/>
    </sheetView>
  </sheetViews>
  <sheetFormatPr defaultRowHeight="12.75" x14ac:dyDescent="0.2"/>
  <cols>
    <col min="1" max="1" width="12.7109375" customWidth="1"/>
    <col min="2" max="2" width="14" customWidth="1"/>
    <col min="3" max="3" width="11.5703125" customWidth="1"/>
    <col min="4" max="4" width="13.5703125" customWidth="1"/>
    <col min="5" max="5" width="13.42578125" customWidth="1"/>
    <col min="7" max="7" width="18.85546875" customWidth="1"/>
    <col min="8" max="8" width="33.7109375" customWidth="1"/>
  </cols>
  <sheetData>
    <row r="1" spans="1:8" x14ac:dyDescent="0.2">
      <c r="A1" s="19" t="s">
        <v>1735</v>
      </c>
      <c r="G1" s="19" t="s">
        <v>1736</v>
      </c>
    </row>
    <row r="2" spans="1:8" s="52" customFormat="1" ht="38.25" x14ac:dyDescent="0.2">
      <c r="A2" s="145" t="s">
        <v>1503</v>
      </c>
      <c r="B2" s="146" t="s">
        <v>1630</v>
      </c>
      <c r="C2" s="147" t="s">
        <v>1631</v>
      </c>
      <c r="D2" s="147" t="s">
        <v>1632</v>
      </c>
      <c r="E2" s="147" t="s">
        <v>1633</v>
      </c>
      <c r="G2" s="149" t="s">
        <v>1503</v>
      </c>
      <c r="H2" s="105" t="s">
        <v>1635</v>
      </c>
    </row>
    <row r="3" spans="1:8" x14ac:dyDescent="0.2">
      <c r="A3" s="106" t="s">
        <v>42</v>
      </c>
      <c r="B3" s="148">
        <v>85</v>
      </c>
      <c r="C3" s="148">
        <v>41</v>
      </c>
      <c r="D3" s="148">
        <v>146</v>
      </c>
      <c r="E3" s="148">
        <v>2</v>
      </c>
      <c r="G3" s="150" t="s">
        <v>89</v>
      </c>
      <c r="H3" s="107">
        <v>101</v>
      </c>
    </row>
    <row r="4" spans="1:8" x14ac:dyDescent="0.2">
      <c r="A4" s="108" t="s">
        <v>73</v>
      </c>
      <c r="B4" s="148">
        <v>270</v>
      </c>
      <c r="C4" s="148">
        <v>128</v>
      </c>
      <c r="D4" s="148">
        <v>19</v>
      </c>
      <c r="E4" s="148">
        <v>84</v>
      </c>
      <c r="G4" s="151" t="s">
        <v>45</v>
      </c>
      <c r="H4" s="109">
        <v>203</v>
      </c>
    </row>
    <row r="5" spans="1:8" x14ac:dyDescent="0.2">
      <c r="A5" s="110" t="s">
        <v>1504</v>
      </c>
      <c r="B5" s="148">
        <v>355</v>
      </c>
      <c r="C5" s="148">
        <v>169</v>
      </c>
      <c r="D5" s="148">
        <v>165</v>
      </c>
      <c r="E5" s="148">
        <v>86</v>
      </c>
      <c r="G5" s="151" t="s">
        <v>60</v>
      </c>
      <c r="H5" s="109">
        <v>98</v>
      </c>
    </row>
    <row r="6" spans="1:8" x14ac:dyDescent="0.2">
      <c r="G6" s="108" t="s">
        <v>109</v>
      </c>
      <c r="H6" s="109">
        <v>23</v>
      </c>
    </row>
    <row r="7" spans="1:8" x14ac:dyDescent="0.2">
      <c r="G7" s="108" t="s">
        <v>155</v>
      </c>
      <c r="H7" s="109">
        <v>17</v>
      </c>
    </row>
    <row r="8" spans="1:8" x14ac:dyDescent="0.2">
      <c r="G8" s="108" t="s">
        <v>182</v>
      </c>
      <c r="H8" s="109">
        <v>125</v>
      </c>
    </row>
    <row r="9" spans="1:8" x14ac:dyDescent="0.2">
      <c r="G9" s="108" t="s">
        <v>1634</v>
      </c>
      <c r="H9" s="109"/>
    </row>
    <row r="10" spans="1:8" x14ac:dyDescent="0.2">
      <c r="G10" s="110" t="s">
        <v>1504</v>
      </c>
      <c r="H10" s="111">
        <v>567</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M569"/>
  <sheetViews>
    <sheetView workbookViewId="0">
      <selection activeCell="L15" sqref="L15"/>
    </sheetView>
  </sheetViews>
  <sheetFormatPr defaultRowHeight="12.75" x14ac:dyDescent="0.2"/>
  <cols>
    <col min="1" max="1" width="29.140625" customWidth="1"/>
    <col min="2" max="2" width="14.28515625" customWidth="1"/>
    <col min="3" max="3" width="14.7109375" customWidth="1"/>
    <col min="4" max="4" width="16.5703125" customWidth="1"/>
    <col min="5" max="5" width="13.7109375" customWidth="1"/>
    <col min="6" max="6" width="14.140625" customWidth="1"/>
    <col min="8" max="8" width="10.28515625" customWidth="1"/>
    <col min="10" max="10" width="11.140625" customWidth="1"/>
    <col min="12" max="12" width="12.42578125" style="16" customWidth="1"/>
  </cols>
  <sheetData>
    <row r="1" spans="1:13" ht="51.75" thickBot="1" x14ac:dyDescent="0.25">
      <c r="A1" s="14" t="s">
        <v>1464</v>
      </c>
      <c r="B1" s="17" t="s">
        <v>1494</v>
      </c>
      <c r="C1" s="17" t="s">
        <v>1495</v>
      </c>
      <c r="D1" s="17" t="s">
        <v>1496</v>
      </c>
      <c r="E1" s="17" t="s">
        <v>1497</v>
      </c>
      <c r="F1" s="17" t="s">
        <v>1477</v>
      </c>
      <c r="G1" s="17" t="s">
        <v>1509</v>
      </c>
      <c r="H1" s="17" t="s">
        <v>1510</v>
      </c>
      <c r="I1" s="17" t="s">
        <v>1511</v>
      </c>
      <c r="J1" s="17" t="s">
        <v>1512</v>
      </c>
      <c r="K1" s="17" t="s">
        <v>1513</v>
      </c>
      <c r="L1" s="14" t="s">
        <v>1459</v>
      </c>
    </row>
    <row r="2" spans="1:13" ht="14.25" thickTop="1" thickBot="1" x14ac:dyDescent="0.25">
      <c r="A2" s="24" t="s">
        <v>46</v>
      </c>
      <c r="B2" s="25">
        <v>30</v>
      </c>
      <c r="C2" s="25"/>
      <c r="D2" s="25"/>
      <c r="E2" s="25"/>
      <c r="F2" s="25">
        <v>3000</v>
      </c>
      <c r="G2">
        <f>IF(ISNUMBER(SEARCH("bike",A2)),1,0)</f>
        <v>1</v>
      </c>
      <c r="H2">
        <f>IF(ISNUMBER(SEARCH("Scooty",A2)),1,0)</f>
        <v>0</v>
      </c>
      <c r="I2">
        <f>IF(ISNUMBER(SEARCH("Car",A2)),1,0)</f>
        <v>0</v>
      </c>
      <c r="J2">
        <f>IF(ISNUMBER(SEARCH("Commercial vehicle",A2)),1,0)</f>
        <v>0</v>
      </c>
      <c r="K2">
        <f>IF(ISNUMBER(SEARCH("Electric Vehicle",A2)),1,0)</f>
        <v>0</v>
      </c>
      <c r="L2" s="15" t="s">
        <v>42</v>
      </c>
      <c r="M2" s="14"/>
    </row>
    <row r="3" spans="1:13" ht="13.5" thickTop="1" x14ac:dyDescent="0.2">
      <c r="A3" s="26" t="s">
        <v>290</v>
      </c>
      <c r="B3" s="27">
        <v>75</v>
      </c>
      <c r="C3" s="27"/>
      <c r="D3" s="27"/>
      <c r="E3" s="27">
        <v>1</v>
      </c>
      <c r="F3" s="27">
        <v>9200</v>
      </c>
      <c r="G3">
        <f t="shared" ref="G3:G66" si="0">IF(ISNUMBER(SEARCH("bike",A3)),1,0)</f>
        <v>1</v>
      </c>
      <c r="H3">
        <f t="shared" ref="H3:H66" si="1">IF(ISNUMBER(SEARCH("Scooty",A3)),1,0)</f>
        <v>0</v>
      </c>
      <c r="I3">
        <f t="shared" ref="I3:I66" si="2">IF(ISNUMBER(SEARCH("Car",A3)),1,0)</f>
        <v>0</v>
      </c>
      <c r="J3">
        <f t="shared" ref="J3:J66" si="3">IF(ISNUMBER(SEARCH("Commercial vehicle",A3)),1,0)</f>
        <v>1</v>
      </c>
      <c r="K3">
        <f t="shared" ref="K3:K66" si="4">IF(ISNUMBER(SEARCH("Electric Vehicle",A3)),1,0)</f>
        <v>0</v>
      </c>
      <c r="L3" s="15" t="s">
        <v>73</v>
      </c>
    </row>
    <row r="4" spans="1:13" x14ac:dyDescent="0.2">
      <c r="A4" s="24" t="s">
        <v>100</v>
      </c>
      <c r="B4" s="25"/>
      <c r="C4" s="25">
        <v>10</v>
      </c>
      <c r="D4" s="25"/>
      <c r="E4" s="25"/>
      <c r="F4" s="25">
        <v>1000</v>
      </c>
      <c r="G4">
        <f t="shared" si="0"/>
        <v>0</v>
      </c>
      <c r="H4">
        <f t="shared" si="1"/>
        <v>1</v>
      </c>
      <c r="I4">
        <f t="shared" si="2"/>
        <v>0</v>
      </c>
      <c r="J4">
        <f t="shared" si="3"/>
        <v>0</v>
      </c>
      <c r="K4">
        <f t="shared" si="4"/>
        <v>0</v>
      </c>
      <c r="L4" s="15" t="s">
        <v>42</v>
      </c>
    </row>
    <row r="5" spans="1:13" x14ac:dyDescent="0.2">
      <c r="A5" s="26" t="s">
        <v>46</v>
      </c>
      <c r="B5" s="27">
        <v>20</v>
      </c>
      <c r="C5" s="27"/>
      <c r="D5" s="27"/>
      <c r="E5" s="27"/>
      <c r="F5" s="27">
        <v>1000</v>
      </c>
      <c r="G5">
        <f t="shared" si="0"/>
        <v>1</v>
      </c>
      <c r="H5">
        <f t="shared" si="1"/>
        <v>0</v>
      </c>
      <c r="I5">
        <f t="shared" si="2"/>
        <v>0</v>
      </c>
      <c r="J5">
        <f t="shared" si="3"/>
        <v>0</v>
      </c>
      <c r="K5">
        <f t="shared" si="4"/>
        <v>0</v>
      </c>
      <c r="L5" s="15" t="s">
        <v>73</v>
      </c>
    </row>
    <row r="6" spans="1:13" x14ac:dyDescent="0.2">
      <c r="A6" s="24" t="s">
        <v>309</v>
      </c>
      <c r="B6" s="25">
        <v>8</v>
      </c>
      <c r="C6" s="25"/>
      <c r="D6" s="25">
        <v>45</v>
      </c>
      <c r="E6" s="25">
        <v>60</v>
      </c>
      <c r="F6" s="25">
        <v>10000</v>
      </c>
      <c r="G6">
        <f t="shared" si="0"/>
        <v>1</v>
      </c>
      <c r="H6">
        <f t="shared" si="1"/>
        <v>0</v>
      </c>
      <c r="I6">
        <f t="shared" si="2"/>
        <v>1</v>
      </c>
      <c r="J6">
        <f t="shared" si="3"/>
        <v>1</v>
      </c>
      <c r="K6">
        <f t="shared" si="4"/>
        <v>0</v>
      </c>
      <c r="L6" s="15" t="s">
        <v>73</v>
      </c>
    </row>
    <row r="7" spans="1:13" x14ac:dyDescent="0.2">
      <c r="A7" s="26" t="s">
        <v>100</v>
      </c>
      <c r="B7" s="27"/>
      <c r="C7" s="27">
        <v>10</v>
      </c>
      <c r="D7" s="27"/>
      <c r="E7" s="27"/>
      <c r="F7" s="27">
        <v>1200</v>
      </c>
      <c r="G7">
        <f t="shared" si="0"/>
        <v>0</v>
      </c>
      <c r="H7">
        <f t="shared" si="1"/>
        <v>1</v>
      </c>
      <c r="I7">
        <f t="shared" si="2"/>
        <v>0</v>
      </c>
      <c r="J7">
        <f t="shared" si="3"/>
        <v>0</v>
      </c>
      <c r="K7">
        <f t="shared" si="4"/>
        <v>0</v>
      </c>
      <c r="L7" s="15" t="s">
        <v>42</v>
      </c>
    </row>
    <row r="8" spans="1:13" x14ac:dyDescent="0.2">
      <c r="A8" s="24" t="s">
        <v>246</v>
      </c>
      <c r="B8" s="25">
        <v>20</v>
      </c>
      <c r="C8" s="25"/>
      <c r="D8" s="25">
        <v>70</v>
      </c>
      <c r="E8" s="25"/>
      <c r="F8" s="25">
        <v>1000</v>
      </c>
      <c r="G8">
        <f t="shared" si="0"/>
        <v>1</v>
      </c>
      <c r="H8">
        <f t="shared" si="1"/>
        <v>0</v>
      </c>
      <c r="I8">
        <f t="shared" si="2"/>
        <v>1</v>
      </c>
      <c r="J8">
        <f t="shared" si="3"/>
        <v>0</v>
      </c>
      <c r="K8">
        <f t="shared" si="4"/>
        <v>0</v>
      </c>
      <c r="L8" s="15" t="s">
        <v>42</v>
      </c>
    </row>
    <row r="9" spans="1:13" x14ac:dyDescent="0.2">
      <c r="A9" s="26" t="s">
        <v>46</v>
      </c>
      <c r="B9" s="27">
        <v>28</v>
      </c>
      <c r="C9" s="27"/>
      <c r="D9" s="27"/>
      <c r="E9" s="27"/>
      <c r="F9" s="27">
        <v>3000</v>
      </c>
      <c r="G9">
        <f t="shared" si="0"/>
        <v>1</v>
      </c>
      <c r="H9">
        <f t="shared" si="1"/>
        <v>0</v>
      </c>
      <c r="I9">
        <f t="shared" si="2"/>
        <v>0</v>
      </c>
      <c r="J9">
        <f t="shared" si="3"/>
        <v>0</v>
      </c>
      <c r="K9">
        <f t="shared" si="4"/>
        <v>0</v>
      </c>
      <c r="L9" s="15" t="s">
        <v>73</v>
      </c>
    </row>
    <row r="10" spans="1:13" x14ac:dyDescent="0.2">
      <c r="A10" s="24" t="s">
        <v>100</v>
      </c>
      <c r="B10" s="25"/>
      <c r="C10" s="25">
        <v>12</v>
      </c>
      <c r="D10" s="25"/>
      <c r="E10" s="25"/>
      <c r="F10" s="25">
        <v>1500</v>
      </c>
      <c r="G10">
        <f t="shared" si="0"/>
        <v>0</v>
      </c>
      <c r="H10">
        <f t="shared" si="1"/>
        <v>1</v>
      </c>
      <c r="I10">
        <f t="shared" si="2"/>
        <v>0</v>
      </c>
      <c r="J10">
        <f t="shared" si="3"/>
        <v>0</v>
      </c>
      <c r="K10">
        <f t="shared" si="4"/>
        <v>0</v>
      </c>
      <c r="L10" s="15" t="s">
        <v>42</v>
      </c>
    </row>
    <row r="11" spans="1:13" x14ac:dyDescent="0.2">
      <c r="A11" s="26" t="s">
        <v>352</v>
      </c>
      <c r="B11" s="27"/>
      <c r="C11" s="27"/>
      <c r="D11" s="27">
        <v>60</v>
      </c>
      <c r="E11" s="27"/>
      <c r="F11" s="27">
        <v>9500</v>
      </c>
      <c r="G11">
        <f t="shared" si="0"/>
        <v>0</v>
      </c>
      <c r="H11">
        <f t="shared" si="1"/>
        <v>0</v>
      </c>
      <c r="I11">
        <f t="shared" si="2"/>
        <v>1</v>
      </c>
      <c r="J11">
        <f t="shared" si="3"/>
        <v>0</v>
      </c>
      <c r="K11">
        <f t="shared" si="4"/>
        <v>1</v>
      </c>
      <c r="L11" s="15" t="s">
        <v>73</v>
      </c>
    </row>
    <row r="12" spans="1:13" x14ac:dyDescent="0.2">
      <c r="A12" s="24" t="s">
        <v>100</v>
      </c>
      <c r="B12" s="25"/>
      <c r="C12" s="25">
        <v>8</v>
      </c>
      <c r="D12" s="25"/>
      <c r="E12" s="25"/>
      <c r="F12" s="25">
        <v>1500</v>
      </c>
      <c r="G12">
        <f t="shared" si="0"/>
        <v>0</v>
      </c>
      <c r="H12">
        <f t="shared" si="1"/>
        <v>1</v>
      </c>
      <c r="I12">
        <f t="shared" si="2"/>
        <v>0</v>
      </c>
      <c r="J12">
        <f t="shared" si="3"/>
        <v>0</v>
      </c>
      <c r="K12">
        <f t="shared" si="4"/>
        <v>0</v>
      </c>
      <c r="L12" s="15" t="s">
        <v>73</v>
      </c>
    </row>
    <row r="13" spans="1:13" x14ac:dyDescent="0.2">
      <c r="A13" s="26" t="s">
        <v>290</v>
      </c>
      <c r="B13" s="27">
        <v>10</v>
      </c>
      <c r="C13" s="27"/>
      <c r="D13" s="27"/>
      <c r="E13" s="27">
        <v>70</v>
      </c>
      <c r="F13" s="27">
        <v>8000</v>
      </c>
      <c r="G13">
        <f t="shared" si="0"/>
        <v>1</v>
      </c>
      <c r="H13">
        <f t="shared" si="1"/>
        <v>0</v>
      </c>
      <c r="I13">
        <f t="shared" si="2"/>
        <v>0</v>
      </c>
      <c r="J13">
        <f t="shared" si="3"/>
        <v>1</v>
      </c>
      <c r="K13">
        <f t="shared" si="4"/>
        <v>0</v>
      </c>
      <c r="L13" s="15" t="s">
        <v>73</v>
      </c>
    </row>
    <row r="14" spans="1:13" x14ac:dyDescent="0.2">
      <c r="A14" s="24" t="s">
        <v>246</v>
      </c>
      <c r="B14" s="25">
        <v>12</v>
      </c>
      <c r="C14" s="25"/>
      <c r="D14" s="25">
        <v>55</v>
      </c>
      <c r="E14" s="25"/>
      <c r="F14" s="25">
        <v>6800</v>
      </c>
      <c r="G14">
        <f t="shared" si="0"/>
        <v>1</v>
      </c>
      <c r="H14">
        <f t="shared" si="1"/>
        <v>0</v>
      </c>
      <c r="I14">
        <f t="shared" si="2"/>
        <v>1</v>
      </c>
      <c r="J14">
        <f t="shared" si="3"/>
        <v>0</v>
      </c>
      <c r="K14">
        <f t="shared" si="4"/>
        <v>0</v>
      </c>
      <c r="L14" s="15" t="s">
        <v>42</v>
      </c>
    </row>
    <row r="15" spans="1:13" x14ac:dyDescent="0.2">
      <c r="A15" s="26" t="s">
        <v>246</v>
      </c>
      <c r="B15" s="27">
        <v>7</v>
      </c>
      <c r="C15" s="27"/>
      <c r="D15" s="27">
        <v>70</v>
      </c>
      <c r="E15" s="27"/>
      <c r="F15" s="27">
        <v>9000</v>
      </c>
      <c r="G15">
        <f t="shared" si="0"/>
        <v>1</v>
      </c>
      <c r="H15">
        <f t="shared" si="1"/>
        <v>0</v>
      </c>
      <c r="I15">
        <f t="shared" si="2"/>
        <v>1</v>
      </c>
      <c r="J15">
        <f t="shared" si="3"/>
        <v>0</v>
      </c>
      <c r="K15">
        <f t="shared" si="4"/>
        <v>0</v>
      </c>
      <c r="L15" s="15" t="s">
        <v>73</v>
      </c>
    </row>
    <row r="16" spans="1:13" x14ac:dyDescent="0.2">
      <c r="A16" s="24" t="s">
        <v>390</v>
      </c>
      <c r="B16" s="25">
        <v>13</v>
      </c>
      <c r="C16" s="25">
        <v>9</v>
      </c>
      <c r="D16" s="25">
        <v>65</v>
      </c>
      <c r="E16" s="25"/>
      <c r="F16" s="25">
        <v>9000</v>
      </c>
      <c r="G16">
        <f t="shared" si="0"/>
        <v>1</v>
      </c>
      <c r="H16">
        <f t="shared" si="1"/>
        <v>1</v>
      </c>
      <c r="I16">
        <f t="shared" si="2"/>
        <v>1</v>
      </c>
      <c r="J16">
        <f t="shared" si="3"/>
        <v>0</v>
      </c>
      <c r="K16">
        <f t="shared" si="4"/>
        <v>0</v>
      </c>
      <c r="L16" s="15" t="s">
        <v>73</v>
      </c>
    </row>
    <row r="17" spans="1:12" x14ac:dyDescent="0.2">
      <c r="A17" s="26" t="s">
        <v>100</v>
      </c>
      <c r="B17" s="27"/>
      <c r="C17" s="27">
        <v>7</v>
      </c>
      <c r="D17" s="27"/>
      <c r="E17" s="27"/>
      <c r="F17" s="27">
        <v>900</v>
      </c>
      <c r="G17">
        <f t="shared" si="0"/>
        <v>0</v>
      </c>
      <c r="H17">
        <f t="shared" si="1"/>
        <v>1</v>
      </c>
      <c r="I17">
        <f t="shared" si="2"/>
        <v>0</v>
      </c>
      <c r="J17">
        <f t="shared" si="3"/>
        <v>0</v>
      </c>
      <c r="K17">
        <f t="shared" si="4"/>
        <v>0</v>
      </c>
      <c r="L17" s="15" t="s">
        <v>42</v>
      </c>
    </row>
    <row r="18" spans="1:12" x14ac:dyDescent="0.2">
      <c r="A18" s="24" t="s">
        <v>246</v>
      </c>
      <c r="B18" s="25">
        <v>6</v>
      </c>
      <c r="C18" s="25"/>
      <c r="D18" s="25">
        <v>25</v>
      </c>
      <c r="E18" s="25"/>
      <c r="F18" s="25">
        <v>2000</v>
      </c>
      <c r="G18">
        <f t="shared" si="0"/>
        <v>1</v>
      </c>
      <c r="H18">
        <f t="shared" si="1"/>
        <v>0</v>
      </c>
      <c r="I18">
        <f t="shared" si="2"/>
        <v>1</v>
      </c>
      <c r="J18">
        <f t="shared" si="3"/>
        <v>0</v>
      </c>
      <c r="K18">
        <f t="shared" si="4"/>
        <v>0</v>
      </c>
      <c r="L18" s="15" t="s">
        <v>73</v>
      </c>
    </row>
    <row r="19" spans="1:12" x14ac:dyDescent="0.2">
      <c r="A19" s="26" t="s">
        <v>46</v>
      </c>
      <c r="B19" s="27">
        <v>18</v>
      </c>
      <c r="C19" s="27"/>
      <c r="D19" s="27"/>
      <c r="E19" s="27"/>
      <c r="F19" s="27">
        <v>2300</v>
      </c>
      <c r="G19">
        <f t="shared" si="0"/>
        <v>1</v>
      </c>
      <c r="H19">
        <f t="shared" si="1"/>
        <v>0</v>
      </c>
      <c r="I19">
        <f t="shared" si="2"/>
        <v>0</v>
      </c>
      <c r="J19">
        <f t="shared" si="3"/>
        <v>0</v>
      </c>
      <c r="K19">
        <f t="shared" si="4"/>
        <v>0</v>
      </c>
      <c r="L19" s="15" t="s">
        <v>73</v>
      </c>
    </row>
    <row r="20" spans="1:12" x14ac:dyDescent="0.2">
      <c r="A20" s="24" t="s">
        <v>100</v>
      </c>
      <c r="B20" s="25"/>
      <c r="C20" s="25">
        <v>10</v>
      </c>
      <c r="D20" s="25"/>
      <c r="E20" s="25"/>
      <c r="F20" s="25">
        <v>1200</v>
      </c>
      <c r="G20">
        <f t="shared" si="0"/>
        <v>0</v>
      </c>
      <c r="H20">
        <f t="shared" si="1"/>
        <v>1</v>
      </c>
      <c r="I20">
        <f t="shared" si="2"/>
        <v>0</v>
      </c>
      <c r="J20">
        <f t="shared" si="3"/>
        <v>0</v>
      </c>
      <c r="K20">
        <f t="shared" si="4"/>
        <v>0</v>
      </c>
      <c r="L20" s="15" t="s">
        <v>42</v>
      </c>
    </row>
    <row r="21" spans="1:12" x14ac:dyDescent="0.2">
      <c r="A21" s="50" t="s">
        <v>290</v>
      </c>
      <c r="B21" s="27">
        <v>10</v>
      </c>
      <c r="C21" s="27"/>
      <c r="D21" s="27"/>
      <c r="E21" s="27">
        <v>80</v>
      </c>
      <c r="F21" s="27">
        <v>11100</v>
      </c>
      <c r="G21">
        <f t="shared" si="0"/>
        <v>1</v>
      </c>
      <c r="H21">
        <f t="shared" si="1"/>
        <v>0</v>
      </c>
      <c r="I21">
        <f t="shared" si="2"/>
        <v>0</v>
      </c>
      <c r="J21">
        <f t="shared" si="3"/>
        <v>1</v>
      </c>
      <c r="K21">
        <f t="shared" si="4"/>
        <v>0</v>
      </c>
      <c r="L21" s="15" t="s">
        <v>73</v>
      </c>
    </row>
    <row r="22" spans="1:12" x14ac:dyDescent="0.2">
      <c r="A22" s="24" t="s">
        <v>431</v>
      </c>
      <c r="B22" s="25"/>
      <c r="C22" s="25"/>
      <c r="D22" s="25">
        <v>50</v>
      </c>
      <c r="E22" s="25"/>
      <c r="F22" s="25">
        <v>6000</v>
      </c>
      <c r="G22">
        <f t="shared" si="0"/>
        <v>0</v>
      </c>
      <c r="H22">
        <f t="shared" si="1"/>
        <v>0</v>
      </c>
      <c r="I22">
        <f t="shared" si="2"/>
        <v>1</v>
      </c>
      <c r="J22">
        <f t="shared" si="3"/>
        <v>0</v>
      </c>
      <c r="K22">
        <f t="shared" si="4"/>
        <v>0</v>
      </c>
      <c r="L22" s="15" t="s">
        <v>42</v>
      </c>
    </row>
    <row r="23" spans="1:12" x14ac:dyDescent="0.2">
      <c r="A23" s="26" t="s">
        <v>435</v>
      </c>
      <c r="B23" s="27">
        <v>6</v>
      </c>
      <c r="C23" s="27"/>
      <c r="D23" s="27">
        <v>55</v>
      </c>
      <c r="E23" s="27"/>
      <c r="F23" s="27">
        <v>8800</v>
      </c>
      <c r="G23">
        <f t="shared" si="0"/>
        <v>1</v>
      </c>
      <c r="H23">
        <f t="shared" si="1"/>
        <v>0</v>
      </c>
      <c r="I23">
        <f t="shared" si="2"/>
        <v>1</v>
      </c>
      <c r="J23">
        <f t="shared" si="3"/>
        <v>0</v>
      </c>
      <c r="K23">
        <f t="shared" si="4"/>
        <v>1</v>
      </c>
      <c r="L23" s="15" t="s">
        <v>73</v>
      </c>
    </row>
    <row r="24" spans="1:12" x14ac:dyDescent="0.2">
      <c r="A24" s="24" t="s">
        <v>46</v>
      </c>
      <c r="B24" s="25">
        <v>24</v>
      </c>
      <c r="C24" s="25"/>
      <c r="D24" s="25"/>
      <c r="E24" s="25"/>
      <c r="F24" s="25">
        <v>2700</v>
      </c>
      <c r="G24">
        <f t="shared" si="0"/>
        <v>1</v>
      </c>
      <c r="H24">
        <f t="shared" si="1"/>
        <v>0</v>
      </c>
      <c r="I24">
        <f t="shared" si="2"/>
        <v>0</v>
      </c>
      <c r="J24">
        <f t="shared" si="3"/>
        <v>0</v>
      </c>
      <c r="K24">
        <f t="shared" si="4"/>
        <v>0</v>
      </c>
      <c r="L24" s="15" t="s">
        <v>73</v>
      </c>
    </row>
    <row r="25" spans="1:12" x14ac:dyDescent="0.2">
      <c r="A25" s="26" t="s">
        <v>61</v>
      </c>
      <c r="B25" s="27">
        <v>9</v>
      </c>
      <c r="C25" s="27">
        <v>8</v>
      </c>
      <c r="D25" s="27"/>
      <c r="E25" s="27"/>
      <c r="F25" s="27">
        <v>3000</v>
      </c>
      <c r="G25">
        <f t="shared" si="0"/>
        <v>1</v>
      </c>
      <c r="H25">
        <f t="shared" si="1"/>
        <v>1</v>
      </c>
      <c r="I25">
        <f t="shared" si="2"/>
        <v>0</v>
      </c>
      <c r="J25">
        <f t="shared" si="3"/>
        <v>0</v>
      </c>
      <c r="K25">
        <f t="shared" si="4"/>
        <v>0</v>
      </c>
      <c r="L25" s="15" t="s">
        <v>42</v>
      </c>
    </row>
    <row r="26" spans="1:12" x14ac:dyDescent="0.2">
      <c r="A26" s="24" t="s">
        <v>269</v>
      </c>
      <c r="B26" s="25"/>
      <c r="C26" s="25">
        <v>9</v>
      </c>
      <c r="D26" s="25">
        <v>40</v>
      </c>
      <c r="E26" s="25"/>
      <c r="F26" s="25">
        <v>5200</v>
      </c>
      <c r="G26">
        <f t="shared" si="0"/>
        <v>0</v>
      </c>
      <c r="H26">
        <f t="shared" si="1"/>
        <v>1</v>
      </c>
      <c r="I26">
        <f t="shared" si="2"/>
        <v>1</v>
      </c>
      <c r="J26">
        <f t="shared" si="3"/>
        <v>0</v>
      </c>
      <c r="K26">
        <f t="shared" si="4"/>
        <v>0</v>
      </c>
      <c r="L26" s="15" t="s">
        <v>42</v>
      </c>
    </row>
    <row r="27" spans="1:12" x14ac:dyDescent="0.2">
      <c r="A27" s="26" t="s">
        <v>246</v>
      </c>
      <c r="B27" s="27">
        <v>7</v>
      </c>
      <c r="C27" s="27"/>
      <c r="D27" s="27">
        <v>70</v>
      </c>
      <c r="E27" s="27"/>
      <c r="F27" s="27">
        <v>9700</v>
      </c>
      <c r="G27">
        <f t="shared" si="0"/>
        <v>1</v>
      </c>
      <c r="H27">
        <f t="shared" si="1"/>
        <v>0</v>
      </c>
      <c r="I27">
        <f t="shared" si="2"/>
        <v>1</v>
      </c>
      <c r="J27">
        <f t="shared" si="3"/>
        <v>0</v>
      </c>
      <c r="K27">
        <f t="shared" si="4"/>
        <v>0</v>
      </c>
      <c r="L27" s="15" t="s">
        <v>73</v>
      </c>
    </row>
    <row r="28" spans="1:12" x14ac:dyDescent="0.2">
      <c r="A28" s="24" t="s">
        <v>290</v>
      </c>
      <c r="B28" s="25">
        <v>12</v>
      </c>
      <c r="C28" s="25"/>
      <c r="D28" s="25"/>
      <c r="E28" s="25">
        <v>65</v>
      </c>
      <c r="F28" s="25">
        <v>8200</v>
      </c>
      <c r="G28">
        <f t="shared" si="0"/>
        <v>1</v>
      </c>
      <c r="H28">
        <f t="shared" si="1"/>
        <v>0</v>
      </c>
      <c r="I28">
        <f t="shared" si="2"/>
        <v>0</v>
      </c>
      <c r="J28">
        <f t="shared" si="3"/>
        <v>1</v>
      </c>
      <c r="K28">
        <f t="shared" si="4"/>
        <v>0</v>
      </c>
      <c r="L28" s="15" t="s">
        <v>42</v>
      </c>
    </row>
    <row r="29" spans="1:12" x14ac:dyDescent="0.2">
      <c r="A29" s="26" t="s">
        <v>46</v>
      </c>
      <c r="B29" s="27">
        <v>20</v>
      </c>
      <c r="C29" s="27"/>
      <c r="D29" s="27"/>
      <c r="E29" s="27"/>
      <c r="F29" s="27">
        <v>2400</v>
      </c>
      <c r="G29">
        <f t="shared" si="0"/>
        <v>1</v>
      </c>
      <c r="H29">
        <f t="shared" si="1"/>
        <v>0</v>
      </c>
      <c r="I29">
        <f t="shared" si="2"/>
        <v>0</v>
      </c>
      <c r="J29">
        <f t="shared" si="3"/>
        <v>0</v>
      </c>
      <c r="K29">
        <f t="shared" si="4"/>
        <v>0</v>
      </c>
      <c r="L29" s="15" t="s">
        <v>73</v>
      </c>
    </row>
    <row r="30" spans="1:12" x14ac:dyDescent="0.2">
      <c r="A30" s="24" t="s">
        <v>46</v>
      </c>
      <c r="B30" s="25">
        <v>26</v>
      </c>
      <c r="C30" s="25"/>
      <c r="D30" s="25"/>
      <c r="E30" s="25"/>
      <c r="F30" s="25">
        <v>2900</v>
      </c>
      <c r="G30">
        <f t="shared" si="0"/>
        <v>1</v>
      </c>
      <c r="H30">
        <f t="shared" si="1"/>
        <v>0</v>
      </c>
      <c r="I30">
        <f t="shared" si="2"/>
        <v>0</v>
      </c>
      <c r="J30">
        <f t="shared" si="3"/>
        <v>0</v>
      </c>
      <c r="K30">
        <f t="shared" si="4"/>
        <v>0</v>
      </c>
      <c r="L30" s="15" t="s">
        <v>73</v>
      </c>
    </row>
    <row r="31" spans="1:12" x14ac:dyDescent="0.2">
      <c r="A31" s="26" t="s">
        <v>390</v>
      </c>
      <c r="B31" s="27">
        <v>16</v>
      </c>
      <c r="C31" s="27">
        <v>6</v>
      </c>
      <c r="D31" s="27">
        <v>60</v>
      </c>
      <c r="E31" s="27"/>
      <c r="F31" s="27">
        <v>9500</v>
      </c>
      <c r="G31">
        <f t="shared" si="0"/>
        <v>1</v>
      </c>
      <c r="H31">
        <f t="shared" si="1"/>
        <v>1</v>
      </c>
      <c r="I31">
        <f t="shared" si="2"/>
        <v>1</v>
      </c>
      <c r="J31">
        <f t="shared" si="3"/>
        <v>0</v>
      </c>
      <c r="K31">
        <f t="shared" si="4"/>
        <v>0</v>
      </c>
      <c r="L31" s="15" t="s">
        <v>73</v>
      </c>
    </row>
    <row r="32" spans="1:12" x14ac:dyDescent="0.2">
      <c r="A32" s="24" t="s">
        <v>431</v>
      </c>
      <c r="B32" s="25"/>
      <c r="C32" s="25"/>
      <c r="D32" s="25">
        <v>45</v>
      </c>
      <c r="E32" s="25"/>
      <c r="F32" s="25">
        <v>5200</v>
      </c>
      <c r="G32">
        <f t="shared" si="0"/>
        <v>0</v>
      </c>
      <c r="H32">
        <f t="shared" si="1"/>
        <v>0</v>
      </c>
      <c r="I32">
        <f t="shared" si="2"/>
        <v>1</v>
      </c>
      <c r="J32">
        <f t="shared" si="3"/>
        <v>0</v>
      </c>
      <c r="K32">
        <f t="shared" si="4"/>
        <v>0</v>
      </c>
      <c r="L32" s="15" t="s">
        <v>42</v>
      </c>
    </row>
    <row r="33" spans="1:12" x14ac:dyDescent="0.2">
      <c r="A33" s="26" t="s">
        <v>246</v>
      </c>
      <c r="B33" s="27">
        <v>7</v>
      </c>
      <c r="C33" s="27"/>
      <c r="D33" s="27">
        <v>65</v>
      </c>
      <c r="E33" s="27"/>
      <c r="F33" s="27">
        <v>8500</v>
      </c>
      <c r="G33">
        <f t="shared" si="0"/>
        <v>1</v>
      </c>
      <c r="H33">
        <f t="shared" si="1"/>
        <v>0</v>
      </c>
      <c r="I33">
        <f t="shared" si="2"/>
        <v>1</v>
      </c>
      <c r="J33">
        <f t="shared" si="3"/>
        <v>0</v>
      </c>
      <c r="K33">
        <f t="shared" si="4"/>
        <v>0</v>
      </c>
      <c r="L33" s="15" t="s">
        <v>73</v>
      </c>
    </row>
    <row r="34" spans="1:12" x14ac:dyDescent="0.2">
      <c r="A34" s="24" t="s">
        <v>290</v>
      </c>
      <c r="B34" s="25">
        <v>14</v>
      </c>
      <c r="C34" s="25"/>
      <c r="D34" s="25"/>
      <c r="E34" s="25">
        <v>55</v>
      </c>
      <c r="F34" s="25">
        <v>7000</v>
      </c>
      <c r="G34">
        <f t="shared" si="0"/>
        <v>1</v>
      </c>
      <c r="H34">
        <f t="shared" si="1"/>
        <v>0</v>
      </c>
      <c r="I34">
        <f t="shared" si="2"/>
        <v>0</v>
      </c>
      <c r="J34">
        <f t="shared" si="3"/>
        <v>1</v>
      </c>
      <c r="K34">
        <f t="shared" si="4"/>
        <v>0</v>
      </c>
      <c r="L34" s="15" t="s">
        <v>73</v>
      </c>
    </row>
    <row r="35" spans="1:12" x14ac:dyDescent="0.2">
      <c r="A35" s="26" t="s">
        <v>246</v>
      </c>
      <c r="B35" s="27">
        <v>12</v>
      </c>
      <c r="C35" s="27"/>
      <c r="D35" s="27">
        <v>24</v>
      </c>
      <c r="E35" s="27"/>
      <c r="F35" s="27">
        <v>5500</v>
      </c>
      <c r="G35">
        <f t="shared" si="0"/>
        <v>1</v>
      </c>
      <c r="H35">
        <f t="shared" si="1"/>
        <v>0</v>
      </c>
      <c r="I35">
        <f t="shared" si="2"/>
        <v>1</v>
      </c>
      <c r="J35">
        <f t="shared" si="3"/>
        <v>0</v>
      </c>
      <c r="K35">
        <f t="shared" si="4"/>
        <v>0</v>
      </c>
      <c r="L35" s="15" t="s">
        <v>73</v>
      </c>
    </row>
    <row r="36" spans="1:12" x14ac:dyDescent="0.2">
      <c r="A36" s="24" t="s">
        <v>100</v>
      </c>
      <c r="B36" s="25"/>
      <c r="C36" s="25">
        <v>7</v>
      </c>
      <c r="D36" s="25"/>
      <c r="E36" s="25"/>
      <c r="F36" s="25">
        <v>900</v>
      </c>
      <c r="G36">
        <f t="shared" si="0"/>
        <v>0</v>
      </c>
      <c r="H36">
        <f t="shared" si="1"/>
        <v>1</v>
      </c>
      <c r="I36">
        <f t="shared" si="2"/>
        <v>0</v>
      </c>
      <c r="J36">
        <f t="shared" si="3"/>
        <v>0</v>
      </c>
      <c r="K36">
        <f t="shared" si="4"/>
        <v>0</v>
      </c>
      <c r="L36" s="15" t="s">
        <v>42</v>
      </c>
    </row>
    <row r="37" spans="1:12" x14ac:dyDescent="0.2">
      <c r="A37" s="26" t="s">
        <v>290</v>
      </c>
      <c r="B37" s="27">
        <v>10</v>
      </c>
      <c r="C37" s="27"/>
      <c r="D37" s="27"/>
      <c r="E37" s="27">
        <v>42</v>
      </c>
      <c r="F37" s="27">
        <v>5200</v>
      </c>
      <c r="G37">
        <f t="shared" si="0"/>
        <v>1</v>
      </c>
      <c r="H37">
        <f t="shared" si="1"/>
        <v>0</v>
      </c>
      <c r="I37">
        <f t="shared" si="2"/>
        <v>0</v>
      </c>
      <c r="J37">
        <f t="shared" si="3"/>
        <v>1</v>
      </c>
      <c r="K37">
        <f t="shared" si="4"/>
        <v>0</v>
      </c>
      <c r="L37" s="15" t="s">
        <v>73</v>
      </c>
    </row>
    <row r="38" spans="1:12" x14ac:dyDescent="0.2">
      <c r="A38" s="24" t="s">
        <v>100</v>
      </c>
      <c r="B38" s="25"/>
      <c r="C38" s="25">
        <v>5</v>
      </c>
      <c r="D38" s="25"/>
      <c r="E38" s="25"/>
      <c r="F38" s="25">
        <v>650</v>
      </c>
      <c r="G38">
        <f t="shared" si="0"/>
        <v>0</v>
      </c>
      <c r="H38">
        <f t="shared" si="1"/>
        <v>1</v>
      </c>
      <c r="I38">
        <f t="shared" si="2"/>
        <v>0</v>
      </c>
      <c r="J38">
        <f t="shared" si="3"/>
        <v>0</v>
      </c>
      <c r="K38">
        <f t="shared" si="4"/>
        <v>0</v>
      </c>
      <c r="L38" s="15" t="s">
        <v>42</v>
      </c>
    </row>
    <row r="39" spans="1:12" x14ac:dyDescent="0.2">
      <c r="A39" s="26" t="s">
        <v>309</v>
      </c>
      <c r="B39" s="27">
        <v>15</v>
      </c>
      <c r="C39" s="27"/>
      <c r="D39" s="27">
        <v>26</v>
      </c>
      <c r="E39" s="27">
        <v>26</v>
      </c>
      <c r="F39" s="27">
        <v>12000</v>
      </c>
      <c r="G39">
        <f t="shared" si="0"/>
        <v>1</v>
      </c>
      <c r="H39">
        <f t="shared" si="1"/>
        <v>0</v>
      </c>
      <c r="I39">
        <f t="shared" si="2"/>
        <v>1</v>
      </c>
      <c r="J39">
        <f t="shared" si="3"/>
        <v>1</v>
      </c>
      <c r="K39">
        <f t="shared" si="4"/>
        <v>0</v>
      </c>
      <c r="L39" s="15" t="s">
        <v>73</v>
      </c>
    </row>
    <row r="40" spans="1:12" x14ac:dyDescent="0.2">
      <c r="A40" s="24" t="s">
        <v>431</v>
      </c>
      <c r="B40" s="25"/>
      <c r="C40" s="25"/>
      <c r="D40" s="25">
        <v>20</v>
      </c>
      <c r="E40" s="25"/>
      <c r="F40" s="25">
        <v>2400</v>
      </c>
      <c r="G40">
        <f t="shared" si="0"/>
        <v>0</v>
      </c>
      <c r="H40">
        <f t="shared" si="1"/>
        <v>0</v>
      </c>
      <c r="I40">
        <f t="shared" si="2"/>
        <v>1</v>
      </c>
      <c r="J40">
        <f t="shared" si="3"/>
        <v>0</v>
      </c>
      <c r="K40">
        <f t="shared" si="4"/>
        <v>0</v>
      </c>
      <c r="L40" s="15" t="s">
        <v>42</v>
      </c>
    </row>
    <row r="41" spans="1:12" x14ac:dyDescent="0.2">
      <c r="A41" s="26" t="s">
        <v>46</v>
      </c>
      <c r="B41" s="27">
        <v>14</v>
      </c>
      <c r="C41" s="27"/>
      <c r="D41" s="27"/>
      <c r="E41" s="27"/>
      <c r="F41" s="27">
        <v>1500</v>
      </c>
      <c r="G41">
        <f t="shared" si="0"/>
        <v>1</v>
      </c>
      <c r="H41">
        <f t="shared" si="1"/>
        <v>0</v>
      </c>
      <c r="I41">
        <f t="shared" si="2"/>
        <v>0</v>
      </c>
      <c r="J41">
        <f t="shared" si="3"/>
        <v>0</v>
      </c>
      <c r="K41">
        <f t="shared" si="4"/>
        <v>0</v>
      </c>
      <c r="L41" s="15" t="s">
        <v>73</v>
      </c>
    </row>
    <row r="42" spans="1:12" x14ac:dyDescent="0.2">
      <c r="A42" s="24" t="s">
        <v>100</v>
      </c>
      <c r="B42" s="25"/>
      <c r="C42" s="25">
        <v>4</v>
      </c>
      <c r="D42" s="25"/>
      <c r="E42" s="25"/>
      <c r="F42" s="25">
        <v>500</v>
      </c>
      <c r="G42">
        <f t="shared" si="0"/>
        <v>0</v>
      </c>
      <c r="H42">
        <f t="shared" si="1"/>
        <v>1</v>
      </c>
      <c r="I42">
        <f t="shared" si="2"/>
        <v>0</v>
      </c>
      <c r="J42">
        <f t="shared" si="3"/>
        <v>0</v>
      </c>
      <c r="K42">
        <f t="shared" si="4"/>
        <v>0</v>
      </c>
      <c r="L42" s="15" t="s">
        <v>42</v>
      </c>
    </row>
    <row r="43" spans="1:12" x14ac:dyDescent="0.2">
      <c r="A43" s="26" t="s">
        <v>246</v>
      </c>
      <c r="B43" s="27">
        <v>9</v>
      </c>
      <c r="C43" s="27"/>
      <c r="D43" s="27">
        <v>9</v>
      </c>
      <c r="E43" s="27"/>
      <c r="F43" s="27">
        <v>5800</v>
      </c>
      <c r="G43">
        <f t="shared" si="0"/>
        <v>1</v>
      </c>
      <c r="H43">
        <f t="shared" si="1"/>
        <v>0</v>
      </c>
      <c r="I43">
        <f t="shared" si="2"/>
        <v>1</v>
      </c>
      <c r="J43">
        <f t="shared" si="3"/>
        <v>0</v>
      </c>
      <c r="K43">
        <f t="shared" si="4"/>
        <v>0</v>
      </c>
      <c r="L43" s="15" t="s">
        <v>73</v>
      </c>
    </row>
    <row r="44" spans="1:12" x14ac:dyDescent="0.2">
      <c r="A44" s="24" t="s">
        <v>46</v>
      </c>
      <c r="B44" s="25">
        <v>7</v>
      </c>
      <c r="C44" s="25"/>
      <c r="D44" s="25"/>
      <c r="E44" s="25"/>
      <c r="F44" s="25">
        <v>850</v>
      </c>
      <c r="G44">
        <f t="shared" si="0"/>
        <v>1</v>
      </c>
      <c r="H44">
        <f t="shared" si="1"/>
        <v>0</v>
      </c>
      <c r="I44">
        <f t="shared" si="2"/>
        <v>0</v>
      </c>
      <c r="J44">
        <f t="shared" si="3"/>
        <v>0</v>
      </c>
      <c r="K44">
        <f t="shared" si="4"/>
        <v>0</v>
      </c>
      <c r="L44" s="15" t="s">
        <v>42</v>
      </c>
    </row>
    <row r="45" spans="1:12" x14ac:dyDescent="0.2">
      <c r="A45" s="26" t="s">
        <v>46</v>
      </c>
      <c r="B45" s="27">
        <v>14</v>
      </c>
      <c r="C45" s="27"/>
      <c r="D45" s="27"/>
      <c r="E45" s="27"/>
      <c r="F45" s="27">
        <v>1400</v>
      </c>
      <c r="G45">
        <f t="shared" si="0"/>
        <v>1</v>
      </c>
      <c r="H45">
        <f t="shared" si="1"/>
        <v>0</v>
      </c>
      <c r="I45">
        <f t="shared" si="2"/>
        <v>0</v>
      </c>
      <c r="J45">
        <f t="shared" si="3"/>
        <v>0</v>
      </c>
      <c r="K45">
        <f t="shared" si="4"/>
        <v>0</v>
      </c>
      <c r="L45" s="15" t="s">
        <v>73</v>
      </c>
    </row>
    <row r="46" spans="1:12" x14ac:dyDescent="0.2">
      <c r="A46" s="24" t="s">
        <v>269</v>
      </c>
      <c r="B46" s="25"/>
      <c r="C46" s="25">
        <v>7</v>
      </c>
      <c r="D46" s="25">
        <v>20</v>
      </c>
      <c r="E46" s="25"/>
      <c r="F46" s="25">
        <v>3200</v>
      </c>
      <c r="G46">
        <f t="shared" si="0"/>
        <v>0</v>
      </c>
      <c r="H46">
        <f t="shared" si="1"/>
        <v>1</v>
      </c>
      <c r="I46">
        <f t="shared" si="2"/>
        <v>1</v>
      </c>
      <c r="J46">
        <f t="shared" si="3"/>
        <v>0</v>
      </c>
      <c r="K46">
        <f t="shared" si="4"/>
        <v>0</v>
      </c>
      <c r="L46" s="15" t="s">
        <v>42</v>
      </c>
    </row>
    <row r="47" spans="1:12" x14ac:dyDescent="0.2">
      <c r="A47" s="26" t="s">
        <v>290</v>
      </c>
      <c r="B47" s="27">
        <v>16</v>
      </c>
      <c r="C47" s="27"/>
      <c r="D47" s="27"/>
      <c r="E47" s="27">
        <v>45</v>
      </c>
      <c r="F47" s="27">
        <v>6800</v>
      </c>
      <c r="G47">
        <f t="shared" si="0"/>
        <v>1</v>
      </c>
      <c r="H47">
        <f t="shared" si="1"/>
        <v>0</v>
      </c>
      <c r="I47">
        <f t="shared" si="2"/>
        <v>0</v>
      </c>
      <c r="J47">
        <f t="shared" si="3"/>
        <v>1</v>
      </c>
      <c r="K47">
        <f t="shared" si="4"/>
        <v>0</v>
      </c>
      <c r="L47" s="15" t="s">
        <v>73</v>
      </c>
    </row>
    <row r="48" spans="1:12" x14ac:dyDescent="0.2">
      <c r="A48" s="24" t="s">
        <v>100</v>
      </c>
      <c r="B48" s="25"/>
      <c r="C48" s="25">
        <v>6</v>
      </c>
      <c r="D48" s="25"/>
      <c r="E48" s="25"/>
      <c r="F48" s="25">
        <v>700</v>
      </c>
      <c r="G48">
        <f t="shared" si="0"/>
        <v>0</v>
      </c>
      <c r="H48">
        <f t="shared" si="1"/>
        <v>1</v>
      </c>
      <c r="I48">
        <f t="shared" si="2"/>
        <v>0</v>
      </c>
      <c r="J48">
        <f t="shared" si="3"/>
        <v>0</v>
      </c>
      <c r="K48">
        <f t="shared" si="4"/>
        <v>0</v>
      </c>
      <c r="L48" s="15" t="s">
        <v>42</v>
      </c>
    </row>
    <row r="49" spans="1:12" x14ac:dyDescent="0.2">
      <c r="A49" s="26" t="s">
        <v>309</v>
      </c>
      <c r="B49" s="27">
        <v>12</v>
      </c>
      <c r="C49" s="27"/>
      <c r="D49" s="27">
        <v>28</v>
      </c>
      <c r="E49" s="27">
        <v>55</v>
      </c>
      <c r="F49" s="27">
        <v>11000</v>
      </c>
      <c r="G49">
        <f t="shared" si="0"/>
        <v>1</v>
      </c>
      <c r="H49">
        <f t="shared" si="1"/>
        <v>0</v>
      </c>
      <c r="I49">
        <f t="shared" si="2"/>
        <v>1</v>
      </c>
      <c r="J49">
        <f t="shared" si="3"/>
        <v>1</v>
      </c>
      <c r="K49">
        <f t="shared" si="4"/>
        <v>0</v>
      </c>
      <c r="L49" s="15" t="s">
        <v>73</v>
      </c>
    </row>
    <row r="50" spans="1:12" x14ac:dyDescent="0.2">
      <c r="A50" s="24" t="s">
        <v>100</v>
      </c>
      <c r="B50" s="25"/>
      <c r="C50" s="25">
        <v>8</v>
      </c>
      <c r="D50" s="25"/>
      <c r="E50" s="25"/>
      <c r="F50" s="25">
        <v>850</v>
      </c>
      <c r="G50">
        <f t="shared" si="0"/>
        <v>0</v>
      </c>
      <c r="H50">
        <f t="shared" si="1"/>
        <v>1</v>
      </c>
      <c r="I50">
        <f t="shared" si="2"/>
        <v>0</v>
      </c>
      <c r="J50">
        <f t="shared" si="3"/>
        <v>0</v>
      </c>
      <c r="K50">
        <f t="shared" si="4"/>
        <v>0</v>
      </c>
      <c r="L50" s="15" t="s">
        <v>42</v>
      </c>
    </row>
    <row r="51" spans="1:12" x14ac:dyDescent="0.2">
      <c r="A51" s="26" t="s">
        <v>61</v>
      </c>
      <c r="B51" s="27">
        <v>18</v>
      </c>
      <c r="C51" s="27">
        <v>16</v>
      </c>
      <c r="D51" s="27"/>
      <c r="E51" s="27"/>
      <c r="F51" s="27">
        <v>4500</v>
      </c>
      <c r="G51">
        <f t="shared" si="0"/>
        <v>1</v>
      </c>
      <c r="H51">
        <f t="shared" si="1"/>
        <v>1</v>
      </c>
      <c r="I51">
        <f t="shared" si="2"/>
        <v>0</v>
      </c>
      <c r="J51">
        <f t="shared" si="3"/>
        <v>0</v>
      </c>
      <c r="K51">
        <f t="shared" si="4"/>
        <v>0</v>
      </c>
      <c r="L51" s="15" t="s">
        <v>73</v>
      </c>
    </row>
    <row r="52" spans="1:12" x14ac:dyDescent="0.2">
      <c r="A52" s="24" t="s">
        <v>61</v>
      </c>
      <c r="B52" s="25">
        <v>5</v>
      </c>
      <c r="C52" s="25">
        <v>5</v>
      </c>
      <c r="D52" s="25"/>
      <c r="E52" s="25"/>
      <c r="F52" s="25">
        <v>200</v>
      </c>
      <c r="G52">
        <f t="shared" si="0"/>
        <v>1</v>
      </c>
      <c r="H52">
        <f t="shared" si="1"/>
        <v>1</v>
      </c>
      <c r="I52">
        <f t="shared" si="2"/>
        <v>0</v>
      </c>
      <c r="J52">
        <f t="shared" si="3"/>
        <v>0</v>
      </c>
      <c r="K52">
        <f t="shared" si="4"/>
        <v>0</v>
      </c>
      <c r="L52" s="15" t="s">
        <v>42</v>
      </c>
    </row>
    <row r="53" spans="1:12" x14ac:dyDescent="0.2">
      <c r="A53" s="26" t="s">
        <v>431</v>
      </c>
      <c r="B53" s="27"/>
      <c r="C53" s="27"/>
      <c r="D53" s="27">
        <v>24</v>
      </c>
      <c r="E53" s="27"/>
      <c r="F53" s="27">
        <v>2700</v>
      </c>
      <c r="G53">
        <f t="shared" si="0"/>
        <v>0</v>
      </c>
      <c r="H53">
        <f t="shared" si="1"/>
        <v>0</v>
      </c>
      <c r="I53">
        <f t="shared" si="2"/>
        <v>1</v>
      </c>
      <c r="J53">
        <f t="shared" si="3"/>
        <v>0</v>
      </c>
      <c r="K53">
        <f t="shared" si="4"/>
        <v>0</v>
      </c>
      <c r="L53" s="15" t="s">
        <v>42</v>
      </c>
    </row>
    <row r="54" spans="1:12" x14ac:dyDescent="0.2">
      <c r="A54" s="24" t="s">
        <v>290</v>
      </c>
      <c r="B54" s="25">
        <v>10</v>
      </c>
      <c r="C54" s="25"/>
      <c r="D54" s="25"/>
      <c r="E54" s="25">
        <v>38</v>
      </c>
      <c r="F54" s="25">
        <v>5000</v>
      </c>
      <c r="G54">
        <f t="shared" si="0"/>
        <v>1</v>
      </c>
      <c r="H54">
        <f t="shared" si="1"/>
        <v>0</v>
      </c>
      <c r="I54">
        <f t="shared" si="2"/>
        <v>0</v>
      </c>
      <c r="J54">
        <f t="shared" si="3"/>
        <v>1</v>
      </c>
      <c r="K54">
        <f t="shared" si="4"/>
        <v>0</v>
      </c>
      <c r="L54" s="15" t="s">
        <v>73</v>
      </c>
    </row>
    <row r="55" spans="1:12" x14ac:dyDescent="0.2">
      <c r="A55" s="26" t="s">
        <v>100</v>
      </c>
      <c r="B55" s="27"/>
      <c r="C55" s="27">
        <v>6</v>
      </c>
      <c r="D55" s="27"/>
      <c r="E55" s="27"/>
      <c r="F55" s="27">
        <v>750</v>
      </c>
      <c r="G55">
        <f t="shared" si="0"/>
        <v>0</v>
      </c>
      <c r="H55">
        <f t="shared" si="1"/>
        <v>1</v>
      </c>
      <c r="I55">
        <f t="shared" si="2"/>
        <v>0</v>
      </c>
      <c r="J55">
        <f t="shared" si="3"/>
        <v>0</v>
      </c>
      <c r="K55">
        <f t="shared" si="4"/>
        <v>0</v>
      </c>
      <c r="L55" s="15" t="s">
        <v>42</v>
      </c>
    </row>
    <row r="56" spans="1:12" x14ac:dyDescent="0.2">
      <c r="A56" s="24" t="s">
        <v>46</v>
      </c>
      <c r="B56" s="25">
        <v>10</v>
      </c>
      <c r="C56" s="25"/>
      <c r="D56" s="25"/>
      <c r="E56" s="25"/>
      <c r="F56" s="25">
        <v>650</v>
      </c>
      <c r="G56">
        <f t="shared" si="0"/>
        <v>1</v>
      </c>
      <c r="H56">
        <f t="shared" si="1"/>
        <v>0</v>
      </c>
      <c r="I56">
        <f t="shared" si="2"/>
        <v>0</v>
      </c>
      <c r="J56">
        <f t="shared" si="3"/>
        <v>0</v>
      </c>
      <c r="K56">
        <f t="shared" si="4"/>
        <v>0</v>
      </c>
      <c r="L56" s="15" t="s">
        <v>42</v>
      </c>
    </row>
    <row r="57" spans="1:12" x14ac:dyDescent="0.2">
      <c r="A57" s="26" t="s">
        <v>61</v>
      </c>
      <c r="B57" s="27">
        <v>12</v>
      </c>
      <c r="C57" s="27">
        <v>10</v>
      </c>
      <c r="D57" s="27"/>
      <c r="E57" s="27"/>
      <c r="F57" s="27">
        <v>4000</v>
      </c>
      <c r="G57">
        <f t="shared" si="0"/>
        <v>1</v>
      </c>
      <c r="H57">
        <f t="shared" si="1"/>
        <v>1</v>
      </c>
      <c r="I57">
        <f t="shared" si="2"/>
        <v>0</v>
      </c>
      <c r="J57">
        <f t="shared" si="3"/>
        <v>0</v>
      </c>
      <c r="K57">
        <f t="shared" si="4"/>
        <v>0</v>
      </c>
      <c r="L57" s="15" t="s">
        <v>73</v>
      </c>
    </row>
    <row r="58" spans="1:12" x14ac:dyDescent="0.2">
      <c r="A58" s="24" t="s">
        <v>46</v>
      </c>
      <c r="B58" s="25">
        <v>1</v>
      </c>
      <c r="C58" s="25"/>
      <c r="D58" s="25"/>
      <c r="E58" s="25"/>
      <c r="F58" s="25">
        <v>650</v>
      </c>
      <c r="G58">
        <f t="shared" si="0"/>
        <v>1</v>
      </c>
      <c r="H58">
        <f t="shared" si="1"/>
        <v>0</v>
      </c>
      <c r="I58">
        <f t="shared" si="2"/>
        <v>0</v>
      </c>
      <c r="J58">
        <f t="shared" si="3"/>
        <v>0</v>
      </c>
      <c r="K58">
        <f t="shared" si="4"/>
        <v>0</v>
      </c>
      <c r="L58" s="15" t="s">
        <v>42</v>
      </c>
    </row>
    <row r="59" spans="1:12" x14ac:dyDescent="0.2">
      <c r="A59" s="26" t="s">
        <v>46</v>
      </c>
      <c r="B59" s="27">
        <v>8</v>
      </c>
      <c r="C59" s="27"/>
      <c r="D59" s="27"/>
      <c r="E59" s="27"/>
      <c r="F59" s="27">
        <v>650</v>
      </c>
      <c r="G59">
        <f t="shared" si="0"/>
        <v>1</v>
      </c>
      <c r="H59">
        <f t="shared" si="1"/>
        <v>0</v>
      </c>
      <c r="I59">
        <f t="shared" si="2"/>
        <v>0</v>
      </c>
      <c r="J59">
        <f t="shared" si="3"/>
        <v>0</v>
      </c>
      <c r="K59">
        <f t="shared" si="4"/>
        <v>0</v>
      </c>
      <c r="L59" s="15" t="s">
        <v>73</v>
      </c>
    </row>
    <row r="60" spans="1:12" x14ac:dyDescent="0.2">
      <c r="A60" s="24" t="s">
        <v>61</v>
      </c>
      <c r="B60" s="25">
        <v>8</v>
      </c>
      <c r="C60" s="25">
        <v>6</v>
      </c>
      <c r="D60" s="25"/>
      <c r="E60" s="25"/>
      <c r="F60" s="25">
        <v>650</v>
      </c>
      <c r="G60">
        <f t="shared" si="0"/>
        <v>1</v>
      </c>
      <c r="H60">
        <f t="shared" si="1"/>
        <v>1</v>
      </c>
      <c r="I60">
        <f t="shared" si="2"/>
        <v>0</v>
      </c>
      <c r="J60">
        <f t="shared" si="3"/>
        <v>0</v>
      </c>
      <c r="K60">
        <f t="shared" si="4"/>
        <v>0</v>
      </c>
      <c r="L60" s="15" t="s">
        <v>42</v>
      </c>
    </row>
    <row r="61" spans="1:12" x14ac:dyDescent="0.2">
      <c r="A61" s="26" t="s">
        <v>100</v>
      </c>
      <c r="B61" s="27"/>
      <c r="C61" s="27">
        <v>10</v>
      </c>
      <c r="D61" s="27"/>
      <c r="E61" s="27"/>
      <c r="F61" s="27">
        <v>1000</v>
      </c>
      <c r="G61">
        <f t="shared" si="0"/>
        <v>0</v>
      </c>
      <c r="H61">
        <f t="shared" si="1"/>
        <v>1</v>
      </c>
      <c r="I61">
        <f t="shared" si="2"/>
        <v>0</v>
      </c>
      <c r="J61">
        <f t="shared" si="3"/>
        <v>0</v>
      </c>
      <c r="K61">
        <f t="shared" si="4"/>
        <v>0</v>
      </c>
      <c r="L61" s="15" t="s">
        <v>73</v>
      </c>
    </row>
    <row r="62" spans="1:12" x14ac:dyDescent="0.2">
      <c r="A62" s="24" t="s">
        <v>46</v>
      </c>
      <c r="B62" s="25">
        <v>60</v>
      </c>
      <c r="C62" s="25"/>
      <c r="D62" s="25"/>
      <c r="E62" s="25"/>
      <c r="F62" s="25">
        <v>1000</v>
      </c>
      <c r="G62">
        <f t="shared" si="0"/>
        <v>1</v>
      </c>
      <c r="H62">
        <f t="shared" si="1"/>
        <v>0</v>
      </c>
      <c r="I62">
        <f t="shared" si="2"/>
        <v>0</v>
      </c>
      <c r="J62">
        <f t="shared" si="3"/>
        <v>0</v>
      </c>
      <c r="K62">
        <f t="shared" si="4"/>
        <v>0</v>
      </c>
      <c r="L62" s="15" t="s">
        <v>73</v>
      </c>
    </row>
    <row r="63" spans="1:12" x14ac:dyDescent="0.2">
      <c r="A63" s="26" t="s">
        <v>290</v>
      </c>
      <c r="B63" s="27">
        <v>55</v>
      </c>
      <c r="C63" s="27"/>
      <c r="D63" s="27"/>
      <c r="E63" s="27">
        <v>55</v>
      </c>
      <c r="F63" s="27">
        <v>7500</v>
      </c>
      <c r="G63">
        <f t="shared" si="0"/>
        <v>1</v>
      </c>
      <c r="H63">
        <f t="shared" si="1"/>
        <v>0</v>
      </c>
      <c r="I63">
        <f t="shared" si="2"/>
        <v>0</v>
      </c>
      <c r="J63">
        <f t="shared" si="3"/>
        <v>1</v>
      </c>
      <c r="K63">
        <f t="shared" si="4"/>
        <v>0</v>
      </c>
      <c r="L63" s="15" t="s">
        <v>73</v>
      </c>
    </row>
    <row r="64" spans="1:12" x14ac:dyDescent="0.2">
      <c r="A64" s="24" t="s">
        <v>100</v>
      </c>
      <c r="B64" s="25"/>
      <c r="C64" s="25">
        <v>7</v>
      </c>
      <c r="D64" s="25"/>
      <c r="E64" s="25"/>
      <c r="F64" s="25">
        <v>900</v>
      </c>
      <c r="G64">
        <f t="shared" si="0"/>
        <v>0</v>
      </c>
      <c r="H64">
        <f t="shared" si="1"/>
        <v>1</v>
      </c>
      <c r="I64">
        <f t="shared" si="2"/>
        <v>0</v>
      </c>
      <c r="J64">
        <f t="shared" si="3"/>
        <v>0</v>
      </c>
      <c r="K64">
        <f t="shared" si="4"/>
        <v>0</v>
      </c>
      <c r="L64" s="15" t="s">
        <v>42</v>
      </c>
    </row>
    <row r="65" spans="1:12" x14ac:dyDescent="0.2">
      <c r="A65" s="26" t="s">
        <v>246</v>
      </c>
      <c r="B65" s="27">
        <v>15</v>
      </c>
      <c r="C65" s="27"/>
      <c r="D65" s="27">
        <v>22</v>
      </c>
      <c r="E65" s="27"/>
      <c r="F65" s="27">
        <v>5500</v>
      </c>
      <c r="G65">
        <f t="shared" si="0"/>
        <v>1</v>
      </c>
      <c r="H65">
        <f t="shared" si="1"/>
        <v>0</v>
      </c>
      <c r="I65">
        <f t="shared" si="2"/>
        <v>1</v>
      </c>
      <c r="J65">
        <f t="shared" si="3"/>
        <v>0</v>
      </c>
      <c r="K65">
        <f t="shared" si="4"/>
        <v>0</v>
      </c>
      <c r="L65" s="15" t="s">
        <v>73</v>
      </c>
    </row>
    <row r="66" spans="1:12" x14ac:dyDescent="0.2">
      <c r="A66" s="24" t="s">
        <v>100</v>
      </c>
      <c r="B66" s="25"/>
      <c r="C66" s="25">
        <v>6</v>
      </c>
      <c r="D66" s="25"/>
      <c r="E66" s="25"/>
      <c r="F66" s="25">
        <v>700</v>
      </c>
      <c r="G66">
        <f t="shared" si="0"/>
        <v>0</v>
      </c>
      <c r="H66">
        <f t="shared" si="1"/>
        <v>1</v>
      </c>
      <c r="I66">
        <f t="shared" si="2"/>
        <v>0</v>
      </c>
      <c r="J66">
        <f t="shared" si="3"/>
        <v>0</v>
      </c>
      <c r="K66">
        <f t="shared" si="4"/>
        <v>0</v>
      </c>
      <c r="L66" s="15" t="s">
        <v>42</v>
      </c>
    </row>
    <row r="67" spans="1:12" x14ac:dyDescent="0.2">
      <c r="A67" s="26" t="s">
        <v>46</v>
      </c>
      <c r="B67" s="27">
        <v>10</v>
      </c>
      <c r="C67" s="27"/>
      <c r="D67" s="27"/>
      <c r="E67" s="27"/>
      <c r="F67" s="27">
        <v>1200</v>
      </c>
      <c r="G67">
        <f t="shared" ref="G67:G130" si="5">IF(ISNUMBER(SEARCH("bike",A67)),1,0)</f>
        <v>1</v>
      </c>
      <c r="H67">
        <f t="shared" ref="H67:H130" si="6">IF(ISNUMBER(SEARCH("Scooty",A67)),1,0)</f>
        <v>0</v>
      </c>
      <c r="I67">
        <f t="shared" ref="I67:I130" si="7">IF(ISNUMBER(SEARCH("Car",A67)),1,0)</f>
        <v>0</v>
      </c>
      <c r="J67">
        <f t="shared" ref="J67:J130" si="8">IF(ISNUMBER(SEARCH("Commercial vehicle",A67)),1,0)</f>
        <v>0</v>
      </c>
      <c r="K67">
        <f t="shared" ref="K67:K130" si="9">IF(ISNUMBER(SEARCH("Electric Vehicle",A67)),1,0)</f>
        <v>0</v>
      </c>
      <c r="L67" s="15" t="s">
        <v>73</v>
      </c>
    </row>
    <row r="68" spans="1:12" x14ac:dyDescent="0.2">
      <c r="A68" s="24" t="s">
        <v>431</v>
      </c>
      <c r="B68" s="25"/>
      <c r="C68" s="25"/>
      <c r="D68" s="25">
        <v>24</v>
      </c>
      <c r="E68" s="25"/>
      <c r="F68" s="25">
        <v>3200</v>
      </c>
      <c r="G68">
        <f t="shared" si="5"/>
        <v>0</v>
      </c>
      <c r="H68">
        <f t="shared" si="6"/>
        <v>0</v>
      </c>
      <c r="I68">
        <f t="shared" si="7"/>
        <v>1</v>
      </c>
      <c r="J68">
        <f t="shared" si="8"/>
        <v>0</v>
      </c>
      <c r="K68">
        <f t="shared" si="9"/>
        <v>0</v>
      </c>
      <c r="L68" s="15" t="s">
        <v>42</v>
      </c>
    </row>
    <row r="69" spans="1:12" x14ac:dyDescent="0.2">
      <c r="A69" s="26" t="s">
        <v>246</v>
      </c>
      <c r="B69" s="27">
        <v>14</v>
      </c>
      <c r="C69" s="27"/>
      <c r="D69" s="27">
        <v>19</v>
      </c>
      <c r="E69" s="27"/>
      <c r="F69" s="27">
        <v>4800</v>
      </c>
      <c r="G69">
        <f t="shared" si="5"/>
        <v>1</v>
      </c>
      <c r="H69">
        <f t="shared" si="6"/>
        <v>0</v>
      </c>
      <c r="I69">
        <f t="shared" si="7"/>
        <v>1</v>
      </c>
      <c r="J69">
        <f t="shared" si="8"/>
        <v>0</v>
      </c>
      <c r="K69">
        <f t="shared" si="9"/>
        <v>0</v>
      </c>
      <c r="L69" s="15" t="s">
        <v>73</v>
      </c>
    </row>
    <row r="70" spans="1:12" x14ac:dyDescent="0.2">
      <c r="A70" s="24" t="s">
        <v>100</v>
      </c>
      <c r="B70" s="25"/>
      <c r="C70" s="25">
        <v>6</v>
      </c>
      <c r="D70" s="25"/>
      <c r="E70" s="25"/>
      <c r="F70" s="25">
        <v>750</v>
      </c>
      <c r="G70">
        <f t="shared" si="5"/>
        <v>0</v>
      </c>
      <c r="H70">
        <f t="shared" si="6"/>
        <v>1</v>
      </c>
      <c r="I70">
        <f t="shared" si="7"/>
        <v>0</v>
      </c>
      <c r="J70">
        <f t="shared" si="8"/>
        <v>0</v>
      </c>
      <c r="K70">
        <f t="shared" si="9"/>
        <v>0</v>
      </c>
      <c r="L70" s="15" t="s">
        <v>42</v>
      </c>
    </row>
    <row r="71" spans="1:12" x14ac:dyDescent="0.2">
      <c r="A71" s="26" t="s">
        <v>668</v>
      </c>
      <c r="B71" s="27"/>
      <c r="C71" s="27"/>
      <c r="D71" s="27">
        <v>25</v>
      </c>
      <c r="E71" s="27">
        <v>65</v>
      </c>
      <c r="F71" s="27">
        <v>10000</v>
      </c>
      <c r="G71">
        <f t="shared" si="5"/>
        <v>0</v>
      </c>
      <c r="H71">
        <f t="shared" si="6"/>
        <v>0</v>
      </c>
      <c r="I71">
        <f t="shared" si="7"/>
        <v>1</v>
      </c>
      <c r="J71">
        <f t="shared" si="8"/>
        <v>1</v>
      </c>
      <c r="K71">
        <f t="shared" si="9"/>
        <v>0</v>
      </c>
      <c r="L71" s="15" t="s">
        <v>73</v>
      </c>
    </row>
    <row r="72" spans="1:12" x14ac:dyDescent="0.2">
      <c r="A72" s="24" t="s">
        <v>431</v>
      </c>
      <c r="B72" s="25"/>
      <c r="C72" s="25"/>
      <c r="D72" s="25">
        <v>19</v>
      </c>
      <c r="E72" s="25"/>
      <c r="F72" s="25">
        <v>2300</v>
      </c>
      <c r="G72">
        <f t="shared" si="5"/>
        <v>0</v>
      </c>
      <c r="H72">
        <f t="shared" si="6"/>
        <v>0</v>
      </c>
      <c r="I72">
        <f t="shared" si="7"/>
        <v>1</v>
      </c>
      <c r="J72">
        <f t="shared" si="8"/>
        <v>0</v>
      </c>
      <c r="K72">
        <f t="shared" si="9"/>
        <v>0</v>
      </c>
      <c r="L72" s="15" t="s">
        <v>42</v>
      </c>
    </row>
    <row r="73" spans="1:12" x14ac:dyDescent="0.2">
      <c r="A73" s="26" t="s">
        <v>46</v>
      </c>
      <c r="B73" s="27">
        <v>19</v>
      </c>
      <c r="C73" s="27"/>
      <c r="D73" s="27"/>
      <c r="E73" s="27"/>
      <c r="F73" s="27">
        <v>2000</v>
      </c>
      <c r="G73">
        <f t="shared" si="5"/>
        <v>1</v>
      </c>
      <c r="H73">
        <f t="shared" si="6"/>
        <v>0</v>
      </c>
      <c r="I73">
        <f t="shared" si="7"/>
        <v>0</v>
      </c>
      <c r="J73">
        <f t="shared" si="8"/>
        <v>0</v>
      </c>
      <c r="K73">
        <f t="shared" si="9"/>
        <v>0</v>
      </c>
      <c r="L73" s="15" t="s">
        <v>73</v>
      </c>
    </row>
    <row r="74" spans="1:12" x14ac:dyDescent="0.2">
      <c r="A74" s="24" t="s">
        <v>246</v>
      </c>
      <c r="B74" s="25">
        <v>10</v>
      </c>
      <c r="C74" s="25"/>
      <c r="D74" s="25">
        <v>40</v>
      </c>
      <c r="E74" s="25"/>
      <c r="F74" s="25">
        <v>5000</v>
      </c>
      <c r="G74">
        <f t="shared" si="5"/>
        <v>1</v>
      </c>
      <c r="H74">
        <f t="shared" si="6"/>
        <v>0</v>
      </c>
      <c r="I74">
        <f t="shared" si="7"/>
        <v>1</v>
      </c>
      <c r="J74">
        <f t="shared" si="8"/>
        <v>0</v>
      </c>
      <c r="K74">
        <f t="shared" si="9"/>
        <v>0</v>
      </c>
      <c r="L74" s="15" t="s">
        <v>73</v>
      </c>
    </row>
    <row r="75" spans="1:12" x14ac:dyDescent="0.2">
      <c r="A75" s="26" t="s">
        <v>100</v>
      </c>
      <c r="B75" s="27"/>
      <c r="C75" s="27">
        <v>6</v>
      </c>
      <c r="D75" s="27"/>
      <c r="E75" s="27"/>
      <c r="F75" s="27">
        <v>1000</v>
      </c>
      <c r="G75">
        <f t="shared" si="5"/>
        <v>0</v>
      </c>
      <c r="H75">
        <f t="shared" si="6"/>
        <v>1</v>
      </c>
      <c r="I75">
        <f t="shared" si="7"/>
        <v>0</v>
      </c>
      <c r="J75">
        <f t="shared" si="8"/>
        <v>0</v>
      </c>
      <c r="K75">
        <f t="shared" si="9"/>
        <v>0</v>
      </c>
      <c r="L75" s="15" t="s">
        <v>42</v>
      </c>
    </row>
    <row r="76" spans="1:12" x14ac:dyDescent="0.2">
      <c r="A76" s="24" t="s">
        <v>290</v>
      </c>
      <c r="B76" s="25">
        <v>7</v>
      </c>
      <c r="C76" s="25"/>
      <c r="D76" s="25"/>
      <c r="E76" s="25">
        <v>70</v>
      </c>
      <c r="F76" s="25">
        <v>9500</v>
      </c>
      <c r="G76">
        <f t="shared" si="5"/>
        <v>1</v>
      </c>
      <c r="H76">
        <f t="shared" si="6"/>
        <v>0</v>
      </c>
      <c r="I76">
        <f t="shared" si="7"/>
        <v>0</v>
      </c>
      <c r="J76">
        <f t="shared" si="8"/>
        <v>1</v>
      </c>
      <c r="K76">
        <f t="shared" si="9"/>
        <v>0</v>
      </c>
      <c r="L76" s="15" t="s">
        <v>73</v>
      </c>
    </row>
    <row r="77" spans="1:12" x14ac:dyDescent="0.2">
      <c r="A77" s="26" t="s">
        <v>269</v>
      </c>
      <c r="B77" s="27"/>
      <c r="C77" s="27">
        <v>4</v>
      </c>
      <c r="D77" s="27">
        <v>5</v>
      </c>
      <c r="E77" s="27"/>
      <c r="F77" s="27">
        <v>4800</v>
      </c>
      <c r="G77">
        <f t="shared" si="5"/>
        <v>0</v>
      </c>
      <c r="H77">
        <f t="shared" si="6"/>
        <v>1</v>
      </c>
      <c r="I77">
        <f t="shared" si="7"/>
        <v>1</v>
      </c>
      <c r="J77">
        <f t="shared" si="8"/>
        <v>0</v>
      </c>
      <c r="K77">
        <f t="shared" si="9"/>
        <v>0</v>
      </c>
      <c r="L77" s="15" t="s">
        <v>42</v>
      </c>
    </row>
    <row r="78" spans="1:12" x14ac:dyDescent="0.2">
      <c r="A78" s="47" t="s">
        <v>668</v>
      </c>
      <c r="B78" s="25"/>
      <c r="C78" s="25"/>
      <c r="D78" s="25">
        <v>50</v>
      </c>
      <c r="E78" s="25">
        <v>80</v>
      </c>
      <c r="F78" s="25">
        <v>14000</v>
      </c>
      <c r="G78">
        <f t="shared" si="5"/>
        <v>0</v>
      </c>
      <c r="H78">
        <f t="shared" si="6"/>
        <v>0</v>
      </c>
      <c r="I78">
        <f t="shared" si="7"/>
        <v>1</v>
      </c>
      <c r="J78">
        <f t="shared" si="8"/>
        <v>1</v>
      </c>
      <c r="K78">
        <f t="shared" si="9"/>
        <v>0</v>
      </c>
      <c r="L78" s="15" t="s">
        <v>73</v>
      </c>
    </row>
    <row r="79" spans="1:12" x14ac:dyDescent="0.2">
      <c r="A79" s="26" t="s">
        <v>46</v>
      </c>
      <c r="B79" s="27">
        <v>6</v>
      </c>
      <c r="C79" s="27"/>
      <c r="D79" s="27"/>
      <c r="E79" s="27"/>
      <c r="F79" s="27">
        <v>1500</v>
      </c>
      <c r="G79">
        <f t="shared" si="5"/>
        <v>1</v>
      </c>
      <c r="H79">
        <f t="shared" si="6"/>
        <v>0</v>
      </c>
      <c r="I79">
        <f t="shared" si="7"/>
        <v>0</v>
      </c>
      <c r="J79">
        <f t="shared" si="8"/>
        <v>0</v>
      </c>
      <c r="K79">
        <f t="shared" si="9"/>
        <v>0</v>
      </c>
      <c r="L79" s="15" t="s">
        <v>42</v>
      </c>
    </row>
    <row r="80" spans="1:12" x14ac:dyDescent="0.2">
      <c r="A80" s="24" t="s">
        <v>46</v>
      </c>
      <c r="B80" s="25">
        <v>12</v>
      </c>
      <c r="C80" s="25"/>
      <c r="D80" s="25"/>
      <c r="E80" s="25"/>
      <c r="F80" s="25">
        <v>2000</v>
      </c>
      <c r="G80">
        <f t="shared" si="5"/>
        <v>1</v>
      </c>
      <c r="H80">
        <f t="shared" si="6"/>
        <v>0</v>
      </c>
      <c r="I80">
        <f t="shared" si="7"/>
        <v>0</v>
      </c>
      <c r="J80">
        <f t="shared" si="8"/>
        <v>0</v>
      </c>
      <c r="K80">
        <f t="shared" si="9"/>
        <v>0</v>
      </c>
      <c r="L80" s="15" t="s">
        <v>73</v>
      </c>
    </row>
    <row r="81" spans="1:12" x14ac:dyDescent="0.2">
      <c r="A81" s="26" t="s">
        <v>100</v>
      </c>
      <c r="B81" s="27"/>
      <c r="C81" s="27">
        <v>7</v>
      </c>
      <c r="D81" s="27"/>
      <c r="E81" s="27"/>
      <c r="F81" s="27">
        <v>1200</v>
      </c>
      <c r="G81">
        <f t="shared" si="5"/>
        <v>0</v>
      </c>
      <c r="H81">
        <f t="shared" si="6"/>
        <v>1</v>
      </c>
      <c r="I81">
        <f t="shared" si="7"/>
        <v>0</v>
      </c>
      <c r="J81">
        <f t="shared" si="8"/>
        <v>0</v>
      </c>
      <c r="K81">
        <f t="shared" si="9"/>
        <v>0</v>
      </c>
      <c r="L81" s="15" t="s">
        <v>73</v>
      </c>
    </row>
    <row r="82" spans="1:12" x14ac:dyDescent="0.2">
      <c r="A82" s="24" t="s">
        <v>352</v>
      </c>
      <c r="B82" s="25"/>
      <c r="C82" s="25"/>
      <c r="D82" s="25">
        <v>30</v>
      </c>
      <c r="E82" s="25"/>
      <c r="F82" s="25">
        <v>3200</v>
      </c>
      <c r="G82">
        <f t="shared" si="5"/>
        <v>0</v>
      </c>
      <c r="H82">
        <f t="shared" si="6"/>
        <v>0</v>
      </c>
      <c r="I82">
        <f t="shared" si="7"/>
        <v>1</v>
      </c>
      <c r="J82">
        <f t="shared" si="8"/>
        <v>0</v>
      </c>
      <c r="K82">
        <f t="shared" si="9"/>
        <v>1</v>
      </c>
      <c r="L82" s="15" t="s">
        <v>73</v>
      </c>
    </row>
    <row r="83" spans="1:12" x14ac:dyDescent="0.2">
      <c r="A83" s="26" t="s">
        <v>100</v>
      </c>
      <c r="B83" s="27"/>
      <c r="C83" s="27">
        <v>5</v>
      </c>
      <c r="D83" s="27"/>
      <c r="E83" s="27"/>
      <c r="F83" s="27">
        <v>900</v>
      </c>
      <c r="G83">
        <f t="shared" si="5"/>
        <v>0</v>
      </c>
      <c r="H83">
        <f t="shared" si="6"/>
        <v>1</v>
      </c>
      <c r="I83">
        <f t="shared" si="7"/>
        <v>0</v>
      </c>
      <c r="J83">
        <f t="shared" si="8"/>
        <v>0</v>
      </c>
      <c r="K83">
        <f t="shared" si="9"/>
        <v>0</v>
      </c>
      <c r="L83" s="15" t="s">
        <v>42</v>
      </c>
    </row>
    <row r="84" spans="1:12" x14ac:dyDescent="0.2">
      <c r="A84" s="24" t="s">
        <v>290</v>
      </c>
      <c r="B84" s="25">
        <v>9</v>
      </c>
      <c r="C84" s="25"/>
      <c r="D84" s="25"/>
      <c r="E84" s="25">
        <v>90</v>
      </c>
      <c r="F84" s="25">
        <v>12000</v>
      </c>
      <c r="G84">
        <f t="shared" si="5"/>
        <v>1</v>
      </c>
      <c r="H84">
        <f t="shared" si="6"/>
        <v>0</v>
      </c>
      <c r="I84">
        <f t="shared" si="7"/>
        <v>0</v>
      </c>
      <c r="J84">
        <f t="shared" si="8"/>
        <v>1</v>
      </c>
      <c r="K84">
        <f t="shared" si="9"/>
        <v>0</v>
      </c>
      <c r="L84" s="15" t="s">
        <v>73</v>
      </c>
    </row>
    <row r="85" spans="1:12" x14ac:dyDescent="0.2">
      <c r="A85" s="26" t="s">
        <v>46</v>
      </c>
      <c r="B85" s="27">
        <v>20</v>
      </c>
      <c r="C85" s="27"/>
      <c r="D85" s="27"/>
      <c r="E85" s="27"/>
      <c r="F85" s="27">
        <v>650</v>
      </c>
      <c r="G85">
        <f t="shared" si="5"/>
        <v>1</v>
      </c>
      <c r="H85">
        <f t="shared" si="6"/>
        <v>0</v>
      </c>
      <c r="I85">
        <f t="shared" si="7"/>
        <v>0</v>
      </c>
      <c r="J85">
        <f t="shared" si="8"/>
        <v>0</v>
      </c>
      <c r="K85">
        <f t="shared" si="9"/>
        <v>0</v>
      </c>
      <c r="L85" s="15" t="s">
        <v>42</v>
      </c>
    </row>
    <row r="86" spans="1:12" x14ac:dyDescent="0.2">
      <c r="A86" s="24" t="s">
        <v>246</v>
      </c>
      <c r="B86" s="25">
        <v>9</v>
      </c>
      <c r="C86" s="25"/>
      <c r="D86" s="25">
        <v>21</v>
      </c>
      <c r="E86" s="25"/>
      <c r="F86" s="25">
        <v>4200</v>
      </c>
      <c r="G86">
        <f t="shared" si="5"/>
        <v>1</v>
      </c>
      <c r="H86">
        <f t="shared" si="6"/>
        <v>0</v>
      </c>
      <c r="I86">
        <f t="shared" si="7"/>
        <v>1</v>
      </c>
      <c r="J86">
        <f t="shared" si="8"/>
        <v>0</v>
      </c>
      <c r="K86">
        <f t="shared" si="9"/>
        <v>0</v>
      </c>
      <c r="L86" s="15" t="s">
        <v>73</v>
      </c>
    </row>
    <row r="87" spans="1:12" x14ac:dyDescent="0.2">
      <c r="A87" s="26" t="s">
        <v>431</v>
      </c>
      <c r="B87" s="27"/>
      <c r="C87" s="27"/>
      <c r="D87" s="27">
        <v>20</v>
      </c>
      <c r="E87" s="27"/>
      <c r="F87" s="27">
        <v>2600</v>
      </c>
      <c r="G87">
        <f t="shared" si="5"/>
        <v>0</v>
      </c>
      <c r="H87">
        <f t="shared" si="6"/>
        <v>0</v>
      </c>
      <c r="I87">
        <f t="shared" si="7"/>
        <v>1</v>
      </c>
      <c r="J87">
        <f t="shared" si="8"/>
        <v>0</v>
      </c>
      <c r="K87">
        <f t="shared" si="9"/>
        <v>0</v>
      </c>
      <c r="L87" s="15" t="s">
        <v>42</v>
      </c>
    </row>
    <row r="88" spans="1:12" x14ac:dyDescent="0.2">
      <c r="A88" s="24" t="s">
        <v>46</v>
      </c>
      <c r="B88" s="25">
        <v>10</v>
      </c>
      <c r="C88" s="25"/>
      <c r="D88" s="25"/>
      <c r="E88" s="25"/>
      <c r="F88" s="25">
        <v>1100</v>
      </c>
      <c r="G88">
        <f t="shared" si="5"/>
        <v>1</v>
      </c>
      <c r="H88">
        <f t="shared" si="6"/>
        <v>0</v>
      </c>
      <c r="I88">
        <f t="shared" si="7"/>
        <v>0</v>
      </c>
      <c r="J88">
        <f t="shared" si="8"/>
        <v>0</v>
      </c>
      <c r="K88">
        <f t="shared" si="9"/>
        <v>0</v>
      </c>
      <c r="L88" s="15" t="s">
        <v>73</v>
      </c>
    </row>
    <row r="89" spans="1:12" x14ac:dyDescent="0.2">
      <c r="A89" s="26" t="s">
        <v>100</v>
      </c>
      <c r="B89" s="27"/>
      <c r="C89" s="27">
        <v>5</v>
      </c>
      <c r="D89" s="27"/>
      <c r="E89" s="27"/>
      <c r="F89" s="27">
        <v>650</v>
      </c>
      <c r="G89">
        <f t="shared" si="5"/>
        <v>0</v>
      </c>
      <c r="H89">
        <f t="shared" si="6"/>
        <v>1</v>
      </c>
      <c r="I89">
        <f t="shared" si="7"/>
        <v>0</v>
      </c>
      <c r="J89">
        <f t="shared" si="8"/>
        <v>0</v>
      </c>
      <c r="K89">
        <f t="shared" si="9"/>
        <v>0</v>
      </c>
      <c r="L89" s="15" t="s">
        <v>42</v>
      </c>
    </row>
    <row r="90" spans="1:12" x14ac:dyDescent="0.2">
      <c r="A90" s="24" t="s">
        <v>246</v>
      </c>
      <c r="B90" s="25">
        <v>8</v>
      </c>
      <c r="C90" s="25"/>
      <c r="D90" s="25">
        <v>18</v>
      </c>
      <c r="E90" s="25"/>
      <c r="F90" s="25">
        <v>3600</v>
      </c>
      <c r="G90">
        <f t="shared" si="5"/>
        <v>1</v>
      </c>
      <c r="H90">
        <f t="shared" si="6"/>
        <v>0</v>
      </c>
      <c r="I90">
        <f t="shared" si="7"/>
        <v>1</v>
      </c>
      <c r="J90">
        <f t="shared" si="8"/>
        <v>0</v>
      </c>
      <c r="K90">
        <f t="shared" si="9"/>
        <v>0</v>
      </c>
      <c r="L90" s="15" t="s">
        <v>73</v>
      </c>
    </row>
    <row r="91" spans="1:12" x14ac:dyDescent="0.2">
      <c r="A91" s="26" t="s">
        <v>46</v>
      </c>
      <c r="B91" s="27">
        <v>11</v>
      </c>
      <c r="C91" s="27"/>
      <c r="D91" s="27"/>
      <c r="E91" s="27"/>
      <c r="F91" s="27">
        <v>1300</v>
      </c>
      <c r="G91">
        <f t="shared" si="5"/>
        <v>1</v>
      </c>
      <c r="H91">
        <f t="shared" si="6"/>
        <v>0</v>
      </c>
      <c r="I91">
        <f t="shared" si="7"/>
        <v>0</v>
      </c>
      <c r="J91">
        <f t="shared" si="8"/>
        <v>0</v>
      </c>
      <c r="K91">
        <f t="shared" si="9"/>
        <v>0</v>
      </c>
      <c r="L91" s="15" t="s">
        <v>73</v>
      </c>
    </row>
    <row r="92" spans="1:12" x14ac:dyDescent="0.2">
      <c r="A92" s="24" t="s">
        <v>100</v>
      </c>
      <c r="B92" s="25"/>
      <c r="C92" s="25">
        <v>5</v>
      </c>
      <c r="D92" s="25"/>
      <c r="E92" s="25"/>
      <c r="F92" s="25">
        <v>650</v>
      </c>
      <c r="G92">
        <f t="shared" si="5"/>
        <v>0</v>
      </c>
      <c r="H92">
        <f t="shared" si="6"/>
        <v>1</v>
      </c>
      <c r="I92">
        <f t="shared" si="7"/>
        <v>0</v>
      </c>
      <c r="J92">
        <f t="shared" si="8"/>
        <v>0</v>
      </c>
      <c r="K92">
        <f t="shared" si="9"/>
        <v>0</v>
      </c>
      <c r="L92" s="15" t="s">
        <v>42</v>
      </c>
    </row>
    <row r="93" spans="1:12" x14ac:dyDescent="0.2">
      <c r="A93" s="26" t="s">
        <v>246</v>
      </c>
      <c r="B93" s="27">
        <v>9</v>
      </c>
      <c r="C93" s="27"/>
      <c r="D93" s="27">
        <v>17</v>
      </c>
      <c r="E93" s="27"/>
      <c r="F93" s="27">
        <v>3800</v>
      </c>
      <c r="G93">
        <f t="shared" si="5"/>
        <v>1</v>
      </c>
      <c r="H93">
        <f t="shared" si="6"/>
        <v>0</v>
      </c>
      <c r="I93">
        <f t="shared" si="7"/>
        <v>1</v>
      </c>
      <c r="J93">
        <f t="shared" si="8"/>
        <v>0</v>
      </c>
      <c r="K93">
        <f t="shared" si="9"/>
        <v>0</v>
      </c>
      <c r="L93" s="15" t="s">
        <v>73</v>
      </c>
    </row>
    <row r="94" spans="1:12" x14ac:dyDescent="0.2">
      <c r="A94" s="24" t="s">
        <v>100</v>
      </c>
      <c r="B94" s="25"/>
      <c r="C94" s="25">
        <v>6</v>
      </c>
      <c r="D94" s="25"/>
      <c r="E94" s="25"/>
      <c r="F94" s="25">
        <v>720</v>
      </c>
      <c r="G94">
        <f t="shared" si="5"/>
        <v>0</v>
      </c>
      <c r="H94">
        <f t="shared" si="6"/>
        <v>1</v>
      </c>
      <c r="I94">
        <f t="shared" si="7"/>
        <v>0</v>
      </c>
      <c r="J94">
        <f t="shared" si="8"/>
        <v>0</v>
      </c>
      <c r="K94">
        <f t="shared" si="9"/>
        <v>0</v>
      </c>
      <c r="L94" s="15" t="s">
        <v>42</v>
      </c>
    </row>
    <row r="95" spans="1:12" x14ac:dyDescent="0.2">
      <c r="A95" s="26" t="s">
        <v>431</v>
      </c>
      <c r="B95" s="27"/>
      <c r="C95" s="27"/>
      <c r="D95" s="27">
        <v>18</v>
      </c>
      <c r="E95" s="27"/>
      <c r="F95" s="27">
        <v>2300</v>
      </c>
      <c r="G95">
        <f t="shared" si="5"/>
        <v>0</v>
      </c>
      <c r="H95">
        <f t="shared" si="6"/>
        <v>0</v>
      </c>
      <c r="I95">
        <f t="shared" si="7"/>
        <v>1</v>
      </c>
      <c r="J95">
        <f t="shared" si="8"/>
        <v>0</v>
      </c>
      <c r="K95">
        <f t="shared" si="9"/>
        <v>0</v>
      </c>
      <c r="L95" s="15" t="s">
        <v>42</v>
      </c>
    </row>
    <row r="96" spans="1:12" x14ac:dyDescent="0.2">
      <c r="A96" s="24" t="s">
        <v>46</v>
      </c>
      <c r="B96" s="25">
        <v>10</v>
      </c>
      <c r="C96" s="25"/>
      <c r="D96" s="25"/>
      <c r="E96" s="25"/>
      <c r="F96" s="25">
        <v>1200</v>
      </c>
      <c r="G96">
        <f t="shared" si="5"/>
        <v>1</v>
      </c>
      <c r="H96">
        <f t="shared" si="6"/>
        <v>0</v>
      </c>
      <c r="I96">
        <f t="shared" si="7"/>
        <v>0</v>
      </c>
      <c r="J96">
        <f t="shared" si="8"/>
        <v>0</v>
      </c>
      <c r="K96">
        <f t="shared" si="9"/>
        <v>0</v>
      </c>
      <c r="L96" s="15" t="s">
        <v>73</v>
      </c>
    </row>
    <row r="97" spans="1:12" x14ac:dyDescent="0.2">
      <c r="A97" s="26" t="s">
        <v>100</v>
      </c>
      <c r="B97" s="27"/>
      <c r="C97" s="27">
        <v>5</v>
      </c>
      <c r="D97" s="27"/>
      <c r="E97" s="27"/>
      <c r="F97" s="27">
        <v>600</v>
      </c>
      <c r="G97">
        <f t="shared" si="5"/>
        <v>0</v>
      </c>
      <c r="H97">
        <f t="shared" si="6"/>
        <v>1</v>
      </c>
      <c r="I97">
        <f t="shared" si="7"/>
        <v>0</v>
      </c>
      <c r="J97">
        <f t="shared" si="8"/>
        <v>0</v>
      </c>
      <c r="K97">
        <f t="shared" si="9"/>
        <v>0</v>
      </c>
      <c r="L97" s="15" t="s">
        <v>42</v>
      </c>
    </row>
    <row r="98" spans="1:12" x14ac:dyDescent="0.2">
      <c r="A98" s="24" t="s">
        <v>290</v>
      </c>
      <c r="B98" s="25">
        <v>11</v>
      </c>
      <c r="C98" s="25"/>
      <c r="D98" s="25"/>
      <c r="E98" s="25">
        <v>60</v>
      </c>
      <c r="F98" s="25">
        <v>8200</v>
      </c>
      <c r="G98">
        <f t="shared" si="5"/>
        <v>1</v>
      </c>
      <c r="H98">
        <f t="shared" si="6"/>
        <v>0</v>
      </c>
      <c r="I98">
        <f t="shared" si="7"/>
        <v>0</v>
      </c>
      <c r="J98">
        <f t="shared" si="8"/>
        <v>1</v>
      </c>
      <c r="K98">
        <f t="shared" si="9"/>
        <v>0</v>
      </c>
      <c r="L98" s="15" t="s">
        <v>73</v>
      </c>
    </row>
    <row r="99" spans="1:12" x14ac:dyDescent="0.2">
      <c r="A99" s="26" t="s">
        <v>290</v>
      </c>
      <c r="B99" s="27">
        <v>13</v>
      </c>
      <c r="C99" s="27"/>
      <c r="D99" s="27"/>
      <c r="E99" s="27">
        <v>70</v>
      </c>
      <c r="F99" s="27">
        <v>9000</v>
      </c>
      <c r="G99">
        <f t="shared" si="5"/>
        <v>1</v>
      </c>
      <c r="H99">
        <f t="shared" si="6"/>
        <v>0</v>
      </c>
      <c r="I99">
        <f t="shared" si="7"/>
        <v>0</v>
      </c>
      <c r="J99">
        <f t="shared" si="8"/>
        <v>1</v>
      </c>
      <c r="K99">
        <f t="shared" si="9"/>
        <v>0</v>
      </c>
      <c r="L99" s="15" t="s">
        <v>73</v>
      </c>
    </row>
    <row r="100" spans="1:12" x14ac:dyDescent="0.2">
      <c r="A100" s="24" t="s">
        <v>431</v>
      </c>
      <c r="B100" s="25"/>
      <c r="C100" s="25"/>
      <c r="D100" s="25">
        <v>19</v>
      </c>
      <c r="E100" s="25"/>
      <c r="F100" s="25">
        <v>2400</v>
      </c>
      <c r="G100">
        <f t="shared" si="5"/>
        <v>0</v>
      </c>
      <c r="H100">
        <f t="shared" si="6"/>
        <v>0</v>
      </c>
      <c r="I100">
        <f t="shared" si="7"/>
        <v>1</v>
      </c>
      <c r="J100">
        <f t="shared" si="8"/>
        <v>0</v>
      </c>
      <c r="K100">
        <f t="shared" si="9"/>
        <v>0</v>
      </c>
      <c r="L100" s="15" t="s">
        <v>42</v>
      </c>
    </row>
    <row r="101" spans="1:12" x14ac:dyDescent="0.2">
      <c r="A101" s="26" t="s">
        <v>290</v>
      </c>
      <c r="B101" s="27">
        <v>10</v>
      </c>
      <c r="C101" s="27"/>
      <c r="D101" s="27"/>
      <c r="E101" s="27">
        <v>55</v>
      </c>
      <c r="F101" s="27">
        <v>7000</v>
      </c>
      <c r="G101">
        <f t="shared" si="5"/>
        <v>1</v>
      </c>
      <c r="H101">
        <f t="shared" si="6"/>
        <v>0</v>
      </c>
      <c r="I101">
        <f t="shared" si="7"/>
        <v>0</v>
      </c>
      <c r="J101">
        <f t="shared" si="8"/>
        <v>1</v>
      </c>
      <c r="K101">
        <f t="shared" si="9"/>
        <v>0</v>
      </c>
      <c r="L101" s="15" t="s">
        <v>73</v>
      </c>
    </row>
    <row r="102" spans="1:12" x14ac:dyDescent="0.2">
      <c r="A102" s="24" t="s">
        <v>100</v>
      </c>
      <c r="B102" s="25"/>
      <c r="C102" s="25">
        <v>6</v>
      </c>
      <c r="D102" s="25"/>
      <c r="E102" s="25"/>
      <c r="F102" s="25">
        <v>700</v>
      </c>
      <c r="G102">
        <f t="shared" si="5"/>
        <v>0</v>
      </c>
      <c r="H102">
        <f t="shared" si="6"/>
        <v>1</v>
      </c>
      <c r="I102">
        <f t="shared" si="7"/>
        <v>0</v>
      </c>
      <c r="J102">
        <f t="shared" si="8"/>
        <v>0</v>
      </c>
      <c r="K102">
        <f t="shared" si="9"/>
        <v>0</v>
      </c>
      <c r="L102" s="15" t="s">
        <v>42</v>
      </c>
    </row>
    <row r="103" spans="1:12" x14ac:dyDescent="0.2">
      <c r="A103" s="26" t="s">
        <v>246</v>
      </c>
      <c r="B103" s="27">
        <v>9</v>
      </c>
      <c r="C103" s="27"/>
      <c r="D103" s="27">
        <v>21</v>
      </c>
      <c r="E103" s="27"/>
      <c r="F103" s="27">
        <v>4300</v>
      </c>
      <c r="G103">
        <f t="shared" si="5"/>
        <v>1</v>
      </c>
      <c r="H103">
        <f t="shared" si="6"/>
        <v>0</v>
      </c>
      <c r="I103">
        <f t="shared" si="7"/>
        <v>1</v>
      </c>
      <c r="J103">
        <f t="shared" si="8"/>
        <v>0</v>
      </c>
      <c r="K103">
        <f t="shared" si="9"/>
        <v>0</v>
      </c>
      <c r="L103" s="15" t="s">
        <v>73</v>
      </c>
    </row>
    <row r="104" spans="1:12" x14ac:dyDescent="0.2">
      <c r="A104" s="24" t="s">
        <v>246</v>
      </c>
      <c r="B104" s="25">
        <v>9</v>
      </c>
      <c r="C104" s="25"/>
      <c r="D104" s="25">
        <v>22</v>
      </c>
      <c r="E104" s="25"/>
      <c r="F104" s="25">
        <v>3400</v>
      </c>
      <c r="G104">
        <f t="shared" si="5"/>
        <v>1</v>
      </c>
      <c r="H104">
        <f t="shared" si="6"/>
        <v>0</v>
      </c>
      <c r="I104">
        <f t="shared" si="7"/>
        <v>1</v>
      </c>
      <c r="J104">
        <f t="shared" si="8"/>
        <v>0</v>
      </c>
      <c r="K104">
        <f t="shared" si="9"/>
        <v>0</v>
      </c>
      <c r="L104" s="15" t="s">
        <v>73</v>
      </c>
    </row>
    <row r="105" spans="1:12" x14ac:dyDescent="0.2">
      <c r="A105" s="26" t="s">
        <v>46</v>
      </c>
      <c r="B105" s="27">
        <v>5</v>
      </c>
      <c r="C105" s="27"/>
      <c r="D105" s="27"/>
      <c r="E105" s="27"/>
      <c r="F105" s="27">
        <v>600</v>
      </c>
      <c r="G105">
        <f t="shared" si="5"/>
        <v>1</v>
      </c>
      <c r="H105">
        <f t="shared" si="6"/>
        <v>0</v>
      </c>
      <c r="I105">
        <f t="shared" si="7"/>
        <v>0</v>
      </c>
      <c r="J105">
        <f t="shared" si="8"/>
        <v>0</v>
      </c>
      <c r="K105">
        <f t="shared" si="9"/>
        <v>0</v>
      </c>
      <c r="L105" s="15" t="s">
        <v>42</v>
      </c>
    </row>
    <row r="106" spans="1:12" x14ac:dyDescent="0.2">
      <c r="A106" s="24" t="s">
        <v>246</v>
      </c>
      <c r="B106" s="25">
        <v>11</v>
      </c>
      <c r="C106" s="25"/>
      <c r="D106" s="25">
        <v>22</v>
      </c>
      <c r="E106" s="25"/>
      <c r="F106" s="25">
        <v>4800</v>
      </c>
      <c r="G106">
        <f t="shared" si="5"/>
        <v>1</v>
      </c>
      <c r="H106">
        <f t="shared" si="6"/>
        <v>0</v>
      </c>
      <c r="I106">
        <f t="shared" si="7"/>
        <v>1</v>
      </c>
      <c r="J106">
        <f t="shared" si="8"/>
        <v>0</v>
      </c>
      <c r="K106">
        <f t="shared" si="9"/>
        <v>0</v>
      </c>
      <c r="L106" s="15" t="s">
        <v>73</v>
      </c>
    </row>
    <row r="107" spans="1:12" x14ac:dyDescent="0.2">
      <c r="A107" s="26" t="s">
        <v>290</v>
      </c>
      <c r="B107" s="27">
        <v>7</v>
      </c>
      <c r="C107" s="27"/>
      <c r="D107" s="27"/>
      <c r="E107" s="27">
        <v>65</v>
      </c>
      <c r="F107" s="27">
        <v>5800</v>
      </c>
      <c r="G107">
        <f t="shared" si="5"/>
        <v>1</v>
      </c>
      <c r="H107">
        <f t="shared" si="6"/>
        <v>0</v>
      </c>
      <c r="I107">
        <f t="shared" si="7"/>
        <v>0</v>
      </c>
      <c r="J107">
        <f t="shared" si="8"/>
        <v>1</v>
      </c>
      <c r="K107">
        <f t="shared" si="9"/>
        <v>0</v>
      </c>
      <c r="L107" s="15" t="s">
        <v>73</v>
      </c>
    </row>
    <row r="108" spans="1:12" x14ac:dyDescent="0.2">
      <c r="A108" s="24" t="s">
        <v>100</v>
      </c>
      <c r="B108" s="25"/>
      <c r="C108" s="25">
        <v>6</v>
      </c>
      <c r="D108" s="25"/>
      <c r="E108" s="25"/>
      <c r="F108" s="25">
        <v>750</v>
      </c>
      <c r="G108">
        <f t="shared" si="5"/>
        <v>0</v>
      </c>
      <c r="H108">
        <f t="shared" si="6"/>
        <v>1</v>
      </c>
      <c r="I108">
        <f t="shared" si="7"/>
        <v>0</v>
      </c>
      <c r="J108">
        <f t="shared" si="8"/>
        <v>0</v>
      </c>
      <c r="K108">
        <f t="shared" si="9"/>
        <v>0</v>
      </c>
      <c r="L108" s="15" t="s">
        <v>42</v>
      </c>
    </row>
    <row r="109" spans="1:12" x14ac:dyDescent="0.2">
      <c r="A109" s="26" t="s">
        <v>100</v>
      </c>
      <c r="B109" s="27"/>
      <c r="C109" s="27">
        <v>10</v>
      </c>
      <c r="D109" s="27"/>
      <c r="E109" s="27"/>
      <c r="F109" s="27">
        <v>1100</v>
      </c>
      <c r="G109">
        <f t="shared" si="5"/>
        <v>0</v>
      </c>
      <c r="H109">
        <f t="shared" si="6"/>
        <v>1</v>
      </c>
      <c r="I109">
        <f t="shared" si="7"/>
        <v>0</v>
      </c>
      <c r="J109">
        <f t="shared" si="8"/>
        <v>0</v>
      </c>
      <c r="K109">
        <f t="shared" si="9"/>
        <v>0</v>
      </c>
      <c r="L109" s="15" t="s">
        <v>42</v>
      </c>
    </row>
    <row r="110" spans="1:12" x14ac:dyDescent="0.2">
      <c r="A110" s="24" t="s">
        <v>290</v>
      </c>
      <c r="B110" s="25">
        <v>11</v>
      </c>
      <c r="C110" s="25"/>
      <c r="D110" s="25"/>
      <c r="E110" s="25">
        <v>65</v>
      </c>
      <c r="F110" s="25">
        <v>8500</v>
      </c>
      <c r="G110">
        <f t="shared" si="5"/>
        <v>1</v>
      </c>
      <c r="H110">
        <f t="shared" si="6"/>
        <v>0</v>
      </c>
      <c r="I110">
        <f t="shared" si="7"/>
        <v>0</v>
      </c>
      <c r="J110">
        <f t="shared" si="8"/>
        <v>1</v>
      </c>
      <c r="K110">
        <f t="shared" si="9"/>
        <v>0</v>
      </c>
      <c r="L110" s="15" t="s">
        <v>73</v>
      </c>
    </row>
    <row r="111" spans="1:12" x14ac:dyDescent="0.2">
      <c r="A111" s="26" t="s">
        <v>309</v>
      </c>
      <c r="B111" s="27">
        <v>7</v>
      </c>
      <c r="C111" s="27"/>
      <c r="D111" s="27">
        <v>27</v>
      </c>
      <c r="E111" s="27">
        <v>58</v>
      </c>
      <c r="F111" s="27">
        <v>9500</v>
      </c>
      <c r="G111">
        <f t="shared" si="5"/>
        <v>1</v>
      </c>
      <c r="H111">
        <f t="shared" si="6"/>
        <v>0</v>
      </c>
      <c r="I111">
        <f t="shared" si="7"/>
        <v>1</v>
      </c>
      <c r="J111">
        <f t="shared" si="8"/>
        <v>1</v>
      </c>
      <c r="K111">
        <f t="shared" si="9"/>
        <v>0</v>
      </c>
      <c r="L111" s="15" t="s">
        <v>73</v>
      </c>
    </row>
    <row r="112" spans="1:12" x14ac:dyDescent="0.2">
      <c r="A112" s="24" t="s">
        <v>431</v>
      </c>
      <c r="B112" s="25"/>
      <c r="C112" s="25"/>
      <c r="D112" s="25">
        <v>20</v>
      </c>
      <c r="E112" s="25"/>
      <c r="F112" s="25">
        <v>2500</v>
      </c>
      <c r="G112">
        <f t="shared" si="5"/>
        <v>0</v>
      </c>
      <c r="H112">
        <f t="shared" si="6"/>
        <v>0</v>
      </c>
      <c r="I112">
        <f t="shared" si="7"/>
        <v>1</v>
      </c>
      <c r="J112">
        <f t="shared" si="8"/>
        <v>0</v>
      </c>
      <c r="K112">
        <f t="shared" si="9"/>
        <v>0</v>
      </c>
      <c r="L112" s="15" t="s">
        <v>42</v>
      </c>
    </row>
    <row r="113" spans="1:12" x14ac:dyDescent="0.2">
      <c r="A113" s="26" t="s">
        <v>100</v>
      </c>
      <c r="B113" s="27"/>
      <c r="C113" s="27">
        <v>6</v>
      </c>
      <c r="D113" s="27"/>
      <c r="E113" s="27"/>
      <c r="F113" s="27">
        <v>700</v>
      </c>
      <c r="G113">
        <f t="shared" si="5"/>
        <v>0</v>
      </c>
      <c r="H113">
        <f t="shared" si="6"/>
        <v>1</v>
      </c>
      <c r="I113">
        <f t="shared" si="7"/>
        <v>0</v>
      </c>
      <c r="J113">
        <f t="shared" si="8"/>
        <v>0</v>
      </c>
      <c r="K113">
        <f t="shared" si="9"/>
        <v>0</v>
      </c>
      <c r="L113" s="15" t="s">
        <v>42</v>
      </c>
    </row>
    <row r="114" spans="1:12" x14ac:dyDescent="0.2">
      <c r="A114" s="24" t="s">
        <v>435</v>
      </c>
      <c r="B114" s="25">
        <v>7</v>
      </c>
      <c r="C114" s="25"/>
      <c r="D114" s="25">
        <v>26</v>
      </c>
      <c r="E114" s="25"/>
      <c r="F114" s="25">
        <v>5500</v>
      </c>
      <c r="G114">
        <f t="shared" si="5"/>
        <v>1</v>
      </c>
      <c r="H114">
        <f t="shared" si="6"/>
        <v>0</v>
      </c>
      <c r="I114">
        <f t="shared" si="7"/>
        <v>1</v>
      </c>
      <c r="J114">
        <f t="shared" si="8"/>
        <v>0</v>
      </c>
      <c r="K114">
        <f t="shared" si="9"/>
        <v>1</v>
      </c>
      <c r="L114" s="15" t="s">
        <v>73</v>
      </c>
    </row>
    <row r="115" spans="1:12" x14ac:dyDescent="0.2">
      <c r="A115" s="26" t="s">
        <v>100</v>
      </c>
      <c r="B115" s="27"/>
      <c r="C115" s="27">
        <v>5</v>
      </c>
      <c r="D115" s="27"/>
      <c r="E115" s="27"/>
      <c r="F115" s="27">
        <v>650</v>
      </c>
      <c r="G115">
        <f t="shared" si="5"/>
        <v>0</v>
      </c>
      <c r="H115">
        <f t="shared" si="6"/>
        <v>1</v>
      </c>
      <c r="I115">
        <f t="shared" si="7"/>
        <v>0</v>
      </c>
      <c r="J115">
        <f t="shared" si="8"/>
        <v>0</v>
      </c>
      <c r="K115">
        <f t="shared" si="9"/>
        <v>0</v>
      </c>
      <c r="L115" s="15" t="s">
        <v>42</v>
      </c>
    </row>
    <row r="116" spans="1:12" x14ac:dyDescent="0.2">
      <c r="A116" s="24" t="s">
        <v>246</v>
      </c>
      <c r="B116" s="25">
        <v>5</v>
      </c>
      <c r="C116" s="25"/>
      <c r="D116" s="25">
        <v>32</v>
      </c>
      <c r="E116" s="25"/>
      <c r="F116" s="25">
        <v>5200</v>
      </c>
      <c r="G116">
        <f t="shared" si="5"/>
        <v>1</v>
      </c>
      <c r="H116">
        <f t="shared" si="6"/>
        <v>0</v>
      </c>
      <c r="I116">
        <f t="shared" si="7"/>
        <v>1</v>
      </c>
      <c r="J116">
        <f t="shared" si="8"/>
        <v>0</v>
      </c>
      <c r="K116">
        <f t="shared" si="9"/>
        <v>0</v>
      </c>
      <c r="L116" s="15" t="s">
        <v>73</v>
      </c>
    </row>
    <row r="117" spans="1:12" x14ac:dyDescent="0.2">
      <c r="A117" s="50" t="s">
        <v>46</v>
      </c>
      <c r="B117" s="27">
        <v>6</v>
      </c>
      <c r="C117" s="27"/>
      <c r="D117" s="27"/>
      <c r="E117" s="27"/>
      <c r="F117" s="27">
        <v>650</v>
      </c>
      <c r="G117">
        <f t="shared" si="5"/>
        <v>1</v>
      </c>
      <c r="H117">
        <f t="shared" si="6"/>
        <v>0</v>
      </c>
      <c r="I117">
        <f t="shared" si="7"/>
        <v>0</v>
      </c>
      <c r="J117">
        <f t="shared" si="8"/>
        <v>0</v>
      </c>
      <c r="K117">
        <f t="shared" si="9"/>
        <v>0</v>
      </c>
      <c r="L117" s="15" t="s">
        <v>42</v>
      </c>
    </row>
    <row r="118" spans="1:12" x14ac:dyDescent="0.2">
      <c r="A118" s="24" t="s">
        <v>435</v>
      </c>
      <c r="B118" s="25">
        <v>6</v>
      </c>
      <c r="C118" s="25"/>
      <c r="D118" s="25">
        <v>35</v>
      </c>
      <c r="E118" s="25"/>
      <c r="F118" s="25">
        <v>8200</v>
      </c>
      <c r="G118">
        <f t="shared" si="5"/>
        <v>1</v>
      </c>
      <c r="H118">
        <f t="shared" si="6"/>
        <v>0</v>
      </c>
      <c r="I118">
        <f t="shared" si="7"/>
        <v>1</v>
      </c>
      <c r="J118">
        <f t="shared" si="8"/>
        <v>0</v>
      </c>
      <c r="K118">
        <f t="shared" si="9"/>
        <v>1</v>
      </c>
      <c r="L118" s="15" t="s">
        <v>73</v>
      </c>
    </row>
    <row r="119" spans="1:12" x14ac:dyDescent="0.2">
      <c r="A119" s="26" t="s">
        <v>46</v>
      </c>
      <c r="B119" s="27">
        <v>12</v>
      </c>
      <c r="C119" s="27"/>
      <c r="D119" s="27"/>
      <c r="E119" s="27"/>
      <c r="F119" s="27">
        <v>1400</v>
      </c>
      <c r="G119">
        <f t="shared" si="5"/>
        <v>1</v>
      </c>
      <c r="H119">
        <f t="shared" si="6"/>
        <v>0</v>
      </c>
      <c r="I119">
        <f t="shared" si="7"/>
        <v>0</v>
      </c>
      <c r="J119">
        <f t="shared" si="8"/>
        <v>0</v>
      </c>
      <c r="K119">
        <f t="shared" si="9"/>
        <v>0</v>
      </c>
      <c r="L119" s="15" t="s">
        <v>73</v>
      </c>
    </row>
    <row r="120" spans="1:12" x14ac:dyDescent="0.2">
      <c r="A120" s="24" t="s">
        <v>100</v>
      </c>
      <c r="B120" s="25"/>
      <c r="C120" s="25">
        <v>5</v>
      </c>
      <c r="D120" s="25"/>
      <c r="E120" s="25"/>
      <c r="F120" s="25">
        <v>600</v>
      </c>
      <c r="G120">
        <f t="shared" si="5"/>
        <v>0</v>
      </c>
      <c r="H120">
        <f t="shared" si="6"/>
        <v>1</v>
      </c>
      <c r="I120">
        <f t="shared" si="7"/>
        <v>0</v>
      </c>
      <c r="J120">
        <f t="shared" si="8"/>
        <v>0</v>
      </c>
      <c r="K120">
        <f t="shared" si="9"/>
        <v>0</v>
      </c>
      <c r="L120" s="15" t="s">
        <v>42</v>
      </c>
    </row>
    <row r="121" spans="1:12" x14ac:dyDescent="0.2">
      <c r="A121" s="26" t="s">
        <v>46</v>
      </c>
      <c r="B121" s="27">
        <v>6</v>
      </c>
      <c r="C121" s="27"/>
      <c r="D121" s="27"/>
      <c r="E121" s="27"/>
      <c r="F121" s="27">
        <v>750</v>
      </c>
      <c r="G121">
        <f t="shared" si="5"/>
        <v>1</v>
      </c>
      <c r="H121">
        <f t="shared" si="6"/>
        <v>0</v>
      </c>
      <c r="I121">
        <f t="shared" si="7"/>
        <v>0</v>
      </c>
      <c r="J121">
        <f t="shared" si="8"/>
        <v>0</v>
      </c>
      <c r="K121">
        <f t="shared" si="9"/>
        <v>0</v>
      </c>
      <c r="L121" s="15" t="s">
        <v>42</v>
      </c>
    </row>
    <row r="122" spans="1:12" x14ac:dyDescent="0.2">
      <c r="A122" s="24" t="s">
        <v>46</v>
      </c>
      <c r="B122" s="25">
        <v>30</v>
      </c>
      <c r="C122" s="25"/>
      <c r="D122" s="25"/>
      <c r="E122" s="25"/>
      <c r="F122" s="25">
        <v>20000</v>
      </c>
      <c r="G122">
        <f t="shared" si="5"/>
        <v>1</v>
      </c>
      <c r="H122">
        <f t="shared" si="6"/>
        <v>0</v>
      </c>
      <c r="I122">
        <f t="shared" si="7"/>
        <v>0</v>
      </c>
      <c r="J122">
        <f t="shared" si="8"/>
        <v>0</v>
      </c>
      <c r="K122">
        <f t="shared" si="9"/>
        <v>0</v>
      </c>
      <c r="L122" s="15" t="s">
        <v>73</v>
      </c>
    </row>
    <row r="123" spans="1:12" x14ac:dyDescent="0.2">
      <c r="A123" s="26" t="s">
        <v>46</v>
      </c>
      <c r="B123" s="27">
        <v>10</v>
      </c>
      <c r="C123" s="29"/>
      <c r="D123" s="29"/>
      <c r="E123" s="29"/>
      <c r="F123" s="27">
        <v>3000</v>
      </c>
      <c r="G123">
        <f t="shared" si="5"/>
        <v>1</v>
      </c>
      <c r="H123">
        <f t="shared" si="6"/>
        <v>0</v>
      </c>
      <c r="I123">
        <f t="shared" si="7"/>
        <v>0</v>
      </c>
      <c r="J123">
        <f t="shared" si="8"/>
        <v>0</v>
      </c>
      <c r="K123">
        <f t="shared" si="9"/>
        <v>0</v>
      </c>
      <c r="L123" s="15" t="s">
        <v>73</v>
      </c>
    </row>
    <row r="124" spans="1:12" x14ac:dyDescent="0.2">
      <c r="A124" s="24" t="s">
        <v>46</v>
      </c>
      <c r="B124" s="25">
        <v>30</v>
      </c>
      <c r="C124" s="28"/>
      <c r="D124" s="28"/>
      <c r="E124" s="28"/>
      <c r="F124" s="28">
        <v>950</v>
      </c>
      <c r="G124">
        <f t="shared" si="5"/>
        <v>1</v>
      </c>
      <c r="H124">
        <f t="shared" si="6"/>
        <v>0</v>
      </c>
      <c r="I124">
        <f t="shared" si="7"/>
        <v>0</v>
      </c>
      <c r="J124">
        <f t="shared" si="8"/>
        <v>0</v>
      </c>
      <c r="K124">
        <f t="shared" si="9"/>
        <v>0</v>
      </c>
      <c r="L124" s="15" t="s">
        <v>73</v>
      </c>
    </row>
    <row r="125" spans="1:12" x14ac:dyDescent="0.2">
      <c r="A125" s="26" t="s">
        <v>246</v>
      </c>
      <c r="B125" s="27">
        <v>10</v>
      </c>
      <c r="C125" s="29"/>
      <c r="D125" s="27">
        <v>34</v>
      </c>
      <c r="E125" s="29"/>
      <c r="F125" s="27">
        <v>5600</v>
      </c>
      <c r="G125">
        <f t="shared" si="5"/>
        <v>1</v>
      </c>
      <c r="H125">
        <f t="shared" si="6"/>
        <v>0</v>
      </c>
      <c r="I125">
        <f t="shared" si="7"/>
        <v>1</v>
      </c>
      <c r="J125">
        <f t="shared" si="8"/>
        <v>0</v>
      </c>
      <c r="K125">
        <f t="shared" si="9"/>
        <v>0</v>
      </c>
      <c r="L125" s="15" t="s">
        <v>73</v>
      </c>
    </row>
    <row r="126" spans="1:12" x14ac:dyDescent="0.2">
      <c r="A126" s="24" t="s">
        <v>100</v>
      </c>
      <c r="B126" s="28"/>
      <c r="C126" s="25">
        <v>5</v>
      </c>
      <c r="D126" s="28"/>
      <c r="E126" s="28"/>
      <c r="F126" s="25">
        <v>580</v>
      </c>
      <c r="G126">
        <f t="shared" si="5"/>
        <v>0</v>
      </c>
      <c r="H126">
        <f t="shared" si="6"/>
        <v>1</v>
      </c>
      <c r="I126">
        <f t="shared" si="7"/>
        <v>0</v>
      </c>
      <c r="J126">
        <f t="shared" si="8"/>
        <v>0</v>
      </c>
      <c r="K126">
        <f t="shared" si="9"/>
        <v>0</v>
      </c>
      <c r="L126" s="15" t="s">
        <v>42</v>
      </c>
    </row>
    <row r="127" spans="1:12" x14ac:dyDescent="0.2">
      <c r="A127" s="26" t="s">
        <v>246</v>
      </c>
      <c r="B127" s="27">
        <v>12</v>
      </c>
      <c r="C127" s="29"/>
      <c r="D127" s="27">
        <v>38</v>
      </c>
      <c r="E127" s="29"/>
      <c r="F127" s="27">
        <v>7100</v>
      </c>
      <c r="G127">
        <f t="shared" si="5"/>
        <v>1</v>
      </c>
      <c r="H127">
        <f t="shared" si="6"/>
        <v>0</v>
      </c>
      <c r="I127">
        <f t="shared" si="7"/>
        <v>1</v>
      </c>
      <c r="J127">
        <f t="shared" si="8"/>
        <v>0</v>
      </c>
      <c r="K127">
        <f t="shared" si="9"/>
        <v>0</v>
      </c>
      <c r="L127" s="15" t="s">
        <v>73</v>
      </c>
    </row>
    <row r="128" spans="1:12" x14ac:dyDescent="0.2">
      <c r="A128" s="24" t="s">
        <v>100</v>
      </c>
      <c r="B128" s="28"/>
      <c r="C128" s="25">
        <v>6</v>
      </c>
      <c r="D128" s="28"/>
      <c r="E128" s="28"/>
      <c r="F128" s="25">
        <v>650</v>
      </c>
      <c r="G128">
        <f t="shared" si="5"/>
        <v>0</v>
      </c>
      <c r="H128">
        <f t="shared" si="6"/>
        <v>1</v>
      </c>
      <c r="I128">
        <f t="shared" si="7"/>
        <v>0</v>
      </c>
      <c r="J128">
        <f t="shared" si="8"/>
        <v>0</v>
      </c>
      <c r="K128">
        <f t="shared" si="9"/>
        <v>0</v>
      </c>
      <c r="L128" s="15" t="s">
        <v>42</v>
      </c>
    </row>
    <row r="129" spans="1:12" x14ac:dyDescent="0.2">
      <c r="A129" s="26" t="s">
        <v>290</v>
      </c>
      <c r="B129" s="27">
        <v>5</v>
      </c>
      <c r="C129" s="29"/>
      <c r="D129" s="29"/>
      <c r="E129" s="27">
        <v>60</v>
      </c>
      <c r="F129" s="27">
        <v>5200</v>
      </c>
      <c r="G129">
        <f t="shared" si="5"/>
        <v>1</v>
      </c>
      <c r="H129">
        <f t="shared" si="6"/>
        <v>0</v>
      </c>
      <c r="I129">
        <f t="shared" si="7"/>
        <v>0</v>
      </c>
      <c r="J129">
        <f t="shared" si="8"/>
        <v>1</v>
      </c>
      <c r="K129">
        <f t="shared" si="9"/>
        <v>0</v>
      </c>
      <c r="L129" s="15" t="s">
        <v>73</v>
      </c>
    </row>
    <row r="130" spans="1:12" x14ac:dyDescent="0.2">
      <c r="A130" s="24" t="s">
        <v>100</v>
      </c>
      <c r="B130" s="28"/>
      <c r="C130" s="25">
        <v>4</v>
      </c>
      <c r="D130" s="28"/>
      <c r="E130" s="28"/>
      <c r="F130" s="25">
        <v>500</v>
      </c>
      <c r="G130">
        <f t="shared" si="5"/>
        <v>0</v>
      </c>
      <c r="H130">
        <f t="shared" si="6"/>
        <v>1</v>
      </c>
      <c r="I130">
        <f t="shared" si="7"/>
        <v>0</v>
      </c>
      <c r="J130">
        <f t="shared" si="8"/>
        <v>0</v>
      </c>
      <c r="K130">
        <f t="shared" si="9"/>
        <v>0</v>
      </c>
      <c r="L130" s="15" t="s">
        <v>42</v>
      </c>
    </row>
    <row r="131" spans="1:12" x14ac:dyDescent="0.2">
      <c r="A131" s="26" t="s">
        <v>435</v>
      </c>
      <c r="B131" s="27">
        <v>12</v>
      </c>
      <c r="C131" s="29"/>
      <c r="D131" s="27">
        <v>42</v>
      </c>
      <c r="E131" s="29"/>
      <c r="F131" s="27">
        <v>10200</v>
      </c>
      <c r="G131">
        <f t="shared" ref="G131:G194" si="10">IF(ISNUMBER(SEARCH("bike",A131)),1,0)</f>
        <v>1</v>
      </c>
      <c r="H131">
        <f t="shared" ref="H131:H194" si="11">IF(ISNUMBER(SEARCH("Scooty",A131)),1,0)</f>
        <v>0</v>
      </c>
      <c r="I131">
        <f t="shared" ref="I131:I194" si="12">IF(ISNUMBER(SEARCH("Car",A131)),1,0)</f>
        <v>1</v>
      </c>
      <c r="J131">
        <f t="shared" ref="J131:J194" si="13">IF(ISNUMBER(SEARCH("Commercial vehicle",A131)),1,0)</f>
        <v>0</v>
      </c>
      <c r="K131">
        <f t="shared" ref="K131:K194" si="14">IF(ISNUMBER(SEARCH("Electric Vehicle",A131)),1,0)</f>
        <v>1</v>
      </c>
      <c r="L131" s="15" t="s">
        <v>73</v>
      </c>
    </row>
    <row r="132" spans="1:12" x14ac:dyDescent="0.2">
      <c r="A132" s="24" t="s">
        <v>46</v>
      </c>
      <c r="B132" s="25">
        <v>7</v>
      </c>
      <c r="C132" s="28"/>
      <c r="D132" s="28"/>
      <c r="E132" s="28"/>
      <c r="F132" s="25">
        <v>720</v>
      </c>
      <c r="G132">
        <f t="shared" si="10"/>
        <v>1</v>
      </c>
      <c r="H132">
        <f t="shared" si="11"/>
        <v>0</v>
      </c>
      <c r="I132">
        <f t="shared" si="12"/>
        <v>0</v>
      </c>
      <c r="J132">
        <f t="shared" si="13"/>
        <v>0</v>
      </c>
      <c r="K132">
        <f t="shared" si="14"/>
        <v>0</v>
      </c>
      <c r="L132" s="15" t="s">
        <v>42</v>
      </c>
    </row>
    <row r="133" spans="1:12" x14ac:dyDescent="0.2">
      <c r="A133" s="26" t="s">
        <v>46</v>
      </c>
      <c r="B133" s="27">
        <v>8</v>
      </c>
      <c r="C133" s="29"/>
      <c r="D133" s="29"/>
      <c r="E133" s="29"/>
      <c r="F133" s="27">
        <v>900</v>
      </c>
      <c r="G133">
        <f t="shared" si="10"/>
        <v>1</v>
      </c>
      <c r="H133">
        <f t="shared" si="11"/>
        <v>0</v>
      </c>
      <c r="I133">
        <f t="shared" si="12"/>
        <v>0</v>
      </c>
      <c r="J133">
        <f t="shared" si="13"/>
        <v>0</v>
      </c>
      <c r="K133">
        <f t="shared" si="14"/>
        <v>0</v>
      </c>
      <c r="L133" s="15" t="s">
        <v>73</v>
      </c>
    </row>
    <row r="134" spans="1:12" x14ac:dyDescent="0.2">
      <c r="A134" s="24" t="s">
        <v>100</v>
      </c>
      <c r="B134" s="28"/>
      <c r="C134" s="25">
        <v>7</v>
      </c>
      <c r="D134" s="28"/>
      <c r="E134" s="28"/>
      <c r="F134" s="25">
        <v>780</v>
      </c>
      <c r="G134">
        <f t="shared" si="10"/>
        <v>0</v>
      </c>
      <c r="H134">
        <f t="shared" si="11"/>
        <v>1</v>
      </c>
      <c r="I134">
        <f t="shared" si="12"/>
        <v>0</v>
      </c>
      <c r="J134">
        <f t="shared" si="13"/>
        <v>0</v>
      </c>
      <c r="K134">
        <f t="shared" si="14"/>
        <v>0</v>
      </c>
      <c r="L134" s="15" t="s">
        <v>42</v>
      </c>
    </row>
    <row r="135" spans="1:12" x14ac:dyDescent="0.2">
      <c r="A135" s="26" t="s">
        <v>246</v>
      </c>
      <c r="B135" s="27">
        <v>9</v>
      </c>
      <c r="C135" s="29"/>
      <c r="D135" s="27">
        <v>32</v>
      </c>
      <c r="E135" s="29"/>
      <c r="F135" s="27">
        <v>4800</v>
      </c>
      <c r="G135">
        <f t="shared" si="10"/>
        <v>1</v>
      </c>
      <c r="H135">
        <f t="shared" si="11"/>
        <v>0</v>
      </c>
      <c r="I135">
        <f t="shared" si="12"/>
        <v>1</v>
      </c>
      <c r="J135">
        <f t="shared" si="13"/>
        <v>0</v>
      </c>
      <c r="K135">
        <f t="shared" si="14"/>
        <v>0</v>
      </c>
      <c r="L135" s="15" t="s">
        <v>73</v>
      </c>
    </row>
    <row r="136" spans="1:12" x14ac:dyDescent="0.2">
      <c r="A136" s="24" t="s">
        <v>100</v>
      </c>
      <c r="B136" s="28"/>
      <c r="C136" s="25">
        <v>6</v>
      </c>
      <c r="D136" s="28"/>
      <c r="E136" s="28"/>
      <c r="F136" s="25">
        <v>850</v>
      </c>
      <c r="G136">
        <f t="shared" si="10"/>
        <v>0</v>
      </c>
      <c r="H136">
        <f t="shared" si="11"/>
        <v>1</v>
      </c>
      <c r="I136">
        <f t="shared" si="12"/>
        <v>0</v>
      </c>
      <c r="J136">
        <f t="shared" si="13"/>
        <v>0</v>
      </c>
      <c r="K136">
        <f t="shared" si="14"/>
        <v>0</v>
      </c>
      <c r="L136" s="15" t="s">
        <v>42</v>
      </c>
    </row>
    <row r="137" spans="1:12" x14ac:dyDescent="0.2">
      <c r="A137" s="26" t="s">
        <v>290</v>
      </c>
      <c r="B137" s="27">
        <v>5</v>
      </c>
      <c r="C137" s="29"/>
      <c r="D137" s="29"/>
      <c r="E137" s="27">
        <v>70</v>
      </c>
      <c r="F137" s="27">
        <v>6400</v>
      </c>
      <c r="G137">
        <f t="shared" si="10"/>
        <v>1</v>
      </c>
      <c r="H137">
        <f t="shared" si="11"/>
        <v>0</v>
      </c>
      <c r="I137">
        <f t="shared" si="12"/>
        <v>0</v>
      </c>
      <c r="J137">
        <f t="shared" si="13"/>
        <v>1</v>
      </c>
      <c r="K137">
        <f t="shared" si="14"/>
        <v>0</v>
      </c>
      <c r="L137" s="15" t="s">
        <v>73</v>
      </c>
    </row>
    <row r="138" spans="1:12" x14ac:dyDescent="0.2">
      <c r="A138" s="24" t="s">
        <v>100</v>
      </c>
      <c r="B138" s="28"/>
      <c r="C138" s="25">
        <v>7</v>
      </c>
      <c r="D138" s="28"/>
      <c r="E138" s="28"/>
      <c r="F138" s="25">
        <v>800</v>
      </c>
      <c r="G138">
        <f t="shared" si="10"/>
        <v>0</v>
      </c>
      <c r="H138">
        <f t="shared" si="11"/>
        <v>1</v>
      </c>
      <c r="I138">
        <f t="shared" si="12"/>
        <v>0</v>
      </c>
      <c r="J138">
        <f t="shared" si="13"/>
        <v>0</v>
      </c>
      <c r="K138">
        <f t="shared" si="14"/>
        <v>0</v>
      </c>
      <c r="L138" s="15" t="s">
        <v>42</v>
      </c>
    </row>
    <row r="139" spans="1:12" x14ac:dyDescent="0.2">
      <c r="A139" s="26" t="s">
        <v>246</v>
      </c>
      <c r="B139" s="27">
        <v>8</v>
      </c>
      <c r="C139" s="29"/>
      <c r="D139" s="27">
        <v>30</v>
      </c>
      <c r="E139" s="29"/>
      <c r="F139" s="27">
        <v>4900</v>
      </c>
      <c r="G139">
        <f t="shared" si="10"/>
        <v>1</v>
      </c>
      <c r="H139">
        <f t="shared" si="11"/>
        <v>0</v>
      </c>
      <c r="I139">
        <f t="shared" si="12"/>
        <v>1</v>
      </c>
      <c r="J139">
        <f t="shared" si="13"/>
        <v>0</v>
      </c>
      <c r="K139">
        <f t="shared" si="14"/>
        <v>0</v>
      </c>
      <c r="L139" s="15" t="s">
        <v>73</v>
      </c>
    </row>
    <row r="140" spans="1:12" x14ac:dyDescent="0.2">
      <c r="A140" s="24" t="s">
        <v>46</v>
      </c>
      <c r="B140" s="25">
        <v>7</v>
      </c>
      <c r="C140" s="28"/>
      <c r="D140" s="28"/>
      <c r="E140" s="28"/>
      <c r="F140" s="25">
        <v>720</v>
      </c>
      <c r="G140">
        <f t="shared" si="10"/>
        <v>1</v>
      </c>
      <c r="H140">
        <f t="shared" si="11"/>
        <v>0</v>
      </c>
      <c r="I140">
        <f t="shared" si="12"/>
        <v>0</v>
      </c>
      <c r="J140">
        <f t="shared" si="13"/>
        <v>0</v>
      </c>
      <c r="K140">
        <f t="shared" si="14"/>
        <v>0</v>
      </c>
      <c r="L140" s="15" t="s">
        <v>42</v>
      </c>
    </row>
    <row r="141" spans="1:12" x14ac:dyDescent="0.2">
      <c r="A141" s="26" t="s">
        <v>435</v>
      </c>
      <c r="B141" s="27">
        <v>11</v>
      </c>
      <c r="C141" s="29"/>
      <c r="D141" s="27">
        <v>38</v>
      </c>
      <c r="E141" s="29"/>
      <c r="F141" s="27">
        <v>9900</v>
      </c>
      <c r="G141">
        <f t="shared" si="10"/>
        <v>1</v>
      </c>
      <c r="H141">
        <f t="shared" si="11"/>
        <v>0</v>
      </c>
      <c r="I141">
        <f t="shared" si="12"/>
        <v>1</v>
      </c>
      <c r="J141">
        <f t="shared" si="13"/>
        <v>0</v>
      </c>
      <c r="K141">
        <f t="shared" si="14"/>
        <v>1</v>
      </c>
      <c r="L141" s="15" t="s">
        <v>73</v>
      </c>
    </row>
    <row r="142" spans="1:12" x14ac:dyDescent="0.2">
      <c r="A142" s="24" t="s">
        <v>100</v>
      </c>
      <c r="B142" s="28"/>
      <c r="C142" s="25">
        <v>6</v>
      </c>
      <c r="D142" s="28"/>
      <c r="E142" s="28"/>
      <c r="F142" s="25">
        <v>650</v>
      </c>
      <c r="G142">
        <f t="shared" si="10"/>
        <v>0</v>
      </c>
      <c r="H142">
        <f t="shared" si="11"/>
        <v>1</v>
      </c>
      <c r="I142">
        <f t="shared" si="12"/>
        <v>0</v>
      </c>
      <c r="J142">
        <f t="shared" si="13"/>
        <v>0</v>
      </c>
      <c r="K142">
        <f t="shared" si="14"/>
        <v>0</v>
      </c>
      <c r="L142" s="15" t="s">
        <v>42</v>
      </c>
    </row>
    <row r="143" spans="1:12" x14ac:dyDescent="0.2">
      <c r="A143" s="26" t="s">
        <v>46</v>
      </c>
      <c r="B143" s="27">
        <v>8</v>
      </c>
      <c r="C143" s="29"/>
      <c r="D143" s="29"/>
      <c r="E143" s="29"/>
      <c r="F143" s="27">
        <v>990</v>
      </c>
      <c r="G143">
        <f t="shared" si="10"/>
        <v>1</v>
      </c>
      <c r="H143">
        <f t="shared" si="11"/>
        <v>0</v>
      </c>
      <c r="I143">
        <f t="shared" si="12"/>
        <v>0</v>
      </c>
      <c r="J143">
        <f t="shared" si="13"/>
        <v>0</v>
      </c>
      <c r="K143">
        <f t="shared" si="14"/>
        <v>0</v>
      </c>
      <c r="L143" s="15" t="s">
        <v>73</v>
      </c>
    </row>
    <row r="144" spans="1:12" x14ac:dyDescent="0.2">
      <c r="A144" s="24" t="s">
        <v>100</v>
      </c>
      <c r="B144" s="28"/>
      <c r="C144" s="25">
        <v>5</v>
      </c>
      <c r="D144" s="28"/>
      <c r="E144" s="28"/>
      <c r="F144" s="25">
        <v>600</v>
      </c>
      <c r="G144">
        <f t="shared" si="10"/>
        <v>0</v>
      </c>
      <c r="H144">
        <f t="shared" si="11"/>
        <v>1</v>
      </c>
      <c r="I144">
        <f t="shared" si="12"/>
        <v>0</v>
      </c>
      <c r="J144">
        <f t="shared" si="13"/>
        <v>0</v>
      </c>
      <c r="K144">
        <f t="shared" si="14"/>
        <v>0</v>
      </c>
      <c r="L144" s="15" t="s">
        <v>42</v>
      </c>
    </row>
    <row r="145" spans="1:12" x14ac:dyDescent="0.2">
      <c r="A145" s="26" t="s">
        <v>390</v>
      </c>
      <c r="B145" s="27">
        <v>5</v>
      </c>
      <c r="C145" s="27">
        <v>10</v>
      </c>
      <c r="D145" s="27">
        <v>24</v>
      </c>
      <c r="E145" s="29"/>
      <c r="F145" s="27">
        <v>5000</v>
      </c>
      <c r="G145">
        <f t="shared" si="10"/>
        <v>1</v>
      </c>
      <c r="H145">
        <f t="shared" si="11"/>
        <v>1</v>
      </c>
      <c r="I145">
        <f t="shared" si="12"/>
        <v>1</v>
      </c>
      <c r="J145">
        <f t="shared" si="13"/>
        <v>0</v>
      </c>
      <c r="K145">
        <f t="shared" si="14"/>
        <v>0</v>
      </c>
      <c r="L145" s="15" t="s">
        <v>42</v>
      </c>
    </row>
    <row r="146" spans="1:12" x14ac:dyDescent="0.2">
      <c r="A146" s="24" t="s">
        <v>61</v>
      </c>
      <c r="B146" s="25">
        <v>5</v>
      </c>
      <c r="C146" s="25">
        <v>5</v>
      </c>
      <c r="D146" s="28"/>
      <c r="E146" s="28"/>
      <c r="F146" s="25">
        <v>1000</v>
      </c>
      <c r="G146">
        <f t="shared" si="10"/>
        <v>1</v>
      </c>
      <c r="H146">
        <f t="shared" si="11"/>
        <v>1</v>
      </c>
      <c r="I146">
        <f t="shared" si="12"/>
        <v>0</v>
      </c>
      <c r="J146">
        <f t="shared" si="13"/>
        <v>0</v>
      </c>
      <c r="K146">
        <f t="shared" si="14"/>
        <v>0</v>
      </c>
      <c r="L146" s="15" t="s">
        <v>42</v>
      </c>
    </row>
    <row r="147" spans="1:12" x14ac:dyDescent="0.2">
      <c r="A147" s="26" t="s">
        <v>61</v>
      </c>
      <c r="B147" s="27">
        <v>2</v>
      </c>
      <c r="C147" s="29">
        <v>6</v>
      </c>
      <c r="D147" s="29"/>
      <c r="E147" s="29"/>
      <c r="F147" s="27">
        <v>1000</v>
      </c>
      <c r="G147">
        <f t="shared" si="10"/>
        <v>1</v>
      </c>
      <c r="H147">
        <f t="shared" si="11"/>
        <v>1</v>
      </c>
      <c r="I147">
        <f t="shared" si="12"/>
        <v>0</v>
      </c>
      <c r="J147">
        <f t="shared" si="13"/>
        <v>0</v>
      </c>
      <c r="K147">
        <f t="shared" si="14"/>
        <v>0</v>
      </c>
      <c r="L147" s="15" t="s">
        <v>42</v>
      </c>
    </row>
    <row r="148" spans="1:12" x14ac:dyDescent="0.2">
      <c r="A148" s="24" t="s">
        <v>390</v>
      </c>
      <c r="B148" s="25">
        <v>46</v>
      </c>
      <c r="C148" s="25">
        <v>46</v>
      </c>
      <c r="D148" s="25">
        <v>46</v>
      </c>
      <c r="E148" s="28"/>
      <c r="F148" s="25">
        <v>15000</v>
      </c>
      <c r="G148">
        <f t="shared" si="10"/>
        <v>1</v>
      </c>
      <c r="H148">
        <f t="shared" si="11"/>
        <v>1</v>
      </c>
      <c r="I148">
        <f t="shared" si="12"/>
        <v>1</v>
      </c>
      <c r="J148">
        <f t="shared" si="13"/>
        <v>0</v>
      </c>
      <c r="K148">
        <f t="shared" si="14"/>
        <v>0</v>
      </c>
      <c r="L148" s="15" t="s">
        <v>42</v>
      </c>
    </row>
    <row r="149" spans="1:12" x14ac:dyDescent="0.2">
      <c r="A149" s="26" t="s">
        <v>246</v>
      </c>
      <c r="B149" s="27">
        <v>14</v>
      </c>
      <c r="C149" s="29"/>
      <c r="D149" s="27">
        <v>22</v>
      </c>
      <c r="E149" s="29"/>
      <c r="F149" s="27">
        <v>4200</v>
      </c>
      <c r="G149">
        <f t="shared" si="10"/>
        <v>1</v>
      </c>
      <c r="H149">
        <f t="shared" si="11"/>
        <v>0</v>
      </c>
      <c r="I149">
        <f t="shared" si="12"/>
        <v>1</v>
      </c>
      <c r="J149">
        <f t="shared" si="13"/>
        <v>0</v>
      </c>
      <c r="K149">
        <f t="shared" si="14"/>
        <v>0</v>
      </c>
      <c r="L149" s="15" t="s">
        <v>73</v>
      </c>
    </row>
    <row r="150" spans="1:12" x14ac:dyDescent="0.2">
      <c r="A150" s="24" t="s">
        <v>100</v>
      </c>
      <c r="B150" s="28"/>
      <c r="C150" s="25">
        <v>7</v>
      </c>
      <c r="D150" s="28"/>
      <c r="E150" s="28"/>
      <c r="F150" s="25">
        <v>700</v>
      </c>
      <c r="G150">
        <f t="shared" si="10"/>
        <v>0</v>
      </c>
      <c r="H150">
        <f t="shared" si="11"/>
        <v>1</v>
      </c>
      <c r="I150">
        <f t="shared" si="12"/>
        <v>0</v>
      </c>
      <c r="J150">
        <f t="shared" si="13"/>
        <v>0</v>
      </c>
      <c r="K150">
        <f t="shared" si="14"/>
        <v>0</v>
      </c>
      <c r="L150" s="15" t="s">
        <v>42</v>
      </c>
    </row>
    <row r="151" spans="1:12" x14ac:dyDescent="0.2">
      <c r="A151" s="26" t="s">
        <v>290</v>
      </c>
      <c r="B151" s="27">
        <v>8</v>
      </c>
      <c r="C151" s="29"/>
      <c r="D151" s="29"/>
      <c r="E151" s="27">
        <v>65</v>
      </c>
      <c r="F151" s="27">
        <v>4200</v>
      </c>
      <c r="G151">
        <f t="shared" si="10"/>
        <v>1</v>
      </c>
      <c r="H151">
        <f t="shared" si="11"/>
        <v>0</v>
      </c>
      <c r="I151">
        <f t="shared" si="12"/>
        <v>0</v>
      </c>
      <c r="J151">
        <f t="shared" si="13"/>
        <v>1</v>
      </c>
      <c r="K151">
        <f t="shared" si="14"/>
        <v>0</v>
      </c>
      <c r="L151" s="15" t="s">
        <v>73</v>
      </c>
    </row>
    <row r="152" spans="1:12" x14ac:dyDescent="0.2">
      <c r="A152" s="24" t="s">
        <v>246</v>
      </c>
      <c r="B152" s="25">
        <v>10</v>
      </c>
      <c r="C152" s="28"/>
      <c r="D152" s="25">
        <v>30</v>
      </c>
      <c r="E152" s="28"/>
      <c r="F152" s="25">
        <v>5200</v>
      </c>
      <c r="G152">
        <f t="shared" si="10"/>
        <v>1</v>
      </c>
      <c r="H152">
        <f t="shared" si="11"/>
        <v>0</v>
      </c>
      <c r="I152">
        <f t="shared" si="12"/>
        <v>1</v>
      </c>
      <c r="J152">
        <f t="shared" si="13"/>
        <v>0</v>
      </c>
      <c r="K152">
        <f t="shared" si="14"/>
        <v>0</v>
      </c>
      <c r="L152" s="15" t="s">
        <v>73</v>
      </c>
    </row>
    <row r="153" spans="1:12" x14ac:dyDescent="0.2">
      <c r="A153" s="26" t="s">
        <v>46</v>
      </c>
      <c r="B153" s="27">
        <v>5</v>
      </c>
      <c r="C153" s="29"/>
      <c r="D153" s="29"/>
      <c r="E153" s="29"/>
      <c r="F153" s="27">
        <v>600</v>
      </c>
      <c r="G153">
        <f t="shared" si="10"/>
        <v>1</v>
      </c>
      <c r="H153">
        <f t="shared" si="11"/>
        <v>0</v>
      </c>
      <c r="I153">
        <f t="shared" si="12"/>
        <v>0</v>
      </c>
      <c r="J153">
        <f t="shared" si="13"/>
        <v>0</v>
      </c>
      <c r="K153">
        <f t="shared" si="14"/>
        <v>0</v>
      </c>
      <c r="L153" s="15" t="s">
        <v>42</v>
      </c>
    </row>
    <row r="154" spans="1:12" x14ac:dyDescent="0.2">
      <c r="A154" s="24" t="s">
        <v>290</v>
      </c>
      <c r="B154" s="25">
        <v>8</v>
      </c>
      <c r="C154" s="28"/>
      <c r="D154" s="28"/>
      <c r="E154" s="25">
        <v>70</v>
      </c>
      <c r="F154" s="25">
        <v>9500</v>
      </c>
      <c r="G154">
        <f t="shared" si="10"/>
        <v>1</v>
      </c>
      <c r="H154">
        <f t="shared" si="11"/>
        <v>0</v>
      </c>
      <c r="I154">
        <f t="shared" si="12"/>
        <v>0</v>
      </c>
      <c r="J154">
        <f t="shared" si="13"/>
        <v>1</v>
      </c>
      <c r="K154">
        <f t="shared" si="14"/>
        <v>0</v>
      </c>
      <c r="L154" s="15" t="s">
        <v>73</v>
      </c>
    </row>
    <row r="155" spans="1:12" x14ac:dyDescent="0.2">
      <c r="A155" s="26" t="s">
        <v>100</v>
      </c>
      <c r="B155" s="29"/>
      <c r="C155" s="27">
        <v>5</v>
      </c>
      <c r="D155" s="29"/>
      <c r="E155" s="29"/>
      <c r="F155" s="27">
        <v>600</v>
      </c>
      <c r="G155">
        <f t="shared" si="10"/>
        <v>0</v>
      </c>
      <c r="H155">
        <f t="shared" si="11"/>
        <v>1</v>
      </c>
      <c r="I155">
        <f t="shared" si="12"/>
        <v>0</v>
      </c>
      <c r="J155">
        <f t="shared" si="13"/>
        <v>0</v>
      </c>
      <c r="K155">
        <f t="shared" si="14"/>
        <v>0</v>
      </c>
      <c r="L155" s="15" t="s">
        <v>42</v>
      </c>
    </row>
    <row r="156" spans="1:12" x14ac:dyDescent="0.2">
      <c r="A156" s="24" t="s">
        <v>246</v>
      </c>
      <c r="B156" s="25">
        <v>7</v>
      </c>
      <c r="C156" s="28"/>
      <c r="D156" s="25">
        <v>26</v>
      </c>
      <c r="E156" s="28"/>
      <c r="F156" s="25">
        <v>4900</v>
      </c>
      <c r="G156">
        <f t="shared" si="10"/>
        <v>1</v>
      </c>
      <c r="H156">
        <f t="shared" si="11"/>
        <v>0</v>
      </c>
      <c r="I156">
        <f t="shared" si="12"/>
        <v>1</v>
      </c>
      <c r="J156">
        <f t="shared" si="13"/>
        <v>0</v>
      </c>
      <c r="K156">
        <f t="shared" si="14"/>
        <v>0</v>
      </c>
      <c r="L156" s="15" t="s">
        <v>73</v>
      </c>
    </row>
    <row r="157" spans="1:12" x14ac:dyDescent="0.2">
      <c r="A157" s="26" t="s">
        <v>46</v>
      </c>
      <c r="B157" s="27">
        <v>5</v>
      </c>
      <c r="C157" s="29"/>
      <c r="D157" s="29"/>
      <c r="E157" s="29"/>
      <c r="F157" s="27">
        <v>650</v>
      </c>
      <c r="G157">
        <f t="shared" si="10"/>
        <v>1</v>
      </c>
      <c r="H157">
        <f t="shared" si="11"/>
        <v>0</v>
      </c>
      <c r="I157">
        <f t="shared" si="12"/>
        <v>0</v>
      </c>
      <c r="J157">
        <f t="shared" si="13"/>
        <v>0</v>
      </c>
      <c r="K157">
        <f t="shared" si="14"/>
        <v>0</v>
      </c>
      <c r="L157" s="15" t="s">
        <v>73</v>
      </c>
    </row>
    <row r="158" spans="1:12" x14ac:dyDescent="0.2">
      <c r="A158" s="24" t="s">
        <v>46</v>
      </c>
      <c r="B158" s="25">
        <v>14</v>
      </c>
      <c r="C158" s="28"/>
      <c r="D158" s="28"/>
      <c r="E158" s="28"/>
      <c r="F158" s="25">
        <v>1700</v>
      </c>
      <c r="G158">
        <f t="shared" si="10"/>
        <v>1</v>
      </c>
      <c r="H158">
        <f t="shared" si="11"/>
        <v>0</v>
      </c>
      <c r="I158">
        <f t="shared" si="12"/>
        <v>0</v>
      </c>
      <c r="J158">
        <f t="shared" si="13"/>
        <v>0</v>
      </c>
      <c r="K158">
        <f t="shared" si="14"/>
        <v>0</v>
      </c>
      <c r="L158" s="15" t="s">
        <v>73</v>
      </c>
    </row>
    <row r="159" spans="1:12" x14ac:dyDescent="0.2">
      <c r="A159" s="26" t="s">
        <v>269</v>
      </c>
      <c r="B159" s="29"/>
      <c r="C159" s="27">
        <v>6</v>
      </c>
      <c r="D159" s="27">
        <v>23</v>
      </c>
      <c r="E159" s="29"/>
      <c r="F159" s="27">
        <v>3800</v>
      </c>
      <c r="G159">
        <f t="shared" si="10"/>
        <v>0</v>
      </c>
      <c r="H159">
        <f t="shared" si="11"/>
        <v>1</v>
      </c>
      <c r="I159">
        <f t="shared" si="12"/>
        <v>1</v>
      </c>
      <c r="J159">
        <f t="shared" si="13"/>
        <v>0</v>
      </c>
      <c r="K159">
        <f t="shared" si="14"/>
        <v>0</v>
      </c>
      <c r="L159" s="15" t="s">
        <v>42</v>
      </c>
    </row>
    <row r="160" spans="1:12" x14ac:dyDescent="0.2">
      <c r="A160" s="24" t="s">
        <v>290</v>
      </c>
      <c r="B160" s="25">
        <v>8</v>
      </c>
      <c r="C160" s="28"/>
      <c r="D160" s="28"/>
      <c r="E160" s="25">
        <v>65</v>
      </c>
      <c r="F160" s="25">
        <v>8700</v>
      </c>
      <c r="G160">
        <f t="shared" si="10"/>
        <v>1</v>
      </c>
      <c r="H160">
        <f t="shared" si="11"/>
        <v>0</v>
      </c>
      <c r="I160">
        <f t="shared" si="12"/>
        <v>0</v>
      </c>
      <c r="J160">
        <f t="shared" si="13"/>
        <v>1</v>
      </c>
      <c r="K160">
        <f t="shared" si="14"/>
        <v>0</v>
      </c>
      <c r="L160" s="15" t="s">
        <v>73</v>
      </c>
    </row>
    <row r="161" spans="1:12" x14ac:dyDescent="0.2">
      <c r="A161" s="26" t="s">
        <v>100</v>
      </c>
      <c r="B161" s="29"/>
      <c r="C161" s="27">
        <v>4</v>
      </c>
      <c r="D161" s="29"/>
      <c r="E161" s="29"/>
      <c r="F161" s="27">
        <v>500</v>
      </c>
      <c r="G161">
        <f t="shared" si="10"/>
        <v>0</v>
      </c>
      <c r="H161">
        <f t="shared" si="11"/>
        <v>1</v>
      </c>
      <c r="I161">
        <f t="shared" si="12"/>
        <v>0</v>
      </c>
      <c r="J161">
        <f t="shared" si="13"/>
        <v>0</v>
      </c>
      <c r="K161">
        <f t="shared" si="14"/>
        <v>0</v>
      </c>
      <c r="L161" s="15" t="s">
        <v>42</v>
      </c>
    </row>
    <row r="162" spans="1:12" x14ac:dyDescent="0.2">
      <c r="A162" s="24" t="s">
        <v>290</v>
      </c>
      <c r="B162" s="25">
        <v>9</v>
      </c>
      <c r="C162" s="28"/>
      <c r="D162" s="28"/>
      <c r="E162" s="25">
        <v>50</v>
      </c>
      <c r="F162" s="25">
        <v>4200</v>
      </c>
      <c r="G162">
        <f t="shared" si="10"/>
        <v>1</v>
      </c>
      <c r="H162">
        <f t="shared" si="11"/>
        <v>0</v>
      </c>
      <c r="I162">
        <f t="shared" si="12"/>
        <v>0</v>
      </c>
      <c r="J162">
        <f t="shared" si="13"/>
        <v>1</v>
      </c>
      <c r="K162">
        <f t="shared" si="14"/>
        <v>0</v>
      </c>
      <c r="L162" s="15" t="s">
        <v>73</v>
      </c>
    </row>
    <row r="163" spans="1:12" x14ac:dyDescent="0.2">
      <c r="A163" s="26" t="s">
        <v>100</v>
      </c>
      <c r="B163" s="29"/>
      <c r="C163" s="27">
        <v>5</v>
      </c>
      <c r="D163" s="29"/>
      <c r="E163" s="29"/>
      <c r="F163" s="27">
        <v>1000</v>
      </c>
      <c r="G163">
        <f t="shared" si="10"/>
        <v>0</v>
      </c>
      <c r="H163">
        <f t="shared" si="11"/>
        <v>1</v>
      </c>
      <c r="I163">
        <f t="shared" si="12"/>
        <v>0</v>
      </c>
      <c r="J163">
        <f t="shared" si="13"/>
        <v>0</v>
      </c>
      <c r="K163">
        <f t="shared" si="14"/>
        <v>0</v>
      </c>
      <c r="L163" s="15" t="s">
        <v>42</v>
      </c>
    </row>
    <row r="164" spans="1:12" x14ac:dyDescent="0.2">
      <c r="A164" s="24" t="s">
        <v>246</v>
      </c>
      <c r="B164" s="25">
        <v>7</v>
      </c>
      <c r="C164" s="28"/>
      <c r="D164" s="25">
        <v>20</v>
      </c>
      <c r="E164" s="28"/>
      <c r="F164" s="25">
        <v>4800</v>
      </c>
      <c r="G164">
        <f t="shared" si="10"/>
        <v>1</v>
      </c>
      <c r="H164">
        <f t="shared" si="11"/>
        <v>0</v>
      </c>
      <c r="I164">
        <f t="shared" si="12"/>
        <v>1</v>
      </c>
      <c r="J164">
        <f t="shared" si="13"/>
        <v>0</v>
      </c>
      <c r="K164">
        <f t="shared" si="14"/>
        <v>0</v>
      </c>
      <c r="L164" s="15" t="s">
        <v>73</v>
      </c>
    </row>
    <row r="165" spans="1:12" x14ac:dyDescent="0.2">
      <c r="A165" s="26" t="s">
        <v>100</v>
      </c>
      <c r="B165" s="29"/>
      <c r="C165" s="27">
        <v>6</v>
      </c>
      <c r="D165" s="29"/>
      <c r="E165" s="29"/>
      <c r="F165" s="27">
        <v>900</v>
      </c>
      <c r="G165">
        <f t="shared" si="10"/>
        <v>0</v>
      </c>
      <c r="H165">
        <f t="shared" si="11"/>
        <v>1</v>
      </c>
      <c r="I165">
        <f t="shared" si="12"/>
        <v>0</v>
      </c>
      <c r="J165">
        <f t="shared" si="13"/>
        <v>0</v>
      </c>
      <c r="K165">
        <f t="shared" si="14"/>
        <v>0</v>
      </c>
      <c r="L165" s="15" t="s">
        <v>42</v>
      </c>
    </row>
    <row r="166" spans="1:12" x14ac:dyDescent="0.2">
      <c r="A166" s="24" t="s">
        <v>309</v>
      </c>
      <c r="B166" s="25">
        <v>6</v>
      </c>
      <c r="C166" s="28"/>
      <c r="D166" s="25">
        <v>18</v>
      </c>
      <c r="E166" s="25">
        <v>40</v>
      </c>
      <c r="F166" s="25">
        <v>9200</v>
      </c>
      <c r="G166">
        <f t="shared" si="10"/>
        <v>1</v>
      </c>
      <c r="H166">
        <f t="shared" si="11"/>
        <v>0</v>
      </c>
      <c r="I166">
        <f t="shared" si="12"/>
        <v>1</v>
      </c>
      <c r="J166">
        <f t="shared" si="13"/>
        <v>1</v>
      </c>
      <c r="K166">
        <f t="shared" si="14"/>
        <v>0</v>
      </c>
      <c r="L166" s="15" t="s">
        <v>73</v>
      </c>
    </row>
    <row r="167" spans="1:12" x14ac:dyDescent="0.2">
      <c r="A167" s="26" t="s">
        <v>431</v>
      </c>
      <c r="B167" s="29"/>
      <c r="C167" s="29"/>
      <c r="D167" s="27">
        <v>25</v>
      </c>
      <c r="E167" s="29"/>
      <c r="F167" s="27">
        <v>3500</v>
      </c>
      <c r="G167">
        <f t="shared" si="10"/>
        <v>0</v>
      </c>
      <c r="H167">
        <f t="shared" si="11"/>
        <v>0</v>
      </c>
      <c r="I167">
        <f t="shared" si="12"/>
        <v>1</v>
      </c>
      <c r="J167">
        <f t="shared" si="13"/>
        <v>0</v>
      </c>
      <c r="K167">
        <f t="shared" si="14"/>
        <v>0</v>
      </c>
      <c r="L167" s="15" t="s">
        <v>42</v>
      </c>
    </row>
    <row r="168" spans="1:12" x14ac:dyDescent="0.2">
      <c r="A168" s="24" t="s">
        <v>290</v>
      </c>
      <c r="B168" s="25">
        <v>5</v>
      </c>
      <c r="C168" s="28"/>
      <c r="D168" s="28"/>
      <c r="E168" s="25">
        <v>35</v>
      </c>
      <c r="F168" s="25">
        <v>4000</v>
      </c>
      <c r="G168">
        <f t="shared" si="10"/>
        <v>1</v>
      </c>
      <c r="H168">
        <f t="shared" si="11"/>
        <v>0</v>
      </c>
      <c r="I168">
        <f t="shared" si="12"/>
        <v>0</v>
      </c>
      <c r="J168">
        <f t="shared" si="13"/>
        <v>1</v>
      </c>
      <c r="K168">
        <f t="shared" si="14"/>
        <v>0</v>
      </c>
      <c r="L168" s="15" t="s">
        <v>73</v>
      </c>
    </row>
    <row r="169" spans="1:12" x14ac:dyDescent="0.2">
      <c r="A169" s="26" t="s">
        <v>100</v>
      </c>
      <c r="B169" s="29"/>
      <c r="C169" s="27">
        <v>8</v>
      </c>
      <c r="D169" s="29"/>
      <c r="E169" s="29"/>
      <c r="F169" s="27">
        <v>1600</v>
      </c>
      <c r="G169">
        <f t="shared" si="10"/>
        <v>0</v>
      </c>
      <c r="H169">
        <f t="shared" si="11"/>
        <v>1</v>
      </c>
      <c r="I169">
        <f t="shared" si="12"/>
        <v>0</v>
      </c>
      <c r="J169">
        <f t="shared" si="13"/>
        <v>0</v>
      </c>
      <c r="K169">
        <f t="shared" si="14"/>
        <v>0</v>
      </c>
      <c r="L169" s="15" t="s">
        <v>42</v>
      </c>
    </row>
    <row r="170" spans="1:12" x14ac:dyDescent="0.2">
      <c r="A170" s="24" t="s">
        <v>309</v>
      </c>
      <c r="B170" s="25">
        <v>8</v>
      </c>
      <c r="C170" s="28"/>
      <c r="D170" s="25">
        <v>30</v>
      </c>
      <c r="E170" s="25">
        <v>40</v>
      </c>
      <c r="F170" s="25">
        <v>12000</v>
      </c>
      <c r="G170">
        <f t="shared" si="10"/>
        <v>1</v>
      </c>
      <c r="H170">
        <f t="shared" si="11"/>
        <v>0</v>
      </c>
      <c r="I170">
        <f t="shared" si="12"/>
        <v>1</v>
      </c>
      <c r="J170">
        <f t="shared" si="13"/>
        <v>1</v>
      </c>
      <c r="K170">
        <f t="shared" si="14"/>
        <v>0</v>
      </c>
      <c r="L170" s="15" t="s">
        <v>73</v>
      </c>
    </row>
    <row r="171" spans="1:12" x14ac:dyDescent="0.2">
      <c r="A171" s="26" t="s">
        <v>100</v>
      </c>
      <c r="B171" s="29"/>
      <c r="C171" s="27">
        <v>5</v>
      </c>
      <c r="D171" s="29"/>
      <c r="E171" s="29"/>
      <c r="F171" s="27">
        <v>850</v>
      </c>
      <c r="G171">
        <f t="shared" si="10"/>
        <v>0</v>
      </c>
      <c r="H171">
        <f t="shared" si="11"/>
        <v>1</v>
      </c>
      <c r="I171">
        <f t="shared" si="12"/>
        <v>0</v>
      </c>
      <c r="J171">
        <f t="shared" si="13"/>
        <v>0</v>
      </c>
      <c r="K171">
        <f t="shared" si="14"/>
        <v>0</v>
      </c>
      <c r="L171" s="15" t="s">
        <v>42</v>
      </c>
    </row>
    <row r="172" spans="1:12" x14ac:dyDescent="0.2">
      <c r="A172" s="24" t="s">
        <v>246</v>
      </c>
      <c r="B172" s="25">
        <v>10</v>
      </c>
      <c r="C172" s="28"/>
      <c r="D172" s="25">
        <v>30</v>
      </c>
      <c r="E172" s="28"/>
      <c r="F172" s="25">
        <v>6000</v>
      </c>
      <c r="G172">
        <f t="shared" si="10"/>
        <v>1</v>
      </c>
      <c r="H172">
        <f t="shared" si="11"/>
        <v>0</v>
      </c>
      <c r="I172">
        <f t="shared" si="12"/>
        <v>1</v>
      </c>
      <c r="J172">
        <f t="shared" si="13"/>
        <v>0</v>
      </c>
      <c r="K172">
        <f t="shared" si="14"/>
        <v>0</v>
      </c>
      <c r="L172" s="15" t="s">
        <v>73</v>
      </c>
    </row>
    <row r="173" spans="1:12" x14ac:dyDescent="0.2">
      <c r="A173" s="26" t="s">
        <v>46</v>
      </c>
      <c r="B173" s="27">
        <v>4</v>
      </c>
      <c r="C173" s="29"/>
      <c r="D173" s="29"/>
      <c r="E173" s="29"/>
      <c r="F173" s="27">
        <v>550</v>
      </c>
      <c r="G173">
        <f t="shared" si="10"/>
        <v>1</v>
      </c>
      <c r="H173">
        <f t="shared" si="11"/>
        <v>0</v>
      </c>
      <c r="I173">
        <f t="shared" si="12"/>
        <v>0</v>
      </c>
      <c r="J173">
        <f t="shared" si="13"/>
        <v>0</v>
      </c>
      <c r="K173">
        <f t="shared" si="14"/>
        <v>0</v>
      </c>
      <c r="L173" s="15" t="s">
        <v>42</v>
      </c>
    </row>
    <row r="174" spans="1:12" x14ac:dyDescent="0.2">
      <c r="A174" s="24" t="s">
        <v>435</v>
      </c>
      <c r="B174" s="25">
        <v>6</v>
      </c>
      <c r="C174" s="28"/>
      <c r="D174" s="25">
        <v>35</v>
      </c>
      <c r="E174" s="28"/>
      <c r="F174" s="25">
        <v>9000</v>
      </c>
      <c r="G174">
        <f t="shared" si="10"/>
        <v>1</v>
      </c>
      <c r="H174">
        <f t="shared" si="11"/>
        <v>0</v>
      </c>
      <c r="I174">
        <f t="shared" si="12"/>
        <v>1</v>
      </c>
      <c r="J174">
        <f t="shared" si="13"/>
        <v>0</v>
      </c>
      <c r="K174">
        <f t="shared" si="14"/>
        <v>1</v>
      </c>
      <c r="L174" s="15" t="s">
        <v>73</v>
      </c>
    </row>
    <row r="175" spans="1:12" x14ac:dyDescent="0.2">
      <c r="A175" s="26" t="s">
        <v>269</v>
      </c>
      <c r="B175" s="29"/>
      <c r="C175" s="27">
        <v>5</v>
      </c>
      <c r="D175" s="27">
        <v>28</v>
      </c>
      <c r="E175" s="29"/>
      <c r="F175" s="27">
        <v>5000</v>
      </c>
      <c r="G175">
        <f t="shared" si="10"/>
        <v>0</v>
      </c>
      <c r="H175">
        <f t="shared" si="11"/>
        <v>1</v>
      </c>
      <c r="I175">
        <f t="shared" si="12"/>
        <v>1</v>
      </c>
      <c r="J175">
        <f t="shared" si="13"/>
        <v>0</v>
      </c>
      <c r="K175">
        <f t="shared" si="14"/>
        <v>0</v>
      </c>
      <c r="L175" s="15" t="s">
        <v>42</v>
      </c>
    </row>
    <row r="176" spans="1:12" x14ac:dyDescent="0.2">
      <c r="A176" s="24" t="s">
        <v>46</v>
      </c>
      <c r="B176" s="25">
        <v>12</v>
      </c>
      <c r="C176" s="28"/>
      <c r="D176" s="28"/>
      <c r="E176" s="28"/>
      <c r="F176" s="25">
        <v>1500</v>
      </c>
      <c r="G176">
        <f t="shared" si="10"/>
        <v>1</v>
      </c>
      <c r="H176">
        <f t="shared" si="11"/>
        <v>0</v>
      </c>
      <c r="I176">
        <f t="shared" si="12"/>
        <v>0</v>
      </c>
      <c r="J176">
        <f t="shared" si="13"/>
        <v>0</v>
      </c>
      <c r="K176">
        <f t="shared" si="14"/>
        <v>0</v>
      </c>
      <c r="L176" s="15" t="s">
        <v>73</v>
      </c>
    </row>
    <row r="177" spans="1:12" x14ac:dyDescent="0.2">
      <c r="A177" s="26" t="s">
        <v>100</v>
      </c>
      <c r="B177" s="29"/>
      <c r="C177" s="27">
        <v>4</v>
      </c>
      <c r="D177" s="29"/>
      <c r="E177" s="29"/>
      <c r="F177" s="27">
        <v>550</v>
      </c>
      <c r="G177">
        <f t="shared" si="10"/>
        <v>0</v>
      </c>
      <c r="H177">
        <f t="shared" si="11"/>
        <v>1</v>
      </c>
      <c r="I177">
        <f t="shared" si="12"/>
        <v>0</v>
      </c>
      <c r="J177">
        <f t="shared" si="13"/>
        <v>0</v>
      </c>
      <c r="K177">
        <f t="shared" si="14"/>
        <v>0</v>
      </c>
      <c r="L177" s="15" t="s">
        <v>42</v>
      </c>
    </row>
    <row r="178" spans="1:12" x14ac:dyDescent="0.2">
      <c r="A178" s="24" t="s">
        <v>290</v>
      </c>
      <c r="B178" s="25">
        <v>7</v>
      </c>
      <c r="C178" s="28"/>
      <c r="D178" s="28"/>
      <c r="E178" s="25">
        <v>55</v>
      </c>
      <c r="F178" s="25">
        <v>7000</v>
      </c>
      <c r="G178">
        <f t="shared" si="10"/>
        <v>1</v>
      </c>
      <c r="H178">
        <f t="shared" si="11"/>
        <v>0</v>
      </c>
      <c r="I178">
        <f t="shared" si="12"/>
        <v>0</v>
      </c>
      <c r="J178">
        <f t="shared" si="13"/>
        <v>1</v>
      </c>
      <c r="K178">
        <f t="shared" si="14"/>
        <v>0</v>
      </c>
      <c r="L178" s="15" t="s">
        <v>73</v>
      </c>
    </row>
    <row r="179" spans="1:12" x14ac:dyDescent="0.2">
      <c r="A179" s="26" t="s">
        <v>46</v>
      </c>
      <c r="B179" s="27">
        <v>13</v>
      </c>
      <c r="C179" s="29"/>
      <c r="D179" s="29"/>
      <c r="E179" s="29"/>
      <c r="F179" s="27">
        <v>1600</v>
      </c>
      <c r="G179">
        <f t="shared" si="10"/>
        <v>1</v>
      </c>
      <c r="H179">
        <f t="shared" si="11"/>
        <v>0</v>
      </c>
      <c r="I179">
        <f t="shared" si="12"/>
        <v>0</v>
      </c>
      <c r="J179">
        <f t="shared" si="13"/>
        <v>0</v>
      </c>
      <c r="K179">
        <f t="shared" si="14"/>
        <v>0</v>
      </c>
      <c r="L179" s="15" t="s">
        <v>73</v>
      </c>
    </row>
    <row r="180" spans="1:12" x14ac:dyDescent="0.2">
      <c r="A180" s="24" t="s">
        <v>100</v>
      </c>
      <c r="B180" s="28"/>
      <c r="C180" s="25">
        <v>5</v>
      </c>
      <c r="D180" s="28"/>
      <c r="E180" s="28"/>
      <c r="F180" s="25">
        <v>600</v>
      </c>
      <c r="G180">
        <f t="shared" si="10"/>
        <v>0</v>
      </c>
      <c r="H180">
        <f t="shared" si="11"/>
        <v>1</v>
      </c>
      <c r="I180">
        <f t="shared" si="12"/>
        <v>0</v>
      </c>
      <c r="J180">
        <f t="shared" si="13"/>
        <v>0</v>
      </c>
      <c r="K180">
        <f t="shared" si="14"/>
        <v>0</v>
      </c>
      <c r="L180" s="15" t="s">
        <v>42</v>
      </c>
    </row>
    <row r="181" spans="1:12" x14ac:dyDescent="0.2">
      <c r="A181" s="50" t="s">
        <v>1501</v>
      </c>
      <c r="B181" s="27">
        <v>7</v>
      </c>
      <c r="C181" s="29"/>
      <c r="D181" s="29"/>
      <c r="E181" s="27">
        <v>70</v>
      </c>
      <c r="F181" s="27">
        <v>9000</v>
      </c>
      <c r="G181">
        <f t="shared" si="10"/>
        <v>1</v>
      </c>
      <c r="H181">
        <f t="shared" si="11"/>
        <v>0</v>
      </c>
      <c r="I181">
        <f t="shared" si="12"/>
        <v>0</v>
      </c>
      <c r="J181">
        <f t="shared" si="13"/>
        <v>1</v>
      </c>
      <c r="K181">
        <f t="shared" si="14"/>
        <v>0</v>
      </c>
      <c r="L181" s="15" t="s">
        <v>73</v>
      </c>
    </row>
    <row r="182" spans="1:12" x14ac:dyDescent="0.2">
      <c r="A182" s="24" t="s">
        <v>269</v>
      </c>
      <c r="B182" s="28"/>
      <c r="C182" s="25">
        <v>4</v>
      </c>
      <c r="D182" s="25">
        <v>28</v>
      </c>
      <c r="E182" s="28"/>
      <c r="F182" s="25">
        <v>5200</v>
      </c>
      <c r="G182">
        <f t="shared" si="10"/>
        <v>0</v>
      </c>
      <c r="H182">
        <f t="shared" si="11"/>
        <v>1</v>
      </c>
      <c r="I182">
        <f t="shared" si="12"/>
        <v>1</v>
      </c>
      <c r="J182">
        <f t="shared" si="13"/>
        <v>0</v>
      </c>
      <c r="K182">
        <f t="shared" si="14"/>
        <v>0</v>
      </c>
      <c r="L182" s="15" t="s">
        <v>42</v>
      </c>
    </row>
    <row r="183" spans="1:12" x14ac:dyDescent="0.2">
      <c r="A183" s="26" t="s">
        <v>46</v>
      </c>
      <c r="B183" s="27">
        <v>15</v>
      </c>
      <c r="C183" s="29"/>
      <c r="D183" s="29"/>
      <c r="E183" s="29"/>
      <c r="F183" s="27">
        <v>1800</v>
      </c>
      <c r="G183">
        <f t="shared" si="10"/>
        <v>1</v>
      </c>
      <c r="H183">
        <f t="shared" si="11"/>
        <v>0</v>
      </c>
      <c r="I183">
        <f t="shared" si="12"/>
        <v>0</v>
      </c>
      <c r="J183">
        <f t="shared" si="13"/>
        <v>0</v>
      </c>
      <c r="K183">
        <f t="shared" si="14"/>
        <v>0</v>
      </c>
      <c r="L183" s="15" t="s">
        <v>73</v>
      </c>
    </row>
    <row r="184" spans="1:12" x14ac:dyDescent="0.2">
      <c r="A184" s="24" t="s">
        <v>309</v>
      </c>
      <c r="B184" s="25">
        <v>9</v>
      </c>
      <c r="C184" s="28"/>
      <c r="D184" s="25">
        <v>32</v>
      </c>
      <c r="E184" s="25">
        <v>80</v>
      </c>
      <c r="F184" s="25">
        <v>14000</v>
      </c>
      <c r="G184">
        <f t="shared" si="10"/>
        <v>1</v>
      </c>
      <c r="H184">
        <f t="shared" si="11"/>
        <v>0</v>
      </c>
      <c r="I184">
        <f t="shared" si="12"/>
        <v>1</v>
      </c>
      <c r="J184">
        <f t="shared" si="13"/>
        <v>1</v>
      </c>
      <c r="K184">
        <f t="shared" si="14"/>
        <v>0</v>
      </c>
      <c r="L184" s="15" t="s">
        <v>73</v>
      </c>
    </row>
    <row r="185" spans="1:12" x14ac:dyDescent="0.2">
      <c r="A185" s="26" t="s">
        <v>100</v>
      </c>
      <c r="B185" s="29"/>
      <c r="C185" s="27">
        <v>4</v>
      </c>
      <c r="D185" s="29"/>
      <c r="E185" s="29"/>
      <c r="F185" s="27">
        <v>500</v>
      </c>
      <c r="G185">
        <f t="shared" si="10"/>
        <v>0</v>
      </c>
      <c r="H185">
        <f t="shared" si="11"/>
        <v>1</v>
      </c>
      <c r="I185">
        <f t="shared" si="12"/>
        <v>0</v>
      </c>
      <c r="J185">
        <f t="shared" si="13"/>
        <v>0</v>
      </c>
      <c r="K185">
        <f t="shared" si="14"/>
        <v>0</v>
      </c>
      <c r="L185" s="15" t="s">
        <v>42</v>
      </c>
    </row>
    <row r="186" spans="1:12" x14ac:dyDescent="0.2">
      <c r="A186" s="24" t="s">
        <v>46</v>
      </c>
      <c r="B186" s="25">
        <v>7</v>
      </c>
      <c r="C186" s="28"/>
      <c r="D186" s="28"/>
      <c r="E186" s="28"/>
      <c r="F186" s="25">
        <v>850</v>
      </c>
      <c r="G186">
        <f t="shared" si="10"/>
        <v>1</v>
      </c>
      <c r="H186">
        <f t="shared" si="11"/>
        <v>0</v>
      </c>
      <c r="I186">
        <f t="shared" si="12"/>
        <v>0</v>
      </c>
      <c r="J186">
        <f t="shared" si="13"/>
        <v>0</v>
      </c>
      <c r="K186">
        <f t="shared" si="14"/>
        <v>0</v>
      </c>
      <c r="L186" s="15" t="s">
        <v>73</v>
      </c>
    </row>
    <row r="187" spans="1:12" x14ac:dyDescent="0.2">
      <c r="A187" s="26" t="s">
        <v>100</v>
      </c>
      <c r="B187" s="29"/>
      <c r="C187" s="27">
        <v>4</v>
      </c>
      <c r="D187" s="29"/>
      <c r="E187" s="29"/>
      <c r="F187" s="27">
        <v>450</v>
      </c>
      <c r="G187">
        <f t="shared" si="10"/>
        <v>0</v>
      </c>
      <c r="H187">
        <f t="shared" si="11"/>
        <v>1</v>
      </c>
      <c r="I187">
        <f t="shared" si="12"/>
        <v>0</v>
      </c>
      <c r="J187">
        <f t="shared" si="13"/>
        <v>0</v>
      </c>
      <c r="K187">
        <f t="shared" si="14"/>
        <v>0</v>
      </c>
      <c r="L187" s="15" t="s">
        <v>42</v>
      </c>
    </row>
    <row r="188" spans="1:12" x14ac:dyDescent="0.2">
      <c r="A188" s="24" t="s">
        <v>100</v>
      </c>
      <c r="B188" s="28"/>
      <c r="C188" s="25">
        <v>6</v>
      </c>
      <c r="D188" s="28"/>
      <c r="E188" s="28"/>
      <c r="F188" s="25">
        <v>750</v>
      </c>
      <c r="G188">
        <f t="shared" si="10"/>
        <v>0</v>
      </c>
      <c r="H188">
        <f t="shared" si="11"/>
        <v>1</v>
      </c>
      <c r="I188">
        <f t="shared" si="12"/>
        <v>0</v>
      </c>
      <c r="J188">
        <f t="shared" si="13"/>
        <v>0</v>
      </c>
      <c r="K188">
        <f t="shared" si="14"/>
        <v>0</v>
      </c>
      <c r="L188" s="15" t="s">
        <v>42</v>
      </c>
    </row>
    <row r="189" spans="1:12" x14ac:dyDescent="0.2">
      <c r="A189" s="26" t="s">
        <v>290</v>
      </c>
      <c r="B189" s="27">
        <v>9</v>
      </c>
      <c r="C189" s="29"/>
      <c r="D189" s="29"/>
      <c r="E189" s="27">
        <v>62</v>
      </c>
      <c r="F189" s="27">
        <v>8200</v>
      </c>
      <c r="G189">
        <f t="shared" si="10"/>
        <v>1</v>
      </c>
      <c r="H189">
        <f t="shared" si="11"/>
        <v>0</v>
      </c>
      <c r="I189">
        <f t="shared" si="12"/>
        <v>0</v>
      </c>
      <c r="J189">
        <f t="shared" si="13"/>
        <v>1</v>
      </c>
      <c r="K189">
        <f t="shared" si="14"/>
        <v>0</v>
      </c>
      <c r="L189" s="15" t="s">
        <v>73</v>
      </c>
    </row>
    <row r="190" spans="1:12" x14ac:dyDescent="0.2">
      <c r="A190" s="24" t="s">
        <v>46</v>
      </c>
      <c r="B190" s="25">
        <v>5</v>
      </c>
      <c r="C190" s="28"/>
      <c r="D190" s="28"/>
      <c r="E190" s="28"/>
      <c r="F190" s="25">
        <v>1500</v>
      </c>
      <c r="G190">
        <f t="shared" si="10"/>
        <v>1</v>
      </c>
      <c r="H190">
        <f t="shared" si="11"/>
        <v>0</v>
      </c>
      <c r="I190">
        <f t="shared" si="12"/>
        <v>0</v>
      </c>
      <c r="J190">
        <f t="shared" si="13"/>
        <v>0</v>
      </c>
      <c r="K190">
        <f t="shared" si="14"/>
        <v>0</v>
      </c>
      <c r="L190" s="15" t="s">
        <v>42</v>
      </c>
    </row>
    <row r="191" spans="1:12" x14ac:dyDescent="0.2">
      <c r="A191" s="26" t="s">
        <v>61</v>
      </c>
      <c r="B191" s="27">
        <v>20</v>
      </c>
      <c r="C191" s="27">
        <v>11</v>
      </c>
      <c r="D191" s="29"/>
      <c r="E191" s="29"/>
      <c r="F191" s="27">
        <v>3000</v>
      </c>
      <c r="G191">
        <f t="shared" si="10"/>
        <v>1</v>
      </c>
      <c r="H191">
        <f t="shared" si="11"/>
        <v>1</v>
      </c>
      <c r="I191">
        <f t="shared" si="12"/>
        <v>0</v>
      </c>
      <c r="J191">
        <f t="shared" si="13"/>
        <v>0</v>
      </c>
      <c r="K191">
        <f t="shared" si="14"/>
        <v>0</v>
      </c>
      <c r="L191" s="15" t="s">
        <v>73</v>
      </c>
    </row>
    <row r="192" spans="1:12" x14ac:dyDescent="0.2">
      <c r="A192" s="24" t="s">
        <v>100</v>
      </c>
      <c r="B192" s="28"/>
      <c r="C192" s="25">
        <v>10</v>
      </c>
      <c r="D192" s="28"/>
      <c r="E192" s="28"/>
      <c r="F192" s="25">
        <v>500</v>
      </c>
      <c r="G192">
        <f t="shared" si="10"/>
        <v>0</v>
      </c>
      <c r="H192">
        <f t="shared" si="11"/>
        <v>1</v>
      </c>
      <c r="I192">
        <f t="shared" si="12"/>
        <v>0</v>
      </c>
      <c r="J192">
        <f t="shared" si="13"/>
        <v>0</v>
      </c>
      <c r="K192">
        <f t="shared" si="14"/>
        <v>0</v>
      </c>
      <c r="L192" s="15" t="s">
        <v>42</v>
      </c>
    </row>
    <row r="193" spans="1:12" x14ac:dyDescent="0.2">
      <c r="A193" s="26" t="s">
        <v>46</v>
      </c>
      <c r="B193" s="27">
        <v>20</v>
      </c>
      <c r="C193" s="29"/>
      <c r="D193" s="29"/>
      <c r="E193" s="29"/>
      <c r="F193" s="27">
        <v>20000</v>
      </c>
      <c r="G193">
        <f t="shared" si="10"/>
        <v>1</v>
      </c>
      <c r="H193">
        <f t="shared" si="11"/>
        <v>0</v>
      </c>
      <c r="I193">
        <f t="shared" si="12"/>
        <v>0</v>
      </c>
      <c r="J193">
        <f t="shared" si="13"/>
        <v>0</v>
      </c>
      <c r="K193">
        <f t="shared" si="14"/>
        <v>0</v>
      </c>
      <c r="L193" s="15" t="s">
        <v>42</v>
      </c>
    </row>
    <row r="194" spans="1:12" x14ac:dyDescent="0.2">
      <c r="A194" s="24" t="s">
        <v>431</v>
      </c>
      <c r="B194" s="28"/>
      <c r="C194" s="28"/>
      <c r="D194" s="28">
        <v>24</v>
      </c>
      <c r="E194" s="25"/>
      <c r="F194" s="28">
        <v>850</v>
      </c>
      <c r="G194">
        <f t="shared" si="10"/>
        <v>0</v>
      </c>
      <c r="H194">
        <f t="shared" si="11"/>
        <v>0</v>
      </c>
      <c r="I194">
        <f t="shared" si="12"/>
        <v>1</v>
      </c>
      <c r="J194">
        <f t="shared" si="13"/>
        <v>0</v>
      </c>
      <c r="K194">
        <f t="shared" si="14"/>
        <v>0</v>
      </c>
      <c r="L194" s="15" t="s">
        <v>42</v>
      </c>
    </row>
    <row r="195" spans="1:12" x14ac:dyDescent="0.2">
      <c r="A195" s="26" t="s">
        <v>100</v>
      </c>
      <c r="B195" s="29"/>
      <c r="C195" s="27">
        <v>20</v>
      </c>
      <c r="D195" s="29"/>
      <c r="E195" s="29"/>
      <c r="F195" s="29">
        <v>1000</v>
      </c>
      <c r="G195">
        <f t="shared" ref="G195:G258" si="15">IF(ISNUMBER(SEARCH("bike",A195)),1,0)</f>
        <v>0</v>
      </c>
      <c r="H195">
        <f t="shared" ref="H195:H258" si="16">IF(ISNUMBER(SEARCH("Scooty",A195)),1,0)</f>
        <v>1</v>
      </c>
      <c r="I195">
        <f t="shared" ref="I195:I258" si="17">IF(ISNUMBER(SEARCH("Car",A195)),1,0)</f>
        <v>0</v>
      </c>
      <c r="J195">
        <f t="shared" ref="J195:J258" si="18">IF(ISNUMBER(SEARCH("Commercial vehicle",A195)),1,0)</f>
        <v>0</v>
      </c>
      <c r="K195">
        <f t="shared" ref="K195:K258" si="19">IF(ISNUMBER(SEARCH("Electric Vehicle",A195)),1,0)</f>
        <v>0</v>
      </c>
      <c r="L195" s="15" t="s">
        <v>42</v>
      </c>
    </row>
    <row r="196" spans="1:12" x14ac:dyDescent="0.2">
      <c r="A196" s="24" t="s">
        <v>61</v>
      </c>
      <c r="B196" s="25">
        <v>90</v>
      </c>
      <c r="C196" s="25">
        <v>15</v>
      </c>
      <c r="D196" s="28"/>
      <c r="E196" s="28"/>
      <c r="F196" s="25">
        <v>10000</v>
      </c>
      <c r="G196">
        <f t="shared" si="15"/>
        <v>1</v>
      </c>
      <c r="H196">
        <f t="shared" si="16"/>
        <v>1</v>
      </c>
      <c r="I196">
        <f t="shared" si="17"/>
        <v>0</v>
      </c>
      <c r="J196">
        <f t="shared" si="18"/>
        <v>0</v>
      </c>
      <c r="K196">
        <f t="shared" si="19"/>
        <v>0</v>
      </c>
      <c r="L196" s="15" t="s">
        <v>42</v>
      </c>
    </row>
    <row r="197" spans="1:12" x14ac:dyDescent="0.2">
      <c r="A197" s="26" t="s">
        <v>46</v>
      </c>
      <c r="B197" s="27">
        <v>10</v>
      </c>
      <c r="C197" s="29"/>
      <c r="D197" s="29"/>
      <c r="E197" s="29"/>
      <c r="F197" s="27">
        <v>1000</v>
      </c>
      <c r="G197">
        <f t="shared" si="15"/>
        <v>1</v>
      </c>
      <c r="H197">
        <f t="shared" si="16"/>
        <v>0</v>
      </c>
      <c r="I197">
        <f t="shared" si="17"/>
        <v>0</v>
      </c>
      <c r="J197">
        <f t="shared" si="18"/>
        <v>0</v>
      </c>
      <c r="K197">
        <f t="shared" si="19"/>
        <v>0</v>
      </c>
      <c r="L197" s="15" t="s">
        <v>42</v>
      </c>
    </row>
    <row r="198" spans="1:12" x14ac:dyDescent="0.2">
      <c r="A198" s="24" t="s">
        <v>61</v>
      </c>
      <c r="B198" s="25">
        <v>30</v>
      </c>
      <c r="C198" s="25">
        <v>19</v>
      </c>
      <c r="D198" s="28"/>
      <c r="E198" s="28"/>
      <c r="F198" s="25">
        <v>5500</v>
      </c>
      <c r="G198">
        <f t="shared" si="15"/>
        <v>1</v>
      </c>
      <c r="H198">
        <f t="shared" si="16"/>
        <v>1</v>
      </c>
      <c r="I198">
        <f t="shared" si="17"/>
        <v>0</v>
      </c>
      <c r="J198">
        <f t="shared" si="18"/>
        <v>0</v>
      </c>
      <c r="K198">
        <f t="shared" si="19"/>
        <v>0</v>
      </c>
      <c r="L198" s="15" t="s">
        <v>73</v>
      </c>
    </row>
    <row r="199" spans="1:12" x14ac:dyDescent="0.2">
      <c r="A199" s="26" t="s">
        <v>100</v>
      </c>
      <c r="B199" s="29"/>
      <c r="C199" s="27">
        <v>4</v>
      </c>
      <c r="D199" s="29"/>
      <c r="E199" s="29"/>
      <c r="F199" s="27">
        <v>400</v>
      </c>
      <c r="G199">
        <f t="shared" si="15"/>
        <v>0</v>
      </c>
      <c r="H199">
        <f t="shared" si="16"/>
        <v>1</v>
      </c>
      <c r="I199">
        <f t="shared" si="17"/>
        <v>0</v>
      </c>
      <c r="J199">
        <f t="shared" si="18"/>
        <v>0</v>
      </c>
      <c r="K199">
        <f t="shared" si="19"/>
        <v>0</v>
      </c>
      <c r="L199" s="15" t="s">
        <v>42</v>
      </c>
    </row>
    <row r="200" spans="1:12" x14ac:dyDescent="0.2">
      <c r="A200" s="24" t="s">
        <v>390</v>
      </c>
      <c r="B200" s="25">
        <v>30</v>
      </c>
      <c r="C200" s="25">
        <v>15</v>
      </c>
      <c r="D200" s="25">
        <v>45</v>
      </c>
      <c r="E200" s="28"/>
      <c r="F200" s="25">
        <v>7000</v>
      </c>
      <c r="G200">
        <f t="shared" si="15"/>
        <v>1</v>
      </c>
      <c r="H200">
        <f t="shared" si="16"/>
        <v>1</v>
      </c>
      <c r="I200">
        <f t="shared" si="17"/>
        <v>1</v>
      </c>
      <c r="J200">
        <f t="shared" si="18"/>
        <v>0</v>
      </c>
      <c r="K200">
        <f t="shared" si="19"/>
        <v>0</v>
      </c>
      <c r="L200" s="15" t="s">
        <v>42</v>
      </c>
    </row>
    <row r="201" spans="1:12" x14ac:dyDescent="0.2">
      <c r="A201" s="26" t="s">
        <v>46</v>
      </c>
      <c r="B201" s="29">
        <v>8</v>
      </c>
      <c r="C201" s="29"/>
      <c r="D201" s="29"/>
      <c r="E201" s="29"/>
      <c r="F201" s="29">
        <v>850</v>
      </c>
      <c r="G201">
        <f t="shared" si="15"/>
        <v>1</v>
      </c>
      <c r="H201">
        <f t="shared" si="16"/>
        <v>0</v>
      </c>
      <c r="I201">
        <f t="shared" si="17"/>
        <v>0</v>
      </c>
      <c r="J201">
        <f t="shared" si="18"/>
        <v>0</v>
      </c>
      <c r="K201">
        <f t="shared" si="19"/>
        <v>0</v>
      </c>
      <c r="L201" s="15" t="s">
        <v>42</v>
      </c>
    </row>
    <row r="202" spans="1:12" x14ac:dyDescent="0.2">
      <c r="A202" s="24" t="s">
        <v>390</v>
      </c>
      <c r="B202" s="25">
        <v>30</v>
      </c>
      <c r="C202" s="25">
        <v>30</v>
      </c>
      <c r="D202" s="25">
        <v>15</v>
      </c>
      <c r="E202" s="25"/>
      <c r="F202" s="25">
        <v>7500</v>
      </c>
      <c r="G202">
        <f t="shared" si="15"/>
        <v>1</v>
      </c>
      <c r="H202">
        <f t="shared" si="16"/>
        <v>1</v>
      </c>
      <c r="I202">
        <f t="shared" si="17"/>
        <v>1</v>
      </c>
      <c r="J202">
        <f t="shared" si="18"/>
        <v>0</v>
      </c>
      <c r="K202">
        <f t="shared" si="19"/>
        <v>0</v>
      </c>
      <c r="L202" s="15" t="s">
        <v>73</v>
      </c>
    </row>
    <row r="203" spans="1:12" x14ac:dyDescent="0.2">
      <c r="A203" s="26" t="s">
        <v>100</v>
      </c>
      <c r="B203" s="27"/>
      <c r="C203" s="27">
        <v>12</v>
      </c>
      <c r="D203" s="29"/>
      <c r="E203" s="29"/>
      <c r="F203" s="29">
        <v>750</v>
      </c>
      <c r="G203">
        <f t="shared" si="15"/>
        <v>0</v>
      </c>
      <c r="H203">
        <f t="shared" si="16"/>
        <v>1</v>
      </c>
      <c r="I203">
        <f t="shared" si="17"/>
        <v>0</v>
      </c>
      <c r="J203">
        <f t="shared" si="18"/>
        <v>0</v>
      </c>
      <c r="K203">
        <f t="shared" si="19"/>
        <v>0</v>
      </c>
      <c r="L203" s="15" t="s">
        <v>73</v>
      </c>
    </row>
    <row r="204" spans="1:12" x14ac:dyDescent="0.2">
      <c r="A204" s="24" t="s">
        <v>46</v>
      </c>
      <c r="B204" s="25">
        <v>15</v>
      </c>
      <c r="C204" s="28"/>
      <c r="D204" s="28"/>
      <c r="E204" s="28"/>
      <c r="F204" s="25">
        <v>2000</v>
      </c>
      <c r="G204">
        <f t="shared" si="15"/>
        <v>1</v>
      </c>
      <c r="H204">
        <f t="shared" si="16"/>
        <v>0</v>
      </c>
      <c r="I204">
        <f t="shared" si="17"/>
        <v>0</v>
      </c>
      <c r="J204">
        <f t="shared" si="18"/>
        <v>0</v>
      </c>
      <c r="K204">
        <f t="shared" si="19"/>
        <v>0</v>
      </c>
      <c r="L204" s="15" t="s">
        <v>42</v>
      </c>
    </row>
    <row r="205" spans="1:12" x14ac:dyDescent="0.2">
      <c r="A205" s="26" t="s">
        <v>61</v>
      </c>
      <c r="B205" s="27">
        <v>30</v>
      </c>
      <c r="C205" s="27">
        <v>15</v>
      </c>
      <c r="D205" s="29"/>
      <c r="E205" s="29"/>
      <c r="F205" s="27">
        <v>4000</v>
      </c>
      <c r="G205">
        <f t="shared" si="15"/>
        <v>1</v>
      </c>
      <c r="H205">
        <f t="shared" si="16"/>
        <v>1</v>
      </c>
      <c r="I205">
        <f t="shared" si="17"/>
        <v>0</v>
      </c>
      <c r="J205">
        <f t="shared" si="18"/>
        <v>0</v>
      </c>
      <c r="K205">
        <f t="shared" si="19"/>
        <v>0</v>
      </c>
      <c r="L205" s="15" t="s">
        <v>42</v>
      </c>
    </row>
    <row r="206" spans="1:12" x14ac:dyDescent="0.2">
      <c r="A206" s="24" t="s">
        <v>61</v>
      </c>
      <c r="B206" s="25">
        <v>5</v>
      </c>
      <c r="C206" s="25">
        <v>2</v>
      </c>
      <c r="D206" s="28"/>
      <c r="E206" s="28"/>
      <c r="F206" s="28">
        <v>1000</v>
      </c>
      <c r="G206">
        <f t="shared" si="15"/>
        <v>1</v>
      </c>
      <c r="H206">
        <f t="shared" si="16"/>
        <v>1</v>
      </c>
      <c r="I206">
        <f t="shared" si="17"/>
        <v>0</v>
      </c>
      <c r="J206">
        <f t="shared" si="18"/>
        <v>0</v>
      </c>
      <c r="K206">
        <f t="shared" si="19"/>
        <v>0</v>
      </c>
      <c r="L206" s="15" t="s">
        <v>73</v>
      </c>
    </row>
    <row r="207" spans="1:12" x14ac:dyDescent="0.2">
      <c r="A207" s="26" t="s">
        <v>61</v>
      </c>
      <c r="B207" s="27">
        <v>5</v>
      </c>
      <c r="C207" s="27">
        <v>10</v>
      </c>
      <c r="D207" s="29"/>
      <c r="E207" s="29"/>
      <c r="F207" s="29">
        <v>1000</v>
      </c>
      <c r="G207">
        <f t="shared" si="15"/>
        <v>1</v>
      </c>
      <c r="H207">
        <f t="shared" si="16"/>
        <v>1</v>
      </c>
      <c r="I207">
        <f t="shared" si="17"/>
        <v>0</v>
      </c>
      <c r="J207">
        <f t="shared" si="18"/>
        <v>0</v>
      </c>
      <c r="K207">
        <f t="shared" si="19"/>
        <v>0</v>
      </c>
      <c r="L207" s="15" t="s">
        <v>42</v>
      </c>
    </row>
    <row r="208" spans="1:12" x14ac:dyDescent="0.2">
      <c r="A208" s="24" t="s">
        <v>46</v>
      </c>
      <c r="B208" s="25">
        <v>10</v>
      </c>
      <c r="C208" s="28"/>
      <c r="D208" s="28"/>
      <c r="E208" s="28"/>
      <c r="F208" s="28">
        <v>1000</v>
      </c>
      <c r="G208">
        <f t="shared" si="15"/>
        <v>1</v>
      </c>
      <c r="H208">
        <f t="shared" si="16"/>
        <v>0</v>
      </c>
      <c r="I208">
        <f t="shared" si="17"/>
        <v>0</v>
      </c>
      <c r="J208">
        <f t="shared" si="18"/>
        <v>0</v>
      </c>
      <c r="K208">
        <f t="shared" si="19"/>
        <v>0</v>
      </c>
      <c r="L208" s="15" t="s">
        <v>42</v>
      </c>
    </row>
    <row r="209" spans="1:12" x14ac:dyDescent="0.2">
      <c r="A209" s="26" t="s">
        <v>61</v>
      </c>
      <c r="B209" s="29">
        <v>8</v>
      </c>
      <c r="C209" s="29">
        <v>6</v>
      </c>
      <c r="D209" s="29"/>
      <c r="E209" s="29"/>
      <c r="F209" s="29">
        <v>1500</v>
      </c>
      <c r="G209">
        <f t="shared" si="15"/>
        <v>1</v>
      </c>
      <c r="H209">
        <f t="shared" si="16"/>
        <v>1</v>
      </c>
      <c r="I209">
        <f t="shared" si="17"/>
        <v>0</v>
      </c>
      <c r="J209">
        <f t="shared" si="18"/>
        <v>0</v>
      </c>
      <c r="K209">
        <f t="shared" si="19"/>
        <v>0</v>
      </c>
      <c r="L209" s="15" t="s">
        <v>42</v>
      </c>
    </row>
    <row r="210" spans="1:12" x14ac:dyDescent="0.2">
      <c r="A210" s="24" t="s">
        <v>46</v>
      </c>
      <c r="B210" s="25">
        <v>53</v>
      </c>
      <c r="C210" s="25"/>
      <c r="D210" s="28"/>
      <c r="E210" s="28"/>
      <c r="F210" s="25">
        <v>5000</v>
      </c>
      <c r="G210">
        <f t="shared" si="15"/>
        <v>1</v>
      </c>
      <c r="H210">
        <f t="shared" si="16"/>
        <v>0</v>
      </c>
      <c r="I210">
        <f t="shared" si="17"/>
        <v>0</v>
      </c>
      <c r="J210">
        <f t="shared" si="18"/>
        <v>0</v>
      </c>
      <c r="K210">
        <f t="shared" si="19"/>
        <v>0</v>
      </c>
      <c r="L210" s="15" t="s">
        <v>42</v>
      </c>
    </row>
    <row r="211" spans="1:12" x14ac:dyDescent="0.2">
      <c r="A211" s="26" t="s">
        <v>46</v>
      </c>
      <c r="B211" s="27">
        <v>10</v>
      </c>
      <c r="C211" s="29"/>
      <c r="D211" s="29"/>
      <c r="E211" s="29"/>
      <c r="F211" s="27">
        <v>1000</v>
      </c>
      <c r="G211">
        <f t="shared" si="15"/>
        <v>1</v>
      </c>
      <c r="H211">
        <f t="shared" si="16"/>
        <v>0</v>
      </c>
      <c r="I211">
        <f t="shared" si="17"/>
        <v>0</v>
      </c>
      <c r="J211">
        <f t="shared" si="18"/>
        <v>0</v>
      </c>
      <c r="K211">
        <f t="shared" si="19"/>
        <v>0</v>
      </c>
      <c r="L211" s="15" t="s">
        <v>42</v>
      </c>
    </row>
    <row r="212" spans="1:12" x14ac:dyDescent="0.2">
      <c r="A212" s="24" t="s">
        <v>46</v>
      </c>
      <c r="B212" s="25">
        <v>30</v>
      </c>
      <c r="C212" s="28"/>
      <c r="D212" s="28"/>
      <c r="E212" s="28"/>
      <c r="F212" s="28">
        <v>1000</v>
      </c>
      <c r="G212">
        <f t="shared" si="15"/>
        <v>1</v>
      </c>
      <c r="H212">
        <f t="shared" si="16"/>
        <v>0</v>
      </c>
      <c r="I212">
        <f t="shared" si="17"/>
        <v>0</v>
      </c>
      <c r="J212">
        <f t="shared" si="18"/>
        <v>0</v>
      </c>
      <c r="K212">
        <f t="shared" si="19"/>
        <v>0</v>
      </c>
      <c r="L212" s="15" t="s">
        <v>42</v>
      </c>
    </row>
    <row r="213" spans="1:12" x14ac:dyDescent="0.2">
      <c r="A213" s="26" t="s">
        <v>61</v>
      </c>
      <c r="B213" s="27">
        <v>30</v>
      </c>
      <c r="C213" s="27">
        <v>30</v>
      </c>
      <c r="D213" s="29"/>
      <c r="E213" s="29"/>
      <c r="F213" s="29">
        <v>1500</v>
      </c>
      <c r="G213">
        <f t="shared" si="15"/>
        <v>1</v>
      </c>
      <c r="H213">
        <f t="shared" si="16"/>
        <v>1</v>
      </c>
      <c r="I213">
        <f t="shared" si="17"/>
        <v>0</v>
      </c>
      <c r="J213">
        <f t="shared" si="18"/>
        <v>0</v>
      </c>
      <c r="K213">
        <f t="shared" si="19"/>
        <v>0</v>
      </c>
      <c r="L213" s="15" t="s">
        <v>42</v>
      </c>
    </row>
    <row r="214" spans="1:12" x14ac:dyDescent="0.2">
      <c r="A214" s="24" t="s">
        <v>46</v>
      </c>
      <c r="B214" s="25">
        <v>30</v>
      </c>
      <c r="C214" s="25"/>
      <c r="D214" s="25"/>
      <c r="E214" s="28"/>
      <c r="F214" s="28">
        <v>550</v>
      </c>
      <c r="G214">
        <f t="shared" si="15"/>
        <v>1</v>
      </c>
      <c r="H214">
        <f t="shared" si="16"/>
        <v>0</v>
      </c>
      <c r="I214">
        <f t="shared" si="17"/>
        <v>0</v>
      </c>
      <c r="J214">
        <f t="shared" si="18"/>
        <v>0</v>
      </c>
      <c r="K214">
        <f t="shared" si="19"/>
        <v>0</v>
      </c>
      <c r="L214" s="15" t="s">
        <v>42</v>
      </c>
    </row>
    <row r="215" spans="1:12" x14ac:dyDescent="0.2">
      <c r="A215" s="26" t="s">
        <v>46</v>
      </c>
      <c r="B215" s="27">
        <v>20</v>
      </c>
      <c r="C215" s="27"/>
      <c r="D215" s="29"/>
      <c r="E215" s="29"/>
      <c r="F215" s="29">
        <v>1000</v>
      </c>
      <c r="G215">
        <f t="shared" si="15"/>
        <v>1</v>
      </c>
      <c r="H215">
        <f t="shared" si="16"/>
        <v>0</v>
      </c>
      <c r="I215">
        <f t="shared" si="17"/>
        <v>0</v>
      </c>
      <c r="J215">
        <f t="shared" si="18"/>
        <v>0</v>
      </c>
      <c r="K215">
        <f t="shared" si="19"/>
        <v>0</v>
      </c>
      <c r="L215" s="15" t="s">
        <v>73</v>
      </c>
    </row>
    <row r="216" spans="1:12" x14ac:dyDescent="0.2">
      <c r="A216" s="24" t="s">
        <v>431</v>
      </c>
      <c r="B216" s="28"/>
      <c r="C216" s="28"/>
      <c r="D216" s="25">
        <v>5</v>
      </c>
      <c r="E216" s="28"/>
      <c r="F216" s="28">
        <v>950</v>
      </c>
      <c r="G216">
        <f t="shared" si="15"/>
        <v>0</v>
      </c>
      <c r="H216">
        <f t="shared" si="16"/>
        <v>0</v>
      </c>
      <c r="I216">
        <f t="shared" si="17"/>
        <v>1</v>
      </c>
      <c r="J216">
        <f t="shared" si="18"/>
        <v>0</v>
      </c>
      <c r="K216">
        <f t="shared" si="19"/>
        <v>0</v>
      </c>
      <c r="L216" s="15" t="s">
        <v>42</v>
      </c>
    </row>
    <row r="217" spans="1:12" x14ac:dyDescent="0.2">
      <c r="A217" s="26" t="s">
        <v>46</v>
      </c>
      <c r="B217" s="29">
        <v>8</v>
      </c>
      <c r="C217" s="29"/>
      <c r="D217" s="29"/>
      <c r="E217" s="29"/>
      <c r="F217" s="29">
        <v>550</v>
      </c>
      <c r="G217">
        <f t="shared" si="15"/>
        <v>1</v>
      </c>
      <c r="H217">
        <f t="shared" si="16"/>
        <v>0</v>
      </c>
      <c r="I217">
        <f t="shared" si="17"/>
        <v>0</v>
      </c>
      <c r="J217">
        <f t="shared" si="18"/>
        <v>0</v>
      </c>
      <c r="K217">
        <f t="shared" si="19"/>
        <v>0</v>
      </c>
      <c r="L217" s="15" t="s">
        <v>42</v>
      </c>
    </row>
    <row r="218" spans="1:12" x14ac:dyDescent="0.2">
      <c r="A218" s="24" t="s">
        <v>246</v>
      </c>
      <c r="B218" s="25">
        <v>3.5</v>
      </c>
      <c r="C218" s="28"/>
      <c r="D218" s="25">
        <v>25</v>
      </c>
      <c r="E218" s="28"/>
      <c r="F218" s="25">
        <v>6000</v>
      </c>
      <c r="G218">
        <f t="shared" si="15"/>
        <v>1</v>
      </c>
      <c r="H218">
        <f t="shared" si="16"/>
        <v>0</v>
      </c>
      <c r="I218">
        <f t="shared" si="17"/>
        <v>1</v>
      </c>
      <c r="J218">
        <f t="shared" si="18"/>
        <v>0</v>
      </c>
      <c r="K218">
        <f t="shared" si="19"/>
        <v>0</v>
      </c>
      <c r="L218" s="15" t="s">
        <v>73</v>
      </c>
    </row>
    <row r="219" spans="1:12" x14ac:dyDescent="0.2">
      <c r="A219" s="26" t="s">
        <v>100</v>
      </c>
      <c r="B219" s="29"/>
      <c r="C219" s="27">
        <v>15</v>
      </c>
      <c r="D219" s="29"/>
      <c r="E219" s="29"/>
      <c r="F219" s="27">
        <v>1800</v>
      </c>
      <c r="G219">
        <f t="shared" si="15"/>
        <v>0</v>
      </c>
      <c r="H219">
        <f t="shared" si="16"/>
        <v>1</v>
      </c>
      <c r="I219">
        <f t="shared" si="17"/>
        <v>0</v>
      </c>
      <c r="J219">
        <f t="shared" si="18"/>
        <v>0</v>
      </c>
      <c r="K219">
        <f t="shared" si="19"/>
        <v>0</v>
      </c>
      <c r="L219" s="15" t="s">
        <v>42</v>
      </c>
    </row>
    <row r="220" spans="1:12" x14ac:dyDescent="0.2">
      <c r="A220" s="24" t="s">
        <v>46</v>
      </c>
      <c r="B220" s="25">
        <v>4</v>
      </c>
      <c r="C220" s="28"/>
      <c r="D220" s="28"/>
      <c r="E220" s="28"/>
      <c r="F220" s="25">
        <v>400</v>
      </c>
      <c r="G220">
        <f t="shared" si="15"/>
        <v>1</v>
      </c>
      <c r="H220">
        <f t="shared" si="16"/>
        <v>0</v>
      </c>
      <c r="I220">
        <f t="shared" si="17"/>
        <v>0</v>
      </c>
      <c r="J220">
        <f t="shared" si="18"/>
        <v>0</v>
      </c>
      <c r="K220">
        <f t="shared" si="19"/>
        <v>0</v>
      </c>
      <c r="L220" s="15" t="s">
        <v>73</v>
      </c>
    </row>
    <row r="221" spans="1:12" x14ac:dyDescent="0.2">
      <c r="A221" s="26" t="s">
        <v>435</v>
      </c>
      <c r="B221" s="27">
        <v>3.5</v>
      </c>
      <c r="C221" s="29"/>
      <c r="D221" s="27">
        <v>30</v>
      </c>
      <c r="E221" s="29"/>
      <c r="F221" s="27">
        <v>4500</v>
      </c>
      <c r="G221">
        <f t="shared" si="15"/>
        <v>1</v>
      </c>
      <c r="H221">
        <f t="shared" si="16"/>
        <v>0</v>
      </c>
      <c r="I221">
        <f t="shared" si="17"/>
        <v>1</v>
      </c>
      <c r="J221">
        <f t="shared" si="18"/>
        <v>0</v>
      </c>
      <c r="K221">
        <f t="shared" si="19"/>
        <v>1</v>
      </c>
      <c r="L221" s="15" t="s">
        <v>42</v>
      </c>
    </row>
    <row r="222" spans="1:12" x14ac:dyDescent="0.2">
      <c r="A222" s="24" t="s">
        <v>246</v>
      </c>
      <c r="B222" s="25">
        <v>10</v>
      </c>
      <c r="C222" s="28"/>
      <c r="D222" s="25">
        <v>35</v>
      </c>
      <c r="E222" s="28"/>
      <c r="F222" s="25">
        <v>4500</v>
      </c>
      <c r="G222">
        <f t="shared" si="15"/>
        <v>1</v>
      </c>
      <c r="H222">
        <f t="shared" si="16"/>
        <v>0</v>
      </c>
      <c r="I222">
        <f t="shared" si="17"/>
        <v>1</v>
      </c>
      <c r="J222">
        <f t="shared" si="18"/>
        <v>0</v>
      </c>
      <c r="K222">
        <f t="shared" si="19"/>
        <v>0</v>
      </c>
      <c r="L222" s="15" t="s">
        <v>73</v>
      </c>
    </row>
    <row r="223" spans="1:12" x14ac:dyDescent="0.2">
      <c r="A223" s="26" t="s">
        <v>100</v>
      </c>
      <c r="B223" s="29"/>
      <c r="C223" s="27">
        <v>8</v>
      </c>
      <c r="D223" s="29"/>
      <c r="E223" s="29"/>
      <c r="F223" s="27">
        <v>900</v>
      </c>
      <c r="G223">
        <f t="shared" si="15"/>
        <v>0</v>
      </c>
      <c r="H223">
        <f t="shared" si="16"/>
        <v>1</v>
      </c>
      <c r="I223">
        <f t="shared" si="17"/>
        <v>0</v>
      </c>
      <c r="J223">
        <f t="shared" si="18"/>
        <v>0</v>
      </c>
      <c r="K223">
        <f t="shared" si="19"/>
        <v>0</v>
      </c>
      <c r="L223" s="15" t="s">
        <v>42</v>
      </c>
    </row>
    <row r="224" spans="1:12" x14ac:dyDescent="0.2">
      <c r="A224" s="24" t="s">
        <v>309</v>
      </c>
      <c r="B224" s="25">
        <v>7</v>
      </c>
      <c r="C224" s="28"/>
      <c r="D224" s="25">
        <v>40</v>
      </c>
      <c r="E224" s="25">
        <v>1</v>
      </c>
      <c r="F224" s="25">
        <v>14000</v>
      </c>
      <c r="G224">
        <f t="shared" si="15"/>
        <v>1</v>
      </c>
      <c r="H224">
        <f t="shared" si="16"/>
        <v>0</v>
      </c>
      <c r="I224">
        <f t="shared" si="17"/>
        <v>1</v>
      </c>
      <c r="J224">
        <f t="shared" si="18"/>
        <v>1</v>
      </c>
      <c r="K224">
        <f t="shared" si="19"/>
        <v>0</v>
      </c>
      <c r="L224" s="15" t="s">
        <v>73</v>
      </c>
    </row>
    <row r="225" spans="1:12" x14ac:dyDescent="0.2">
      <c r="A225" s="26" t="s">
        <v>46</v>
      </c>
      <c r="B225" s="27">
        <v>7</v>
      </c>
      <c r="C225" s="29"/>
      <c r="D225" s="29"/>
      <c r="E225" s="29"/>
      <c r="F225" s="27">
        <v>750</v>
      </c>
      <c r="G225">
        <f t="shared" si="15"/>
        <v>1</v>
      </c>
      <c r="H225">
        <f t="shared" si="16"/>
        <v>0</v>
      </c>
      <c r="I225">
        <f t="shared" si="17"/>
        <v>0</v>
      </c>
      <c r="J225">
        <f t="shared" si="18"/>
        <v>0</v>
      </c>
      <c r="K225">
        <f t="shared" si="19"/>
        <v>0</v>
      </c>
      <c r="L225" s="15" t="s">
        <v>42</v>
      </c>
    </row>
    <row r="226" spans="1:12" x14ac:dyDescent="0.2">
      <c r="A226" s="24" t="s">
        <v>290</v>
      </c>
      <c r="B226" s="25">
        <v>3</v>
      </c>
      <c r="C226" s="28"/>
      <c r="D226" s="25"/>
      <c r="E226" s="28">
        <v>70</v>
      </c>
      <c r="F226" s="25">
        <v>7000</v>
      </c>
      <c r="G226">
        <f t="shared" si="15"/>
        <v>1</v>
      </c>
      <c r="H226">
        <f t="shared" si="16"/>
        <v>0</v>
      </c>
      <c r="I226">
        <f t="shared" si="17"/>
        <v>0</v>
      </c>
      <c r="J226">
        <f t="shared" si="18"/>
        <v>1</v>
      </c>
      <c r="K226">
        <f t="shared" si="19"/>
        <v>0</v>
      </c>
      <c r="L226" s="15" t="s">
        <v>73</v>
      </c>
    </row>
    <row r="227" spans="1:12" x14ac:dyDescent="0.2">
      <c r="A227" s="26" t="s">
        <v>100</v>
      </c>
      <c r="B227" s="29"/>
      <c r="C227" s="27">
        <v>9</v>
      </c>
      <c r="D227" s="29"/>
      <c r="E227" s="29"/>
      <c r="F227" s="27">
        <v>1200</v>
      </c>
      <c r="G227">
        <f t="shared" si="15"/>
        <v>0</v>
      </c>
      <c r="H227">
        <f t="shared" si="16"/>
        <v>1</v>
      </c>
      <c r="I227">
        <f t="shared" si="17"/>
        <v>0</v>
      </c>
      <c r="J227">
        <f t="shared" si="18"/>
        <v>0</v>
      </c>
      <c r="K227">
        <f t="shared" si="19"/>
        <v>0</v>
      </c>
      <c r="L227" s="15" t="s">
        <v>42</v>
      </c>
    </row>
    <row r="228" spans="1:12" x14ac:dyDescent="0.2">
      <c r="A228" s="24" t="s">
        <v>309</v>
      </c>
      <c r="B228" s="25">
        <v>8</v>
      </c>
      <c r="C228" s="28"/>
      <c r="D228" s="25">
        <v>38</v>
      </c>
      <c r="E228" s="25">
        <v>85</v>
      </c>
      <c r="F228" s="25">
        <v>12500</v>
      </c>
      <c r="G228">
        <f t="shared" si="15"/>
        <v>1</v>
      </c>
      <c r="H228">
        <f t="shared" si="16"/>
        <v>0</v>
      </c>
      <c r="I228">
        <f t="shared" si="17"/>
        <v>1</v>
      </c>
      <c r="J228">
        <f t="shared" si="18"/>
        <v>1</v>
      </c>
      <c r="K228">
        <f t="shared" si="19"/>
        <v>0</v>
      </c>
      <c r="L228" s="15" t="s">
        <v>73</v>
      </c>
    </row>
    <row r="229" spans="1:12" x14ac:dyDescent="0.2">
      <c r="A229" s="26" t="s">
        <v>431</v>
      </c>
      <c r="B229" s="29"/>
      <c r="C229" s="29"/>
      <c r="D229" s="27">
        <v>20</v>
      </c>
      <c r="E229" s="29"/>
      <c r="F229" s="27">
        <v>3000</v>
      </c>
      <c r="G229">
        <f t="shared" si="15"/>
        <v>0</v>
      </c>
      <c r="H229">
        <f t="shared" si="16"/>
        <v>0</v>
      </c>
      <c r="I229">
        <f t="shared" si="17"/>
        <v>1</v>
      </c>
      <c r="J229">
        <f t="shared" si="18"/>
        <v>0</v>
      </c>
      <c r="K229">
        <f t="shared" si="19"/>
        <v>0</v>
      </c>
      <c r="L229" s="15" t="s">
        <v>42</v>
      </c>
    </row>
    <row r="230" spans="1:12" x14ac:dyDescent="0.2">
      <c r="A230" s="24" t="s">
        <v>290</v>
      </c>
      <c r="B230" s="25">
        <v>5</v>
      </c>
      <c r="C230" s="28"/>
      <c r="D230" s="28"/>
      <c r="E230" s="25">
        <v>75</v>
      </c>
      <c r="F230" s="25">
        <v>8000</v>
      </c>
      <c r="G230">
        <f t="shared" si="15"/>
        <v>1</v>
      </c>
      <c r="H230">
        <f t="shared" si="16"/>
        <v>0</v>
      </c>
      <c r="I230">
        <f t="shared" si="17"/>
        <v>0</v>
      </c>
      <c r="J230">
        <f t="shared" si="18"/>
        <v>1</v>
      </c>
      <c r="K230">
        <f t="shared" si="19"/>
        <v>0</v>
      </c>
      <c r="L230" s="15" t="s">
        <v>73</v>
      </c>
    </row>
    <row r="231" spans="1:12" x14ac:dyDescent="0.2">
      <c r="A231" s="26" t="s">
        <v>100</v>
      </c>
      <c r="B231" s="29"/>
      <c r="C231" s="27">
        <v>7</v>
      </c>
      <c r="D231" s="29"/>
      <c r="E231" s="29"/>
      <c r="F231" s="27">
        <v>900</v>
      </c>
      <c r="G231">
        <f t="shared" si="15"/>
        <v>0</v>
      </c>
      <c r="H231">
        <f t="shared" si="16"/>
        <v>1</v>
      </c>
      <c r="I231">
        <f t="shared" si="17"/>
        <v>0</v>
      </c>
      <c r="J231">
        <f t="shared" si="18"/>
        <v>0</v>
      </c>
      <c r="K231">
        <f t="shared" si="19"/>
        <v>0</v>
      </c>
      <c r="L231" s="15" t="s">
        <v>42</v>
      </c>
    </row>
    <row r="232" spans="1:12" x14ac:dyDescent="0.2">
      <c r="A232" s="24" t="s">
        <v>46</v>
      </c>
      <c r="B232" s="25">
        <v>12</v>
      </c>
      <c r="C232" s="28"/>
      <c r="D232" s="28"/>
      <c r="E232" s="28"/>
      <c r="F232" s="25">
        <v>1400</v>
      </c>
      <c r="G232">
        <f t="shared" si="15"/>
        <v>1</v>
      </c>
      <c r="H232">
        <f t="shared" si="16"/>
        <v>0</v>
      </c>
      <c r="I232">
        <f t="shared" si="17"/>
        <v>0</v>
      </c>
      <c r="J232">
        <f t="shared" si="18"/>
        <v>0</v>
      </c>
      <c r="K232">
        <f t="shared" si="19"/>
        <v>0</v>
      </c>
      <c r="L232" s="15" t="s">
        <v>73</v>
      </c>
    </row>
    <row r="233" spans="1:12" x14ac:dyDescent="0.2">
      <c r="A233" s="26" t="s">
        <v>100</v>
      </c>
      <c r="B233" s="29"/>
      <c r="C233" s="27">
        <v>5</v>
      </c>
      <c r="D233" s="29"/>
      <c r="E233" s="29"/>
      <c r="F233" s="27">
        <v>600</v>
      </c>
      <c r="G233">
        <f t="shared" si="15"/>
        <v>0</v>
      </c>
      <c r="H233">
        <f t="shared" si="16"/>
        <v>1</v>
      </c>
      <c r="I233">
        <f t="shared" si="17"/>
        <v>0</v>
      </c>
      <c r="J233">
        <f t="shared" si="18"/>
        <v>0</v>
      </c>
      <c r="K233">
        <f t="shared" si="19"/>
        <v>0</v>
      </c>
      <c r="L233" s="15" t="s">
        <v>42</v>
      </c>
    </row>
    <row r="234" spans="1:12" x14ac:dyDescent="0.2">
      <c r="A234" s="24" t="s">
        <v>290</v>
      </c>
      <c r="B234" s="25">
        <v>6</v>
      </c>
      <c r="C234" s="28"/>
      <c r="D234" s="28"/>
      <c r="E234" s="25">
        <v>65</v>
      </c>
      <c r="F234" s="25">
        <v>7800</v>
      </c>
      <c r="G234">
        <f t="shared" si="15"/>
        <v>1</v>
      </c>
      <c r="H234">
        <f t="shared" si="16"/>
        <v>0</v>
      </c>
      <c r="I234">
        <f t="shared" si="17"/>
        <v>0</v>
      </c>
      <c r="J234">
        <f t="shared" si="18"/>
        <v>1</v>
      </c>
      <c r="K234">
        <f t="shared" si="19"/>
        <v>0</v>
      </c>
      <c r="L234" s="15" t="s">
        <v>73</v>
      </c>
    </row>
    <row r="235" spans="1:12" x14ac:dyDescent="0.2">
      <c r="A235" s="26" t="s">
        <v>431</v>
      </c>
      <c r="B235" s="27"/>
      <c r="C235" s="29"/>
      <c r="D235" s="29">
        <v>24</v>
      </c>
      <c r="E235" s="29"/>
      <c r="F235" s="27">
        <v>3200</v>
      </c>
      <c r="G235">
        <f t="shared" si="15"/>
        <v>0</v>
      </c>
      <c r="H235">
        <f t="shared" si="16"/>
        <v>0</v>
      </c>
      <c r="I235">
        <f t="shared" si="17"/>
        <v>1</v>
      </c>
      <c r="J235">
        <f t="shared" si="18"/>
        <v>0</v>
      </c>
      <c r="K235">
        <f t="shared" si="19"/>
        <v>0</v>
      </c>
      <c r="L235" s="15" t="s">
        <v>42</v>
      </c>
    </row>
    <row r="236" spans="1:12" x14ac:dyDescent="0.2">
      <c r="A236" s="24" t="s">
        <v>309</v>
      </c>
      <c r="B236" s="25">
        <v>8</v>
      </c>
      <c r="C236" s="28"/>
      <c r="D236" s="25">
        <v>28</v>
      </c>
      <c r="E236" s="25">
        <v>95</v>
      </c>
      <c r="F236" s="25">
        <v>13200</v>
      </c>
      <c r="G236">
        <f t="shared" si="15"/>
        <v>1</v>
      </c>
      <c r="H236">
        <f t="shared" si="16"/>
        <v>0</v>
      </c>
      <c r="I236">
        <f t="shared" si="17"/>
        <v>1</v>
      </c>
      <c r="J236">
        <f t="shared" si="18"/>
        <v>1</v>
      </c>
      <c r="K236">
        <f t="shared" si="19"/>
        <v>0</v>
      </c>
      <c r="L236" s="15" t="s">
        <v>73</v>
      </c>
    </row>
    <row r="237" spans="1:12" x14ac:dyDescent="0.2">
      <c r="A237" s="26" t="s">
        <v>100</v>
      </c>
      <c r="B237" s="29"/>
      <c r="C237" s="27">
        <v>4</v>
      </c>
      <c r="D237" s="29"/>
      <c r="E237" s="29"/>
      <c r="F237" s="27">
        <v>500</v>
      </c>
      <c r="G237">
        <f t="shared" si="15"/>
        <v>0</v>
      </c>
      <c r="H237">
        <f t="shared" si="16"/>
        <v>1</v>
      </c>
      <c r="I237">
        <f t="shared" si="17"/>
        <v>0</v>
      </c>
      <c r="J237">
        <f t="shared" si="18"/>
        <v>0</v>
      </c>
      <c r="K237">
        <f t="shared" si="19"/>
        <v>0</v>
      </c>
      <c r="L237" s="15" t="s">
        <v>42</v>
      </c>
    </row>
    <row r="238" spans="1:12" x14ac:dyDescent="0.2">
      <c r="A238" s="24" t="s">
        <v>246</v>
      </c>
      <c r="B238" s="25">
        <v>5</v>
      </c>
      <c r="C238" s="28"/>
      <c r="D238" s="25">
        <v>20</v>
      </c>
      <c r="E238" s="28"/>
      <c r="F238" s="25">
        <v>3800</v>
      </c>
      <c r="G238">
        <f t="shared" si="15"/>
        <v>1</v>
      </c>
      <c r="H238">
        <f t="shared" si="16"/>
        <v>0</v>
      </c>
      <c r="I238">
        <f t="shared" si="17"/>
        <v>1</v>
      </c>
      <c r="J238">
        <f t="shared" si="18"/>
        <v>0</v>
      </c>
      <c r="K238">
        <f t="shared" si="19"/>
        <v>0</v>
      </c>
      <c r="L238" s="15" t="s">
        <v>73</v>
      </c>
    </row>
    <row r="239" spans="1:12" x14ac:dyDescent="0.2">
      <c r="A239" s="26" t="s">
        <v>46</v>
      </c>
      <c r="B239" s="27">
        <v>7</v>
      </c>
      <c r="C239" s="29"/>
      <c r="D239" s="29"/>
      <c r="E239" s="29"/>
      <c r="F239" s="27">
        <v>850</v>
      </c>
      <c r="G239">
        <f t="shared" si="15"/>
        <v>1</v>
      </c>
      <c r="H239">
        <f t="shared" si="16"/>
        <v>0</v>
      </c>
      <c r="I239">
        <f t="shared" si="17"/>
        <v>0</v>
      </c>
      <c r="J239">
        <f t="shared" si="18"/>
        <v>0</v>
      </c>
      <c r="K239">
        <f t="shared" si="19"/>
        <v>0</v>
      </c>
      <c r="L239" s="15" t="s">
        <v>42</v>
      </c>
    </row>
    <row r="240" spans="1:12" x14ac:dyDescent="0.2">
      <c r="A240" s="24" t="s">
        <v>290</v>
      </c>
      <c r="B240" s="25">
        <v>4</v>
      </c>
      <c r="C240" s="28"/>
      <c r="D240" s="28"/>
      <c r="E240" s="25">
        <v>55</v>
      </c>
      <c r="F240" s="25">
        <v>6700</v>
      </c>
      <c r="G240">
        <f t="shared" si="15"/>
        <v>1</v>
      </c>
      <c r="H240">
        <f t="shared" si="16"/>
        <v>0</v>
      </c>
      <c r="I240">
        <f t="shared" si="17"/>
        <v>0</v>
      </c>
      <c r="J240">
        <f t="shared" si="18"/>
        <v>1</v>
      </c>
      <c r="K240">
        <f t="shared" si="19"/>
        <v>0</v>
      </c>
      <c r="L240" s="15" t="s">
        <v>73</v>
      </c>
    </row>
    <row r="241" spans="1:12" x14ac:dyDescent="0.2">
      <c r="A241" s="26" t="s">
        <v>431</v>
      </c>
      <c r="B241" s="29"/>
      <c r="C241" s="29"/>
      <c r="D241" s="27">
        <v>32</v>
      </c>
      <c r="E241" s="29"/>
      <c r="F241" s="27">
        <v>4600</v>
      </c>
      <c r="G241">
        <f t="shared" si="15"/>
        <v>0</v>
      </c>
      <c r="H241">
        <f t="shared" si="16"/>
        <v>0</v>
      </c>
      <c r="I241">
        <f t="shared" si="17"/>
        <v>1</v>
      </c>
      <c r="J241">
        <f t="shared" si="18"/>
        <v>0</v>
      </c>
      <c r="K241">
        <f t="shared" si="19"/>
        <v>0</v>
      </c>
      <c r="L241" s="15" t="s">
        <v>73</v>
      </c>
    </row>
    <row r="242" spans="1:12" x14ac:dyDescent="0.2">
      <c r="A242" s="24" t="s">
        <v>46</v>
      </c>
      <c r="B242" s="25">
        <v>10</v>
      </c>
      <c r="C242" s="28"/>
      <c r="D242" s="28"/>
      <c r="E242" s="28"/>
      <c r="F242" s="25">
        <v>1300</v>
      </c>
      <c r="G242">
        <f t="shared" si="15"/>
        <v>1</v>
      </c>
      <c r="H242">
        <f t="shared" si="16"/>
        <v>0</v>
      </c>
      <c r="I242">
        <f t="shared" si="17"/>
        <v>0</v>
      </c>
      <c r="J242">
        <f t="shared" si="18"/>
        <v>0</v>
      </c>
      <c r="K242">
        <f t="shared" si="19"/>
        <v>0</v>
      </c>
      <c r="L242" s="15" t="s">
        <v>73</v>
      </c>
    </row>
    <row r="243" spans="1:12" x14ac:dyDescent="0.2">
      <c r="A243" s="26" t="s">
        <v>100</v>
      </c>
      <c r="B243" s="29"/>
      <c r="C243" s="27">
        <v>7</v>
      </c>
      <c r="D243" s="29"/>
      <c r="E243" s="29"/>
      <c r="F243" s="27">
        <v>750</v>
      </c>
      <c r="G243">
        <f t="shared" si="15"/>
        <v>0</v>
      </c>
      <c r="H243">
        <f t="shared" si="16"/>
        <v>1</v>
      </c>
      <c r="I243">
        <f t="shared" si="17"/>
        <v>0</v>
      </c>
      <c r="J243">
        <f t="shared" si="18"/>
        <v>0</v>
      </c>
      <c r="K243">
        <f t="shared" si="19"/>
        <v>0</v>
      </c>
      <c r="L243" s="15" t="s">
        <v>42</v>
      </c>
    </row>
    <row r="244" spans="1:12" x14ac:dyDescent="0.2">
      <c r="A244" s="24" t="s">
        <v>246</v>
      </c>
      <c r="B244" s="25">
        <v>7</v>
      </c>
      <c r="C244" s="28"/>
      <c r="D244" s="25">
        <v>22</v>
      </c>
      <c r="E244" s="28"/>
      <c r="F244" s="25">
        <v>3900</v>
      </c>
      <c r="G244">
        <f t="shared" si="15"/>
        <v>1</v>
      </c>
      <c r="H244">
        <f t="shared" si="16"/>
        <v>0</v>
      </c>
      <c r="I244">
        <f t="shared" si="17"/>
        <v>1</v>
      </c>
      <c r="J244">
        <f t="shared" si="18"/>
        <v>0</v>
      </c>
      <c r="K244">
        <f t="shared" si="19"/>
        <v>0</v>
      </c>
      <c r="L244" s="15" t="s">
        <v>73</v>
      </c>
    </row>
    <row r="245" spans="1:12" x14ac:dyDescent="0.2">
      <c r="A245" s="26" t="s">
        <v>46</v>
      </c>
      <c r="B245" s="27">
        <v>8</v>
      </c>
      <c r="C245" s="29"/>
      <c r="D245" s="29"/>
      <c r="E245" s="29"/>
      <c r="F245" s="27">
        <v>1000</v>
      </c>
      <c r="G245">
        <f t="shared" si="15"/>
        <v>1</v>
      </c>
      <c r="H245">
        <f t="shared" si="16"/>
        <v>0</v>
      </c>
      <c r="I245">
        <f t="shared" si="17"/>
        <v>0</v>
      </c>
      <c r="J245">
        <f t="shared" si="18"/>
        <v>0</v>
      </c>
      <c r="K245">
        <f t="shared" si="19"/>
        <v>0</v>
      </c>
      <c r="L245" s="15" t="s">
        <v>42</v>
      </c>
    </row>
    <row r="246" spans="1:12" x14ac:dyDescent="0.2">
      <c r="A246" s="24" t="s">
        <v>290</v>
      </c>
      <c r="B246" s="25">
        <v>5</v>
      </c>
      <c r="C246" s="28"/>
      <c r="D246" s="28"/>
      <c r="E246" s="25">
        <v>70</v>
      </c>
      <c r="F246" s="25">
        <v>8500</v>
      </c>
      <c r="G246">
        <f t="shared" si="15"/>
        <v>1</v>
      </c>
      <c r="H246">
        <f t="shared" si="16"/>
        <v>0</v>
      </c>
      <c r="I246">
        <f t="shared" si="17"/>
        <v>0</v>
      </c>
      <c r="J246">
        <f t="shared" si="18"/>
        <v>1</v>
      </c>
      <c r="K246">
        <f t="shared" si="19"/>
        <v>0</v>
      </c>
      <c r="L246" s="15" t="s">
        <v>73</v>
      </c>
    </row>
    <row r="247" spans="1:12" x14ac:dyDescent="0.2">
      <c r="A247" s="26" t="s">
        <v>431</v>
      </c>
      <c r="B247" s="29"/>
      <c r="C247" s="29"/>
      <c r="D247" s="27">
        <v>24</v>
      </c>
      <c r="E247" s="29"/>
      <c r="F247" s="27">
        <v>3600</v>
      </c>
      <c r="G247">
        <f t="shared" si="15"/>
        <v>0</v>
      </c>
      <c r="H247">
        <f t="shared" si="16"/>
        <v>0</v>
      </c>
      <c r="I247">
        <f t="shared" si="17"/>
        <v>1</v>
      </c>
      <c r="J247">
        <f t="shared" si="18"/>
        <v>0</v>
      </c>
      <c r="K247">
        <f t="shared" si="19"/>
        <v>0</v>
      </c>
      <c r="L247" s="15" t="s">
        <v>73</v>
      </c>
    </row>
    <row r="248" spans="1:12" x14ac:dyDescent="0.2">
      <c r="A248" s="24" t="s">
        <v>100</v>
      </c>
      <c r="B248" s="28"/>
      <c r="C248" s="25">
        <v>4</v>
      </c>
      <c r="D248" s="28"/>
      <c r="E248" s="28"/>
      <c r="F248" s="25">
        <v>400</v>
      </c>
      <c r="G248">
        <f t="shared" si="15"/>
        <v>0</v>
      </c>
      <c r="H248">
        <f t="shared" si="16"/>
        <v>1</v>
      </c>
      <c r="I248">
        <f t="shared" si="17"/>
        <v>0</v>
      </c>
      <c r="J248">
        <f t="shared" si="18"/>
        <v>0</v>
      </c>
      <c r="K248">
        <f t="shared" si="19"/>
        <v>0</v>
      </c>
      <c r="L248" s="15" t="s">
        <v>42</v>
      </c>
    </row>
    <row r="249" spans="1:12" x14ac:dyDescent="0.2">
      <c r="A249" s="26" t="s">
        <v>1102</v>
      </c>
      <c r="B249" s="27">
        <v>6</v>
      </c>
      <c r="C249" s="29"/>
      <c r="D249" s="29"/>
      <c r="E249" s="29"/>
      <c r="F249" s="27">
        <v>1600</v>
      </c>
      <c r="G249">
        <f t="shared" si="15"/>
        <v>1</v>
      </c>
      <c r="H249">
        <f t="shared" si="16"/>
        <v>0</v>
      </c>
      <c r="I249">
        <f t="shared" si="17"/>
        <v>0</v>
      </c>
      <c r="J249">
        <f t="shared" si="18"/>
        <v>0</v>
      </c>
      <c r="K249">
        <f t="shared" si="19"/>
        <v>1</v>
      </c>
      <c r="L249" s="15" t="s">
        <v>73</v>
      </c>
    </row>
    <row r="250" spans="1:12" x14ac:dyDescent="0.2">
      <c r="A250" s="24" t="s">
        <v>309</v>
      </c>
      <c r="B250" s="25">
        <v>4</v>
      </c>
      <c r="C250" s="28"/>
      <c r="D250" s="25">
        <v>20</v>
      </c>
      <c r="E250" s="25">
        <v>85</v>
      </c>
      <c r="F250" s="25">
        <v>1200</v>
      </c>
      <c r="G250">
        <f t="shared" si="15"/>
        <v>1</v>
      </c>
      <c r="H250">
        <f t="shared" si="16"/>
        <v>0</v>
      </c>
      <c r="I250">
        <f t="shared" si="17"/>
        <v>1</v>
      </c>
      <c r="J250">
        <f t="shared" si="18"/>
        <v>1</v>
      </c>
      <c r="K250">
        <f t="shared" si="19"/>
        <v>0</v>
      </c>
      <c r="L250" s="15" t="s">
        <v>73</v>
      </c>
    </row>
    <row r="251" spans="1:12" x14ac:dyDescent="0.2">
      <c r="A251" s="26" t="s">
        <v>431</v>
      </c>
      <c r="B251" s="29"/>
      <c r="C251" s="29"/>
      <c r="D251" s="27">
        <v>26</v>
      </c>
      <c r="E251" s="29"/>
      <c r="F251" s="27">
        <v>3900</v>
      </c>
      <c r="G251">
        <f t="shared" si="15"/>
        <v>0</v>
      </c>
      <c r="H251">
        <f t="shared" si="16"/>
        <v>0</v>
      </c>
      <c r="I251">
        <f t="shared" si="17"/>
        <v>1</v>
      </c>
      <c r="J251">
        <f t="shared" si="18"/>
        <v>0</v>
      </c>
      <c r="K251">
        <f t="shared" si="19"/>
        <v>0</v>
      </c>
      <c r="L251" s="15" t="s">
        <v>42</v>
      </c>
    </row>
    <row r="252" spans="1:12" x14ac:dyDescent="0.2">
      <c r="A252" s="24" t="s">
        <v>46</v>
      </c>
      <c r="B252" s="25">
        <v>11</v>
      </c>
      <c r="C252" s="28"/>
      <c r="D252" s="28"/>
      <c r="E252" s="28"/>
      <c r="F252" s="25">
        <v>1450</v>
      </c>
      <c r="G252">
        <f t="shared" si="15"/>
        <v>1</v>
      </c>
      <c r="H252">
        <f t="shared" si="16"/>
        <v>0</v>
      </c>
      <c r="I252">
        <f t="shared" si="17"/>
        <v>0</v>
      </c>
      <c r="J252">
        <f t="shared" si="18"/>
        <v>0</v>
      </c>
      <c r="K252">
        <f t="shared" si="19"/>
        <v>0</v>
      </c>
      <c r="L252" s="15" t="s">
        <v>73</v>
      </c>
    </row>
    <row r="253" spans="1:12" x14ac:dyDescent="0.2">
      <c r="A253" s="26" t="s">
        <v>100</v>
      </c>
      <c r="B253" s="29"/>
      <c r="C253" s="27">
        <v>6</v>
      </c>
      <c r="D253" s="29"/>
      <c r="E253" s="29"/>
      <c r="F253" s="27">
        <v>500</v>
      </c>
      <c r="G253">
        <f t="shared" si="15"/>
        <v>0</v>
      </c>
      <c r="H253">
        <f t="shared" si="16"/>
        <v>1</v>
      </c>
      <c r="I253">
        <f t="shared" si="17"/>
        <v>0</v>
      </c>
      <c r="J253">
        <f t="shared" si="18"/>
        <v>0</v>
      </c>
      <c r="K253">
        <f t="shared" si="19"/>
        <v>0</v>
      </c>
      <c r="L253" s="15" t="s">
        <v>42</v>
      </c>
    </row>
    <row r="254" spans="1:12" x14ac:dyDescent="0.2">
      <c r="A254" s="24" t="s">
        <v>290</v>
      </c>
      <c r="B254" s="25">
        <v>4</v>
      </c>
      <c r="C254" s="28"/>
      <c r="D254" s="28"/>
      <c r="E254" s="25">
        <v>75</v>
      </c>
      <c r="F254" s="25">
        <v>9000</v>
      </c>
      <c r="G254">
        <f t="shared" si="15"/>
        <v>1</v>
      </c>
      <c r="H254">
        <f t="shared" si="16"/>
        <v>0</v>
      </c>
      <c r="I254">
        <f t="shared" si="17"/>
        <v>0</v>
      </c>
      <c r="J254">
        <f t="shared" si="18"/>
        <v>1</v>
      </c>
      <c r="K254">
        <f t="shared" si="19"/>
        <v>0</v>
      </c>
      <c r="L254" s="15" t="s">
        <v>73</v>
      </c>
    </row>
    <row r="255" spans="1:12" x14ac:dyDescent="0.2">
      <c r="A255" s="26" t="s">
        <v>431</v>
      </c>
      <c r="B255" s="29"/>
      <c r="C255" s="29"/>
      <c r="D255" s="27">
        <v>30</v>
      </c>
      <c r="E255" s="29"/>
      <c r="F255" s="27">
        <v>4500</v>
      </c>
      <c r="G255">
        <f t="shared" si="15"/>
        <v>0</v>
      </c>
      <c r="H255">
        <f t="shared" si="16"/>
        <v>0</v>
      </c>
      <c r="I255">
        <f t="shared" si="17"/>
        <v>1</v>
      </c>
      <c r="J255">
        <f t="shared" si="18"/>
        <v>0</v>
      </c>
      <c r="K255">
        <f t="shared" si="19"/>
        <v>0</v>
      </c>
      <c r="L255" s="15" t="s">
        <v>73</v>
      </c>
    </row>
    <row r="256" spans="1:12" x14ac:dyDescent="0.2">
      <c r="A256" s="24" t="s">
        <v>46</v>
      </c>
      <c r="B256" s="25">
        <v>4</v>
      </c>
      <c r="C256" s="28"/>
      <c r="D256" s="28"/>
      <c r="E256" s="28"/>
      <c r="F256" s="25">
        <v>500</v>
      </c>
      <c r="G256">
        <f t="shared" si="15"/>
        <v>1</v>
      </c>
      <c r="H256">
        <f t="shared" si="16"/>
        <v>0</v>
      </c>
      <c r="I256">
        <f t="shared" si="17"/>
        <v>0</v>
      </c>
      <c r="J256">
        <f t="shared" si="18"/>
        <v>0</v>
      </c>
      <c r="K256">
        <f t="shared" si="19"/>
        <v>0</v>
      </c>
      <c r="L256" s="15" t="s">
        <v>42</v>
      </c>
    </row>
    <row r="257" spans="1:12" x14ac:dyDescent="0.2">
      <c r="A257" s="26" t="s">
        <v>246</v>
      </c>
      <c r="B257" s="27">
        <v>6</v>
      </c>
      <c r="C257" s="29"/>
      <c r="D257" s="27">
        <v>22</v>
      </c>
      <c r="E257" s="29"/>
      <c r="F257" s="27">
        <v>4200</v>
      </c>
      <c r="G257">
        <f t="shared" si="15"/>
        <v>1</v>
      </c>
      <c r="H257">
        <f t="shared" si="16"/>
        <v>0</v>
      </c>
      <c r="I257">
        <f t="shared" si="17"/>
        <v>1</v>
      </c>
      <c r="J257">
        <f t="shared" si="18"/>
        <v>0</v>
      </c>
      <c r="K257">
        <f t="shared" si="19"/>
        <v>0</v>
      </c>
      <c r="L257" s="15" t="s">
        <v>73</v>
      </c>
    </row>
    <row r="258" spans="1:12" x14ac:dyDescent="0.2">
      <c r="A258" s="24" t="s">
        <v>100</v>
      </c>
      <c r="B258" s="28"/>
      <c r="C258" s="25">
        <v>5</v>
      </c>
      <c r="D258" s="28"/>
      <c r="E258" s="28"/>
      <c r="F258" s="25">
        <v>650</v>
      </c>
      <c r="G258">
        <f t="shared" si="15"/>
        <v>0</v>
      </c>
      <c r="H258">
        <f t="shared" si="16"/>
        <v>1</v>
      </c>
      <c r="I258">
        <f t="shared" si="17"/>
        <v>0</v>
      </c>
      <c r="J258">
        <f t="shared" si="18"/>
        <v>0</v>
      </c>
      <c r="K258">
        <f t="shared" si="19"/>
        <v>0</v>
      </c>
      <c r="L258" s="15" t="s">
        <v>42</v>
      </c>
    </row>
    <row r="259" spans="1:12" x14ac:dyDescent="0.2">
      <c r="A259" s="26" t="s">
        <v>309</v>
      </c>
      <c r="B259" s="27">
        <v>3</v>
      </c>
      <c r="C259" s="29"/>
      <c r="D259" s="27">
        <v>22</v>
      </c>
      <c r="E259" s="27">
        <v>90</v>
      </c>
      <c r="F259" s="27">
        <v>13800</v>
      </c>
      <c r="G259">
        <f t="shared" ref="G259:G322" si="20">IF(ISNUMBER(SEARCH("bike",A259)),1,0)</f>
        <v>1</v>
      </c>
      <c r="H259">
        <f t="shared" ref="H259:H322" si="21">IF(ISNUMBER(SEARCH("Scooty",A259)),1,0)</f>
        <v>0</v>
      </c>
      <c r="I259">
        <f t="shared" ref="I259:I322" si="22">IF(ISNUMBER(SEARCH("Car",A259)),1,0)</f>
        <v>1</v>
      </c>
      <c r="J259">
        <f t="shared" ref="J259:J322" si="23">IF(ISNUMBER(SEARCH("Commercial vehicle",A259)),1,0)</f>
        <v>1</v>
      </c>
      <c r="K259">
        <f t="shared" ref="K259:K322" si="24">IF(ISNUMBER(SEARCH("Electric Vehicle",A259)),1,0)</f>
        <v>0</v>
      </c>
      <c r="L259" s="15" t="s">
        <v>73</v>
      </c>
    </row>
    <row r="260" spans="1:12" x14ac:dyDescent="0.2">
      <c r="A260" s="24" t="s">
        <v>46</v>
      </c>
      <c r="B260" s="25">
        <v>9</v>
      </c>
      <c r="C260" s="28"/>
      <c r="D260" s="28"/>
      <c r="E260" s="28"/>
      <c r="F260" s="25">
        <v>1100</v>
      </c>
      <c r="G260">
        <f t="shared" si="20"/>
        <v>1</v>
      </c>
      <c r="H260">
        <f t="shared" si="21"/>
        <v>0</v>
      </c>
      <c r="I260">
        <f t="shared" si="22"/>
        <v>0</v>
      </c>
      <c r="J260">
        <f t="shared" si="23"/>
        <v>0</v>
      </c>
      <c r="K260">
        <f t="shared" si="24"/>
        <v>0</v>
      </c>
      <c r="L260" s="15" t="s">
        <v>42</v>
      </c>
    </row>
    <row r="261" spans="1:12" x14ac:dyDescent="0.2">
      <c r="A261" s="26" t="s">
        <v>290</v>
      </c>
      <c r="B261" s="27">
        <v>5</v>
      </c>
      <c r="C261" s="29"/>
      <c r="D261" s="29"/>
      <c r="E261" s="27">
        <v>88</v>
      </c>
      <c r="F261" s="27">
        <v>10200</v>
      </c>
      <c r="G261">
        <f t="shared" si="20"/>
        <v>1</v>
      </c>
      <c r="H261">
        <f t="shared" si="21"/>
        <v>0</v>
      </c>
      <c r="I261">
        <f t="shared" si="22"/>
        <v>0</v>
      </c>
      <c r="J261">
        <f t="shared" si="23"/>
        <v>1</v>
      </c>
      <c r="K261">
        <f t="shared" si="24"/>
        <v>0</v>
      </c>
      <c r="L261" s="15" t="s">
        <v>73</v>
      </c>
    </row>
    <row r="262" spans="1:12" x14ac:dyDescent="0.2">
      <c r="A262" s="24" t="s">
        <v>46</v>
      </c>
      <c r="B262" s="25">
        <v>9</v>
      </c>
      <c r="C262" s="28"/>
      <c r="D262" s="28"/>
      <c r="E262" s="28"/>
      <c r="F262" s="25">
        <v>1150</v>
      </c>
      <c r="G262">
        <f t="shared" si="20"/>
        <v>1</v>
      </c>
      <c r="H262">
        <f t="shared" si="21"/>
        <v>0</v>
      </c>
      <c r="I262">
        <f t="shared" si="22"/>
        <v>0</v>
      </c>
      <c r="J262">
        <f t="shared" si="23"/>
        <v>0</v>
      </c>
      <c r="K262">
        <f t="shared" si="24"/>
        <v>0</v>
      </c>
      <c r="L262" s="15" t="s">
        <v>73</v>
      </c>
    </row>
    <row r="263" spans="1:12" x14ac:dyDescent="0.2">
      <c r="A263" s="26" t="s">
        <v>100</v>
      </c>
      <c r="B263" s="29"/>
      <c r="C263" s="27">
        <v>5</v>
      </c>
      <c r="D263" s="29"/>
      <c r="E263" s="29"/>
      <c r="F263" s="27">
        <v>650</v>
      </c>
      <c r="G263">
        <f t="shared" si="20"/>
        <v>0</v>
      </c>
      <c r="H263">
        <f t="shared" si="21"/>
        <v>1</v>
      </c>
      <c r="I263">
        <f t="shared" si="22"/>
        <v>0</v>
      </c>
      <c r="J263">
        <f t="shared" si="23"/>
        <v>0</v>
      </c>
      <c r="K263">
        <f t="shared" si="24"/>
        <v>0</v>
      </c>
      <c r="L263" s="15" t="s">
        <v>42</v>
      </c>
    </row>
    <row r="264" spans="1:12" x14ac:dyDescent="0.2">
      <c r="A264" s="24" t="s">
        <v>309</v>
      </c>
      <c r="B264" s="25">
        <v>3</v>
      </c>
      <c r="C264" s="28"/>
      <c r="D264" s="25">
        <v>20</v>
      </c>
      <c r="E264" s="25">
        <v>1</v>
      </c>
      <c r="F264" s="25">
        <v>14500</v>
      </c>
      <c r="G264">
        <f t="shared" si="20"/>
        <v>1</v>
      </c>
      <c r="H264">
        <f t="shared" si="21"/>
        <v>0</v>
      </c>
      <c r="I264">
        <f t="shared" si="22"/>
        <v>1</v>
      </c>
      <c r="J264">
        <f t="shared" si="23"/>
        <v>1</v>
      </c>
      <c r="K264">
        <f t="shared" si="24"/>
        <v>0</v>
      </c>
      <c r="L264" s="15" t="s">
        <v>73</v>
      </c>
    </row>
    <row r="265" spans="1:12" x14ac:dyDescent="0.2">
      <c r="A265" s="26" t="s">
        <v>431</v>
      </c>
      <c r="B265" s="29"/>
      <c r="C265" s="29"/>
      <c r="D265" s="27">
        <v>25</v>
      </c>
      <c r="E265" s="29"/>
      <c r="F265" s="27">
        <v>3800</v>
      </c>
      <c r="G265">
        <f t="shared" si="20"/>
        <v>0</v>
      </c>
      <c r="H265">
        <f t="shared" si="21"/>
        <v>0</v>
      </c>
      <c r="I265">
        <f t="shared" si="22"/>
        <v>1</v>
      </c>
      <c r="J265">
        <f t="shared" si="23"/>
        <v>0</v>
      </c>
      <c r="K265">
        <f t="shared" si="24"/>
        <v>0</v>
      </c>
      <c r="L265" s="15" t="s">
        <v>42</v>
      </c>
    </row>
    <row r="266" spans="1:12" x14ac:dyDescent="0.2">
      <c r="A266" s="24" t="s">
        <v>46</v>
      </c>
      <c r="B266" s="25">
        <v>8</v>
      </c>
      <c r="C266" s="28"/>
      <c r="D266" s="28"/>
      <c r="E266" s="28"/>
      <c r="F266" s="25">
        <v>1000</v>
      </c>
      <c r="G266">
        <f t="shared" si="20"/>
        <v>1</v>
      </c>
      <c r="H266">
        <f t="shared" si="21"/>
        <v>0</v>
      </c>
      <c r="I266">
        <f t="shared" si="22"/>
        <v>0</v>
      </c>
      <c r="J266">
        <f t="shared" si="23"/>
        <v>0</v>
      </c>
      <c r="K266">
        <f t="shared" si="24"/>
        <v>0</v>
      </c>
      <c r="L266" s="15" t="s">
        <v>73</v>
      </c>
    </row>
    <row r="267" spans="1:12" x14ac:dyDescent="0.2">
      <c r="A267" s="26" t="s">
        <v>46</v>
      </c>
      <c r="B267" s="27">
        <v>10</v>
      </c>
      <c r="C267" s="29"/>
      <c r="D267" s="29"/>
      <c r="E267" s="29"/>
      <c r="F267" s="27">
        <v>1250</v>
      </c>
      <c r="G267">
        <f t="shared" si="20"/>
        <v>1</v>
      </c>
      <c r="H267">
        <f t="shared" si="21"/>
        <v>0</v>
      </c>
      <c r="I267">
        <f t="shared" si="22"/>
        <v>0</v>
      </c>
      <c r="J267">
        <f t="shared" si="23"/>
        <v>0</v>
      </c>
      <c r="K267">
        <f t="shared" si="24"/>
        <v>0</v>
      </c>
      <c r="L267" s="15" t="s">
        <v>42</v>
      </c>
    </row>
    <row r="268" spans="1:12" x14ac:dyDescent="0.2">
      <c r="A268" s="24" t="s">
        <v>290</v>
      </c>
      <c r="B268" s="25">
        <v>4</v>
      </c>
      <c r="C268" s="28"/>
      <c r="D268" s="28"/>
      <c r="E268" s="25">
        <v>85</v>
      </c>
      <c r="F268" s="25">
        <v>10800</v>
      </c>
      <c r="G268">
        <f t="shared" si="20"/>
        <v>1</v>
      </c>
      <c r="H268">
        <f t="shared" si="21"/>
        <v>0</v>
      </c>
      <c r="I268">
        <f t="shared" si="22"/>
        <v>0</v>
      </c>
      <c r="J268">
        <f t="shared" si="23"/>
        <v>1</v>
      </c>
      <c r="K268">
        <f t="shared" si="24"/>
        <v>0</v>
      </c>
      <c r="L268" s="15" t="s">
        <v>73</v>
      </c>
    </row>
    <row r="269" spans="1:12" x14ac:dyDescent="0.2">
      <c r="A269" s="26" t="s">
        <v>100</v>
      </c>
      <c r="B269" s="29"/>
      <c r="C269" s="27">
        <v>5</v>
      </c>
      <c r="D269" s="29"/>
      <c r="E269" s="29"/>
      <c r="F269" s="27">
        <v>650</v>
      </c>
      <c r="G269">
        <f t="shared" si="20"/>
        <v>0</v>
      </c>
      <c r="H269">
        <f t="shared" si="21"/>
        <v>1</v>
      </c>
      <c r="I269">
        <f t="shared" si="22"/>
        <v>0</v>
      </c>
      <c r="J269">
        <f t="shared" si="23"/>
        <v>0</v>
      </c>
      <c r="K269">
        <f t="shared" si="24"/>
        <v>0</v>
      </c>
      <c r="L269" s="15" t="s">
        <v>42</v>
      </c>
    </row>
    <row r="270" spans="1:12" x14ac:dyDescent="0.2">
      <c r="A270" s="24" t="s">
        <v>309</v>
      </c>
      <c r="B270" s="25">
        <v>3</v>
      </c>
      <c r="C270" s="28"/>
      <c r="D270" s="25">
        <v>18</v>
      </c>
      <c r="E270" s="25">
        <v>110</v>
      </c>
      <c r="F270" s="25">
        <v>15600</v>
      </c>
      <c r="G270">
        <f t="shared" si="20"/>
        <v>1</v>
      </c>
      <c r="H270">
        <f t="shared" si="21"/>
        <v>0</v>
      </c>
      <c r="I270">
        <f t="shared" si="22"/>
        <v>1</v>
      </c>
      <c r="J270">
        <f t="shared" si="23"/>
        <v>1</v>
      </c>
      <c r="K270">
        <f t="shared" si="24"/>
        <v>0</v>
      </c>
      <c r="L270" s="15" t="s">
        <v>73</v>
      </c>
    </row>
    <row r="271" spans="1:12" x14ac:dyDescent="0.2">
      <c r="A271" s="26" t="s">
        <v>431</v>
      </c>
      <c r="B271" s="29"/>
      <c r="C271" s="29"/>
      <c r="D271" s="27">
        <v>30</v>
      </c>
      <c r="E271" s="29"/>
      <c r="F271" s="27">
        <v>4400</v>
      </c>
      <c r="G271">
        <f t="shared" si="20"/>
        <v>0</v>
      </c>
      <c r="H271">
        <f t="shared" si="21"/>
        <v>0</v>
      </c>
      <c r="I271">
        <f t="shared" si="22"/>
        <v>1</v>
      </c>
      <c r="J271">
        <f t="shared" si="23"/>
        <v>0</v>
      </c>
      <c r="K271">
        <f t="shared" si="24"/>
        <v>0</v>
      </c>
      <c r="L271" s="15" t="s">
        <v>42</v>
      </c>
    </row>
    <row r="272" spans="1:12" x14ac:dyDescent="0.2">
      <c r="A272" s="24" t="s">
        <v>61</v>
      </c>
      <c r="B272" s="25">
        <v>9</v>
      </c>
      <c r="C272" s="25">
        <v>4</v>
      </c>
      <c r="D272" s="28"/>
      <c r="E272" s="28"/>
      <c r="F272" s="25">
        <v>1800</v>
      </c>
      <c r="G272">
        <f t="shared" si="20"/>
        <v>1</v>
      </c>
      <c r="H272">
        <f t="shared" si="21"/>
        <v>1</v>
      </c>
      <c r="I272">
        <f t="shared" si="22"/>
        <v>0</v>
      </c>
      <c r="J272">
        <f t="shared" si="23"/>
        <v>0</v>
      </c>
      <c r="K272">
        <f t="shared" si="24"/>
        <v>0</v>
      </c>
      <c r="L272" s="15" t="s">
        <v>73</v>
      </c>
    </row>
    <row r="273" spans="1:12" x14ac:dyDescent="0.2">
      <c r="A273" s="26" t="s">
        <v>100</v>
      </c>
      <c r="B273" s="29"/>
      <c r="C273" s="27">
        <v>4</v>
      </c>
      <c r="D273" s="29"/>
      <c r="E273" s="29"/>
      <c r="F273" s="27">
        <v>520</v>
      </c>
      <c r="G273">
        <f t="shared" si="20"/>
        <v>0</v>
      </c>
      <c r="H273">
        <f t="shared" si="21"/>
        <v>1</v>
      </c>
      <c r="I273">
        <f t="shared" si="22"/>
        <v>0</v>
      </c>
      <c r="J273">
        <f t="shared" si="23"/>
        <v>0</v>
      </c>
      <c r="K273">
        <f t="shared" si="24"/>
        <v>0</v>
      </c>
      <c r="L273" s="15" t="s">
        <v>42</v>
      </c>
    </row>
    <row r="274" spans="1:12" x14ac:dyDescent="0.2">
      <c r="A274" s="24" t="s">
        <v>246</v>
      </c>
      <c r="B274" s="25">
        <v>6</v>
      </c>
      <c r="C274" s="28"/>
      <c r="D274" s="25">
        <v>20</v>
      </c>
      <c r="E274" s="28"/>
      <c r="F274" s="25">
        <v>3609</v>
      </c>
      <c r="G274">
        <f t="shared" si="20"/>
        <v>1</v>
      </c>
      <c r="H274">
        <f t="shared" si="21"/>
        <v>0</v>
      </c>
      <c r="I274">
        <f t="shared" si="22"/>
        <v>1</v>
      </c>
      <c r="J274">
        <f t="shared" si="23"/>
        <v>0</v>
      </c>
      <c r="K274">
        <f t="shared" si="24"/>
        <v>0</v>
      </c>
      <c r="L274" s="15" t="s">
        <v>73</v>
      </c>
    </row>
    <row r="275" spans="1:12" x14ac:dyDescent="0.2">
      <c r="A275" s="26" t="s">
        <v>290</v>
      </c>
      <c r="B275" s="27">
        <v>5</v>
      </c>
      <c r="C275" s="29"/>
      <c r="D275" s="29"/>
      <c r="E275" s="27">
        <v>72</v>
      </c>
      <c r="F275" s="27">
        <v>9200</v>
      </c>
      <c r="G275">
        <f t="shared" si="20"/>
        <v>1</v>
      </c>
      <c r="H275">
        <f t="shared" si="21"/>
        <v>0</v>
      </c>
      <c r="I275">
        <f t="shared" si="22"/>
        <v>0</v>
      </c>
      <c r="J275">
        <f t="shared" si="23"/>
        <v>1</v>
      </c>
      <c r="K275">
        <f t="shared" si="24"/>
        <v>0</v>
      </c>
      <c r="L275" s="15" t="s">
        <v>73</v>
      </c>
    </row>
    <row r="276" spans="1:12" x14ac:dyDescent="0.2">
      <c r="A276" s="24" t="s">
        <v>431</v>
      </c>
      <c r="B276" s="28"/>
      <c r="C276" s="28"/>
      <c r="D276" s="25">
        <v>24</v>
      </c>
      <c r="E276" s="28"/>
      <c r="F276" s="25">
        <v>3700</v>
      </c>
      <c r="G276">
        <f t="shared" si="20"/>
        <v>0</v>
      </c>
      <c r="H276">
        <f t="shared" si="21"/>
        <v>0</v>
      </c>
      <c r="I276">
        <f t="shared" si="22"/>
        <v>1</v>
      </c>
      <c r="J276">
        <f t="shared" si="23"/>
        <v>0</v>
      </c>
      <c r="K276">
        <f t="shared" si="24"/>
        <v>0</v>
      </c>
      <c r="L276" s="15" t="s">
        <v>42</v>
      </c>
    </row>
    <row r="277" spans="1:12" x14ac:dyDescent="0.2">
      <c r="A277" s="26" t="s">
        <v>46</v>
      </c>
      <c r="B277" s="27">
        <v>7</v>
      </c>
      <c r="C277" s="29"/>
      <c r="D277" s="29"/>
      <c r="E277" s="29"/>
      <c r="F277" s="27">
        <v>900</v>
      </c>
      <c r="G277">
        <f t="shared" si="20"/>
        <v>1</v>
      </c>
      <c r="H277">
        <f t="shared" si="21"/>
        <v>0</v>
      </c>
      <c r="I277">
        <f t="shared" si="22"/>
        <v>0</v>
      </c>
      <c r="J277">
        <f t="shared" si="23"/>
        <v>0</v>
      </c>
      <c r="K277">
        <f t="shared" si="24"/>
        <v>0</v>
      </c>
      <c r="L277" s="15" t="s">
        <v>73</v>
      </c>
    </row>
    <row r="278" spans="1:12" x14ac:dyDescent="0.2">
      <c r="A278" s="24" t="s">
        <v>100</v>
      </c>
      <c r="B278" s="28"/>
      <c r="C278" s="25">
        <v>5</v>
      </c>
      <c r="D278" s="28"/>
      <c r="E278" s="28"/>
      <c r="F278" s="25">
        <v>650</v>
      </c>
      <c r="G278">
        <f t="shared" si="20"/>
        <v>0</v>
      </c>
      <c r="H278">
        <f t="shared" si="21"/>
        <v>1</v>
      </c>
      <c r="I278">
        <f t="shared" si="22"/>
        <v>0</v>
      </c>
      <c r="J278">
        <f t="shared" si="23"/>
        <v>0</v>
      </c>
      <c r="K278">
        <f t="shared" si="24"/>
        <v>0</v>
      </c>
      <c r="L278" s="15" t="s">
        <v>42</v>
      </c>
    </row>
    <row r="279" spans="1:12" x14ac:dyDescent="0.2">
      <c r="A279" s="26" t="s">
        <v>309</v>
      </c>
      <c r="B279" s="27">
        <v>3</v>
      </c>
      <c r="C279" s="29"/>
      <c r="D279" s="27">
        <v>22</v>
      </c>
      <c r="E279" s="27">
        <v>105</v>
      </c>
      <c r="F279" s="27">
        <v>14800</v>
      </c>
      <c r="G279">
        <f t="shared" si="20"/>
        <v>1</v>
      </c>
      <c r="H279">
        <f t="shared" si="21"/>
        <v>0</v>
      </c>
      <c r="I279">
        <f t="shared" si="22"/>
        <v>1</v>
      </c>
      <c r="J279">
        <f t="shared" si="23"/>
        <v>1</v>
      </c>
      <c r="K279">
        <f t="shared" si="24"/>
        <v>0</v>
      </c>
      <c r="L279" s="15" t="s">
        <v>73</v>
      </c>
    </row>
    <row r="280" spans="1:12" x14ac:dyDescent="0.2">
      <c r="A280" s="24" t="s">
        <v>46</v>
      </c>
      <c r="B280" s="25">
        <v>8</v>
      </c>
      <c r="C280" s="28"/>
      <c r="D280" s="28"/>
      <c r="E280" s="28"/>
      <c r="F280" s="25">
        <v>1000</v>
      </c>
      <c r="G280">
        <f t="shared" si="20"/>
        <v>1</v>
      </c>
      <c r="H280">
        <f t="shared" si="21"/>
        <v>0</v>
      </c>
      <c r="I280">
        <f t="shared" si="22"/>
        <v>0</v>
      </c>
      <c r="J280">
        <f t="shared" si="23"/>
        <v>0</v>
      </c>
      <c r="K280">
        <f t="shared" si="24"/>
        <v>0</v>
      </c>
      <c r="L280" s="15" t="s">
        <v>42</v>
      </c>
    </row>
    <row r="281" spans="1:12" x14ac:dyDescent="0.2">
      <c r="A281" s="26" t="s">
        <v>46</v>
      </c>
      <c r="B281" s="27">
        <v>35</v>
      </c>
      <c r="C281" s="29"/>
      <c r="D281" s="29"/>
      <c r="E281" s="29"/>
      <c r="F281" s="27">
        <v>1900</v>
      </c>
      <c r="G281">
        <f t="shared" si="20"/>
        <v>1</v>
      </c>
      <c r="H281">
        <f t="shared" si="21"/>
        <v>0</v>
      </c>
      <c r="I281">
        <f t="shared" si="22"/>
        <v>0</v>
      </c>
      <c r="J281">
        <f t="shared" si="23"/>
        <v>0</v>
      </c>
      <c r="K281">
        <f t="shared" si="24"/>
        <v>0</v>
      </c>
      <c r="L281" s="15" t="s">
        <v>73</v>
      </c>
    </row>
    <row r="282" spans="1:12" x14ac:dyDescent="0.2">
      <c r="A282" s="24" t="s">
        <v>46</v>
      </c>
      <c r="B282" s="25">
        <v>10</v>
      </c>
      <c r="C282" s="28"/>
      <c r="D282" s="28"/>
      <c r="E282" s="28"/>
      <c r="F282" s="25">
        <v>1300</v>
      </c>
      <c r="G282">
        <f t="shared" si="20"/>
        <v>1</v>
      </c>
      <c r="H282">
        <f t="shared" si="21"/>
        <v>0</v>
      </c>
      <c r="I282">
        <f t="shared" si="22"/>
        <v>0</v>
      </c>
      <c r="J282">
        <f t="shared" si="23"/>
        <v>0</v>
      </c>
      <c r="K282">
        <f t="shared" si="24"/>
        <v>0</v>
      </c>
      <c r="L282" s="15" t="s">
        <v>73</v>
      </c>
    </row>
    <row r="283" spans="1:12" x14ac:dyDescent="0.2">
      <c r="A283" s="26" t="s">
        <v>100</v>
      </c>
      <c r="B283" s="29"/>
      <c r="C283" s="27">
        <v>3</v>
      </c>
      <c r="D283" s="29"/>
      <c r="E283" s="29"/>
      <c r="F283" s="27">
        <v>400</v>
      </c>
      <c r="G283">
        <f t="shared" si="20"/>
        <v>0</v>
      </c>
      <c r="H283">
        <f t="shared" si="21"/>
        <v>1</v>
      </c>
      <c r="I283">
        <f t="shared" si="22"/>
        <v>0</v>
      </c>
      <c r="J283">
        <f t="shared" si="23"/>
        <v>0</v>
      </c>
      <c r="K283">
        <f t="shared" si="24"/>
        <v>0</v>
      </c>
      <c r="L283" s="15" t="s">
        <v>42</v>
      </c>
    </row>
    <row r="284" spans="1:12" x14ac:dyDescent="0.2">
      <c r="A284" s="24" t="s">
        <v>290</v>
      </c>
      <c r="B284" s="25">
        <v>4</v>
      </c>
      <c r="C284" s="28"/>
      <c r="D284" s="28"/>
      <c r="E284" s="25">
        <v>68</v>
      </c>
      <c r="F284" s="25">
        <v>9700</v>
      </c>
      <c r="G284">
        <f t="shared" si="20"/>
        <v>1</v>
      </c>
      <c r="H284">
        <f t="shared" si="21"/>
        <v>0</v>
      </c>
      <c r="I284">
        <f t="shared" si="22"/>
        <v>0</v>
      </c>
      <c r="J284">
        <f t="shared" si="23"/>
        <v>1</v>
      </c>
      <c r="K284">
        <f t="shared" si="24"/>
        <v>0</v>
      </c>
      <c r="L284" s="15" t="s">
        <v>73</v>
      </c>
    </row>
    <row r="285" spans="1:12" x14ac:dyDescent="0.2">
      <c r="A285" s="26" t="s">
        <v>46</v>
      </c>
      <c r="B285" s="27">
        <v>9</v>
      </c>
      <c r="C285" s="29"/>
      <c r="D285" s="29"/>
      <c r="E285" s="29"/>
      <c r="F285" s="27">
        <v>1100</v>
      </c>
      <c r="G285">
        <f t="shared" si="20"/>
        <v>1</v>
      </c>
      <c r="H285">
        <f t="shared" si="21"/>
        <v>0</v>
      </c>
      <c r="I285">
        <f t="shared" si="22"/>
        <v>0</v>
      </c>
      <c r="J285">
        <f t="shared" si="23"/>
        <v>0</v>
      </c>
      <c r="K285">
        <f t="shared" si="24"/>
        <v>0</v>
      </c>
      <c r="L285" s="15" t="s">
        <v>42</v>
      </c>
    </row>
    <row r="286" spans="1:12" x14ac:dyDescent="0.2">
      <c r="A286" s="24" t="s">
        <v>431</v>
      </c>
      <c r="B286" s="28"/>
      <c r="C286" s="28"/>
      <c r="D286" s="25">
        <v>25</v>
      </c>
      <c r="E286" s="28"/>
      <c r="F286" s="25">
        <v>3900</v>
      </c>
      <c r="G286">
        <f t="shared" si="20"/>
        <v>0</v>
      </c>
      <c r="H286">
        <f t="shared" si="21"/>
        <v>0</v>
      </c>
      <c r="I286">
        <f t="shared" si="22"/>
        <v>1</v>
      </c>
      <c r="J286">
        <f t="shared" si="23"/>
        <v>0</v>
      </c>
      <c r="K286">
        <f t="shared" si="24"/>
        <v>0</v>
      </c>
      <c r="L286" s="15" t="s">
        <v>73</v>
      </c>
    </row>
    <row r="287" spans="1:12" x14ac:dyDescent="0.2">
      <c r="A287" s="26" t="s">
        <v>246</v>
      </c>
      <c r="B287" s="27">
        <v>6</v>
      </c>
      <c r="C287" s="29"/>
      <c r="D287" s="27">
        <v>20</v>
      </c>
      <c r="E287" s="29"/>
      <c r="F287" s="27">
        <v>3700</v>
      </c>
      <c r="G287">
        <f t="shared" si="20"/>
        <v>1</v>
      </c>
      <c r="H287">
        <f t="shared" si="21"/>
        <v>0</v>
      </c>
      <c r="I287">
        <f t="shared" si="22"/>
        <v>1</v>
      </c>
      <c r="J287">
        <f t="shared" si="23"/>
        <v>0</v>
      </c>
      <c r="K287">
        <f t="shared" si="24"/>
        <v>0</v>
      </c>
      <c r="L287" s="15" t="s">
        <v>73</v>
      </c>
    </row>
    <row r="288" spans="1:12" x14ac:dyDescent="0.2">
      <c r="A288" s="24" t="s">
        <v>100</v>
      </c>
      <c r="B288" s="28"/>
      <c r="C288" s="25">
        <v>4</v>
      </c>
      <c r="D288" s="28"/>
      <c r="E288" s="28"/>
      <c r="F288" s="25">
        <v>550</v>
      </c>
      <c r="G288">
        <f t="shared" si="20"/>
        <v>0</v>
      </c>
      <c r="H288">
        <f t="shared" si="21"/>
        <v>1</v>
      </c>
      <c r="I288">
        <f t="shared" si="22"/>
        <v>0</v>
      </c>
      <c r="J288">
        <f t="shared" si="23"/>
        <v>0</v>
      </c>
      <c r="K288">
        <f t="shared" si="24"/>
        <v>0</v>
      </c>
      <c r="L288" s="15" t="s">
        <v>42</v>
      </c>
    </row>
    <row r="289" spans="1:12" x14ac:dyDescent="0.2">
      <c r="A289" s="26" t="s">
        <v>290</v>
      </c>
      <c r="B289" s="27">
        <v>4</v>
      </c>
      <c r="C289" s="29"/>
      <c r="D289" s="29"/>
      <c r="E289" s="27">
        <v>88</v>
      </c>
      <c r="F289" s="27">
        <v>11000</v>
      </c>
      <c r="G289">
        <f t="shared" si="20"/>
        <v>1</v>
      </c>
      <c r="H289">
        <f t="shared" si="21"/>
        <v>0</v>
      </c>
      <c r="I289">
        <f t="shared" si="22"/>
        <v>0</v>
      </c>
      <c r="J289">
        <f t="shared" si="23"/>
        <v>1</v>
      </c>
      <c r="K289">
        <f t="shared" si="24"/>
        <v>0</v>
      </c>
      <c r="L289" s="15" t="s">
        <v>73</v>
      </c>
    </row>
    <row r="290" spans="1:12" x14ac:dyDescent="0.2">
      <c r="A290" s="24" t="s">
        <v>46</v>
      </c>
      <c r="B290" s="25">
        <v>8</v>
      </c>
      <c r="C290" s="28"/>
      <c r="D290" s="28"/>
      <c r="E290" s="28"/>
      <c r="F290" s="25">
        <v>1000</v>
      </c>
      <c r="G290">
        <f t="shared" si="20"/>
        <v>1</v>
      </c>
      <c r="H290">
        <f t="shared" si="21"/>
        <v>0</v>
      </c>
      <c r="I290">
        <f t="shared" si="22"/>
        <v>0</v>
      </c>
      <c r="J290">
        <f t="shared" si="23"/>
        <v>0</v>
      </c>
      <c r="K290">
        <f t="shared" si="24"/>
        <v>0</v>
      </c>
      <c r="L290" s="15" t="s">
        <v>42</v>
      </c>
    </row>
    <row r="291" spans="1:12" x14ac:dyDescent="0.2">
      <c r="A291" s="26" t="s">
        <v>246</v>
      </c>
      <c r="B291" s="27">
        <v>5</v>
      </c>
      <c r="C291" s="29"/>
      <c r="D291" s="27">
        <v>22</v>
      </c>
      <c r="E291" s="29"/>
      <c r="F291" s="27">
        <v>4000</v>
      </c>
      <c r="G291">
        <f t="shared" si="20"/>
        <v>1</v>
      </c>
      <c r="H291">
        <f t="shared" si="21"/>
        <v>0</v>
      </c>
      <c r="I291">
        <f t="shared" si="22"/>
        <v>1</v>
      </c>
      <c r="J291">
        <f t="shared" si="23"/>
        <v>0</v>
      </c>
      <c r="K291">
        <f t="shared" si="24"/>
        <v>0</v>
      </c>
      <c r="L291" s="15" t="s">
        <v>73</v>
      </c>
    </row>
    <row r="292" spans="1:12" x14ac:dyDescent="0.2">
      <c r="A292" s="24" t="s">
        <v>46</v>
      </c>
      <c r="B292" s="25">
        <v>12</v>
      </c>
      <c r="C292" s="28"/>
      <c r="D292" s="28"/>
      <c r="E292" s="28"/>
      <c r="F292" s="25">
        <v>1550</v>
      </c>
      <c r="G292">
        <f t="shared" si="20"/>
        <v>1</v>
      </c>
      <c r="H292">
        <f t="shared" si="21"/>
        <v>0</v>
      </c>
      <c r="I292">
        <f t="shared" si="22"/>
        <v>0</v>
      </c>
      <c r="J292">
        <f t="shared" si="23"/>
        <v>0</v>
      </c>
      <c r="K292">
        <f t="shared" si="24"/>
        <v>0</v>
      </c>
      <c r="L292" s="15" t="s">
        <v>73</v>
      </c>
    </row>
    <row r="293" spans="1:12" x14ac:dyDescent="0.2">
      <c r="A293" s="26" t="s">
        <v>100</v>
      </c>
      <c r="B293" s="29"/>
      <c r="C293" s="27">
        <v>6</v>
      </c>
      <c r="D293" s="29"/>
      <c r="E293" s="29"/>
      <c r="F293" s="27">
        <v>780</v>
      </c>
      <c r="G293">
        <f t="shared" si="20"/>
        <v>0</v>
      </c>
      <c r="H293">
        <f t="shared" si="21"/>
        <v>1</v>
      </c>
      <c r="I293">
        <f t="shared" si="22"/>
        <v>0</v>
      </c>
      <c r="J293">
        <f t="shared" si="23"/>
        <v>0</v>
      </c>
      <c r="K293">
        <f t="shared" si="24"/>
        <v>0</v>
      </c>
      <c r="L293" s="15" t="s">
        <v>42</v>
      </c>
    </row>
    <row r="294" spans="1:12" x14ac:dyDescent="0.2">
      <c r="A294" s="24" t="s">
        <v>290</v>
      </c>
      <c r="B294" s="25">
        <v>4</v>
      </c>
      <c r="C294" s="28"/>
      <c r="D294" s="28"/>
      <c r="E294" s="25">
        <v>90</v>
      </c>
      <c r="F294" s="25">
        <v>11500</v>
      </c>
      <c r="G294">
        <f t="shared" si="20"/>
        <v>1</v>
      </c>
      <c r="H294">
        <f t="shared" si="21"/>
        <v>0</v>
      </c>
      <c r="I294">
        <f t="shared" si="22"/>
        <v>0</v>
      </c>
      <c r="J294">
        <f t="shared" si="23"/>
        <v>1</v>
      </c>
      <c r="K294">
        <f t="shared" si="24"/>
        <v>0</v>
      </c>
      <c r="L294" s="15" t="s">
        <v>73</v>
      </c>
    </row>
    <row r="295" spans="1:12" x14ac:dyDescent="0.2">
      <c r="A295" s="26" t="s">
        <v>431</v>
      </c>
      <c r="B295" s="29"/>
      <c r="C295" s="29"/>
      <c r="D295" s="27">
        <v>26</v>
      </c>
      <c r="E295" s="29"/>
      <c r="F295" s="27">
        <v>4000</v>
      </c>
      <c r="G295">
        <f t="shared" si="20"/>
        <v>0</v>
      </c>
      <c r="H295">
        <f t="shared" si="21"/>
        <v>0</v>
      </c>
      <c r="I295">
        <f t="shared" si="22"/>
        <v>1</v>
      </c>
      <c r="J295">
        <f t="shared" si="23"/>
        <v>0</v>
      </c>
      <c r="K295">
        <f t="shared" si="24"/>
        <v>0</v>
      </c>
      <c r="L295" s="15" t="s">
        <v>42</v>
      </c>
    </row>
    <row r="296" spans="1:12" x14ac:dyDescent="0.2">
      <c r="A296" s="24" t="s">
        <v>246</v>
      </c>
      <c r="B296" s="25">
        <v>6</v>
      </c>
      <c r="C296" s="28"/>
      <c r="D296" s="25">
        <v>23</v>
      </c>
      <c r="E296" s="28"/>
      <c r="F296" s="25">
        <v>4200</v>
      </c>
      <c r="G296">
        <f t="shared" si="20"/>
        <v>1</v>
      </c>
      <c r="H296">
        <f t="shared" si="21"/>
        <v>0</v>
      </c>
      <c r="I296">
        <f t="shared" si="22"/>
        <v>1</v>
      </c>
      <c r="J296">
        <f t="shared" si="23"/>
        <v>0</v>
      </c>
      <c r="K296">
        <f t="shared" si="24"/>
        <v>0</v>
      </c>
      <c r="L296" s="15" t="s">
        <v>73</v>
      </c>
    </row>
    <row r="297" spans="1:12" x14ac:dyDescent="0.2">
      <c r="A297" s="26" t="s">
        <v>46</v>
      </c>
      <c r="B297" s="27">
        <v>9</v>
      </c>
      <c r="C297" s="29"/>
      <c r="D297" s="29"/>
      <c r="E297" s="29"/>
      <c r="F297" s="27">
        <v>1100</v>
      </c>
      <c r="G297">
        <f t="shared" si="20"/>
        <v>1</v>
      </c>
      <c r="H297">
        <f t="shared" si="21"/>
        <v>0</v>
      </c>
      <c r="I297">
        <f t="shared" si="22"/>
        <v>0</v>
      </c>
      <c r="J297">
        <f t="shared" si="23"/>
        <v>0</v>
      </c>
      <c r="K297">
        <f t="shared" si="24"/>
        <v>0</v>
      </c>
      <c r="L297" s="15" t="s">
        <v>42</v>
      </c>
    </row>
    <row r="298" spans="1:12" x14ac:dyDescent="0.2">
      <c r="A298" s="24" t="s">
        <v>290</v>
      </c>
      <c r="B298" s="25">
        <v>3</v>
      </c>
      <c r="C298" s="28"/>
      <c r="D298" s="28"/>
      <c r="E298" s="25">
        <v>90</v>
      </c>
      <c r="F298" s="25">
        <v>12000</v>
      </c>
      <c r="G298">
        <f t="shared" si="20"/>
        <v>1</v>
      </c>
      <c r="H298">
        <f t="shared" si="21"/>
        <v>0</v>
      </c>
      <c r="I298">
        <f t="shared" si="22"/>
        <v>0</v>
      </c>
      <c r="J298">
        <f t="shared" si="23"/>
        <v>1</v>
      </c>
      <c r="K298">
        <f t="shared" si="24"/>
        <v>0</v>
      </c>
      <c r="L298" s="15" t="s">
        <v>73</v>
      </c>
    </row>
    <row r="299" spans="1:12" x14ac:dyDescent="0.2">
      <c r="A299" s="26" t="s">
        <v>431</v>
      </c>
      <c r="B299" s="29"/>
      <c r="C299" s="29"/>
      <c r="D299" s="27">
        <v>27</v>
      </c>
      <c r="E299" s="29"/>
      <c r="F299" s="27">
        <v>4700</v>
      </c>
      <c r="G299">
        <f t="shared" si="20"/>
        <v>0</v>
      </c>
      <c r="H299">
        <f t="shared" si="21"/>
        <v>0</v>
      </c>
      <c r="I299">
        <f t="shared" si="22"/>
        <v>1</v>
      </c>
      <c r="J299">
        <f t="shared" si="23"/>
        <v>0</v>
      </c>
      <c r="K299">
        <f t="shared" si="24"/>
        <v>0</v>
      </c>
      <c r="L299" s="15" t="s">
        <v>73</v>
      </c>
    </row>
    <row r="300" spans="1:12" x14ac:dyDescent="0.2">
      <c r="A300" s="24" t="s">
        <v>100</v>
      </c>
      <c r="B300" s="28"/>
      <c r="C300" s="25">
        <v>4</v>
      </c>
      <c r="D300" s="28"/>
      <c r="E300" s="28"/>
      <c r="F300" s="25">
        <v>520</v>
      </c>
      <c r="G300">
        <f t="shared" si="20"/>
        <v>0</v>
      </c>
      <c r="H300">
        <f t="shared" si="21"/>
        <v>1</v>
      </c>
      <c r="I300">
        <f t="shared" si="22"/>
        <v>0</v>
      </c>
      <c r="J300">
        <f t="shared" si="23"/>
        <v>0</v>
      </c>
      <c r="K300">
        <f t="shared" si="24"/>
        <v>0</v>
      </c>
      <c r="L300" s="15" t="s">
        <v>42</v>
      </c>
    </row>
    <row r="301" spans="1:12" x14ac:dyDescent="0.2">
      <c r="A301" s="26" t="s">
        <v>246</v>
      </c>
      <c r="B301" s="27">
        <v>5</v>
      </c>
      <c r="C301" s="29"/>
      <c r="D301" s="27">
        <v>24</v>
      </c>
      <c r="E301" s="29"/>
      <c r="F301" s="27">
        <v>4200</v>
      </c>
      <c r="G301">
        <f t="shared" si="20"/>
        <v>1</v>
      </c>
      <c r="H301">
        <f t="shared" si="21"/>
        <v>0</v>
      </c>
      <c r="I301">
        <f t="shared" si="22"/>
        <v>1</v>
      </c>
      <c r="J301">
        <f t="shared" si="23"/>
        <v>0</v>
      </c>
      <c r="K301">
        <f t="shared" si="24"/>
        <v>0</v>
      </c>
      <c r="L301" s="15" t="s">
        <v>73</v>
      </c>
    </row>
    <row r="302" spans="1:12" x14ac:dyDescent="0.2">
      <c r="A302" s="24" t="s">
        <v>46</v>
      </c>
      <c r="B302" s="25">
        <v>11</v>
      </c>
      <c r="C302" s="28"/>
      <c r="D302" s="28"/>
      <c r="E302" s="28"/>
      <c r="F302" s="25">
        <v>1450</v>
      </c>
      <c r="G302">
        <f t="shared" si="20"/>
        <v>1</v>
      </c>
      <c r="H302">
        <f t="shared" si="21"/>
        <v>0</v>
      </c>
      <c r="I302">
        <f t="shared" si="22"/>
        <v>0</v>
      </c>
      <c r="J302">
        <f t="shared" si="23"/>
        <v>0</v>
      </c>
      <c r="K302">
        <f t="shared" si="24"/>
        <v>0</v>
      </c>
      <c r="L302" s="15" t="s">
        <v>73</v>
      </c>
    </row>
    <row r="303" spans="1:12" x14ac:dyDescent="0.2">
      <c r="A303" s="26" t="s">
        <v>100</v>
      </c>
      <c r="B303" s="29"/>
      <c r="C303" s="27">
        <v>5</v>
      </c>
      <c r="D303" s="29"/>
      <c r="E303" s="29"/>
      <c r="F303" s="27">
        <v>650</v>
      </c>
      <c r="G303">
        <f t="shared" si="20"/>
        <v>0</v>
      </c>
      <c r="H303">
        <f t="shared" si="21"/>
        <v>1</v>
      </c>
      <c r="I303">
        <f t="shared" si="22"/>
        <v>0</v>
      </c>
      <c r="J303">
        <f t="shared" si="23"/>
        <v>0</v>
      </c>
      <c r="K303">
        <f t="shared" si="24"/>
        <v>0</v>
      </c>
      <c r="L303" s="15" t="s">
        <v>42</v>
      </c>
    </row>
    <row r="304" spans="1:12" x14ac:dyDescent="0.2">
      <c r="A304" s="24" t="s">
        <v>290</v>
      </c>
      <c r="B304" s="25">
        <v>3</v>
      </c>
      <c r="C304" s="28"/>
      <c r="D304" s="28"/>
      <c r="E304" s="25">
        <v>98</v>
      </c>
      <c r="F304" s="25">
        <v>12800</v>
      </c>
      <c r="G304">
        <f t="shared" si="20"/>
        <v>1</v>
      </c>
      <c r="H304">
        <f t="shared" si="21"/>
        <v>0</v>
      </c>
      <c r="I304">
        <f t="shared" si="22"/>
        <v>0</v>
      </c>
      <c r="J304">
        <f t="shared" si="23"/>
        <v>1</v>
      </c>
      <c r="K304">
        <f t="shared" si="24"/>
        <v>0</v>
      </c>
      <c r="L304" s="15" t="s">
        <v>73</v>
      </c>
    </row>
    <row r="305" spans="1:12" x14ac:dyDescent="0.2">
      <c r="A305" s="26" t="s">
        <v>431</v>
      </c>
      <c r="B305" s="29"/>
      <c r="C305" s="29"/>
      <c r="D305" s="27">
        <v>26</v>
      </c>
      <c r="E305" s="29"/>
      <c r="F305" s="27">
        <v>4000</v>
      </c>
      <c r="G305">
        <f t="shared" si="20"/>
        <v>0</v>
      </c>
      <c r="H305">
        <f t="shared" si="21"/>
        <v>0</v>
      </c>
      <c r="I305">
        <f t="shared" si="22"/>
        <v>1</v>
      </c>
      <c r="J305">
        <f t="shared" si="23"/>
        <v>0</v>
      </c>
      <c r="K305">
        <f t="shared" si="24"/>
        <v>0</v>
      </c>
      <c r="L305" s="15" t="s">
        <v>42</v>
      </c>
    </row>
    <row r="306" spans="1:12" x14ac:dyDescent="0.2">
      <c r="A306" s="24" t="s">
        <v>246</v>
      </c>
      <c r="B306" s="25">
        <v>6</v>
      </c>
      <c r="C306" s="28"/>
      <c r="D306" s="25">
        <v>22</v>
      </c>
      <c r="E306" s="28"/>
      <c r="F306" s="25">
        <v>4000</v>
      </c>
      <c r="G306">
        <f t="shared" si="20"/>
        <v>1</v>
      </c>
      <c r="H306">
        <f t="shared" si="21"/>
        <v>0</v>
      </c>
      <c r="I306">
        <f t="shared" si="22"/>
        <v>1</v>
      </c>
      <c r="J306">
        <f t="shared" si="23"/>
        <v>0</v>
      </c>
      <c r="K306">
        <f t="shared" si="24"/>
        <v>0</v>
      </c>
      <c r="L306" s="15" t="s">
        <v>73</v>
      </c>
    </row>
    <row r="307" spans="1:12" x14ac:dyDescent="0.2">
      <c r="A307" s="26" t="s">
        <v>100</v>
      </c>
      <c r="B307" s="29"/>
      <c r="C307" s="27">
        <v>5</v>
      </c>
      <c r="D307" s="29"/>
      <c r="E307" s="29"/>
      <c r="F307" s="27">
        <v>650</v>
      </c>
      <c r="G307">
        <f t="shared" si="20"/>
        <v>0</v>
      </c>
      <c r="H307">
        <f t="shared" si="21"/>
        <v>1</v>
      </c>
      <c r="I307">
        <f t="shared" si="22"/>
        <v>0</v>
      </c>
      <c r="J307">
        <f t="shared" si="23"/>
        <v>0</v>
      </c>
      <c r="K307">
        <f t="shared" si="24"/>
        <v>0</v>
      </c>
      <c r="L307" s="15" t="s">
        <v>42</v>
      </c>
    </row>
    <row r="308" spans="1:12" x14ac:dyDescent="0.2">
      <c r="A308" s="24" t="s">
        <v>290</v>
      </c>
      <c r="B308" s="25">
        <v>4</v>
      </c>
      <c r="C308" s="28"/>
      <c r="D308" s="28"/>
      <c r="E308" s="25">
        <v>92</v>
      </c>
      <c r="F308" s="25">
        <v>11800</v>
      </c>
      <c r="G308">
        <f t="shared" si="20"/>
        <v>1</v>
      </c>
      <c r="H308">
        <f t="shared" si="21"/>
        <v>0</v>
      </c>
      <c r="I308">
        <f t="shared" si="22"/>
        <v>0</v>
      </c>
      <c r="J308">
        <f t="shared" si="23"/>
        <v>1</v>
      </c>
      <c r="K308">
        <f t="shared" si="24"/>
        <v>0</v>
      </c>
      <c r="L308" s="15" t="s">
        <v>73</v>
      </c>
    </row>
    <row r="309" spans="1:12" x14ac:dyDescent="0.2">
      <c r="A309" s="26" t="s">
        <v>431</v>
      </c>
      <c r="B309" s="29"/>
      <c r="C309" s="29"/>
      <c r="D309" s="27">
        <v>39</v>
      </c>
      <c r="E309" s="29"/>
      <c r="F309" s="27">
        <v>4400</v>
      </c>
      <c r="G309">
        <f t="shared" si="20"/>
        <v>0</v>
      </c>
      <c r="H309">
        <f t="shared" si="21"/>
        <v>0</v>
      </c>
      <c r="I309">
        <f t="shared" si="22"/>
        <v>1</v>
      </c>
      <c r="J309">
        <f t="shared" si="23"/>
        <v>0</v>
      </c>
      <c r="K309">
        <f t="shared" si="24"/>
        <v>0</v>
      </c>
      <c r="L309" s="15" t="s">
        <v>73</v>
      </c>
    </row>
    <row r="310" spans="1:12" x14ac:dyDescent="0.2">
      <c r="A310" s="24" t="s">
        <v>100</v>
      </c>
      <c r="B310" s="28"/>
      <c r="C310" s="25">
        <v>4</v>
      </c>
      <c r="D310" s="28"/>
      <c r="E310" s="28"/>
      <c r="F310" s="25">
        <v>520</v>
      </c>
      <c r="G310">
        <f t="shared" si="20"/>
        <v>0</v>
      </c>
      <c r="H310">
        <f t="shared" si="21"/>
        <v>1</v>
      </c>
      <c r="I310">
        <f t="shared" si="22"/>
        <v>0</v>
      </c>
      <c r="J310">
        <f t="shared" si="23"/>
        <v>0</v>
      </c>
      <c r="K310">
        <f t="shared" si="24"/>
        <v>0</v>
      </c>
      <c r="L310" s="15" t="s">
        <v>42</v>
      </c>
    </row>
    <row r="311" spans="1:12" x14ac:dyDescent="0.2">
      <c r="A311" s="26" t="s">
        <v>246</v>
      </c>
      <c r="B311" s="27">
        <v>5</v>
      </c>
      <c r="C311" s="29"/>
      <c r="D311" s="27">
        <v>25</v>
      </c>
      <c r="E311" s="29"/>
      <c r="F311" s="27">
        <v>4500</v>
      </c>
      <c r="G311">
        <f t="shared" si="20"/>
        <v>1</v>
      </c>
      <c r="H311">
        <f t="shared" si="21"/>
        <v>0</v>
      </c>
      <c r="I311">
        <f t="shared" si="22"/>
        <v>1</v>
      </c>
      <c r="J311">
        <f t="shared" si="23"/>
        <v>0</v>
      </c>
      <c r="K311">
        <f t="shared" si="24"/>
        <v>0</v>
      </c>
      <c r="L311" s="15" t="s">
        <v>73</v>
      </c>
    </row>
    <row r="312" spans="1:12" x14ac:dyDescent="0.2">
      <c r="A312" s="24" t="s">
        <v>46</v>
      </c>
      <c r="B312" s="25">
        <v>10</v>
      </c>
      <c r="C312" s="28"/>
      <c r="D312" s="28"/>
      <c r="E312" s="28"/>
      <c r="F312" s="25">
        <v>1300</v>
      </c>
      <c r="G312">
        <f t="shared" si="20"/>
        <v>1</v>
      </c>
      <c r="H312">
        <f t="shared" si="21"/>
        <v>0</v>
      </c>
      <c r="I312">
        <f t="shared" si="22"/>
        <v>0</v>
      </c>
      <c r="J312">
        <f t="shared" si="23"/>
        <v>0</v>
      </c>
      <c r="K312">
        <f t="shared" si="24"/>
        <v>0</v>
      </c>
      <c r="L312" s="15" t="s">
        <v>73</v>
      </c>
    </row>
    <row r="313" spans="1:12" x14ac:dyDescent="0.2">
      <c r="A313" s="26" t="s">
        <v>246</v>
      </c>
      <c r="B313" s="27">
        <v>5</v>
      </c>
      <c r="C313" s="29"/>
      <c r="D313" s="27">
        <v>21</v>
      </c>
      <c r="E313" s="29"/>
      <c r="F313" s="27">
        <v>3600</v>
      </c>
      <c r="G313">
        <f t="shared" si="20"/>
        <v>1</v>
      </c>
      <c r="H313">
        <f t="shared" si="21"/>
        <v>0</v>
      </c>
      <c r="I313">
        <f t="shared" si="22"/>
        <v>1</v>
      </c>
      <c r="J313">
        <f t="shared" si="23"/>
        <v>0</v>
      </c>
      <c r="K313">
        <f t="shared" si="24"/>
        <v>0</v>
      </c>
      <c r="L313" s="15" t="s">
        <v>73</v>
      </c>
    </row>
    <row r="314" spans="1:12" x14ac:dyDescent="0.2">
      <c r="A314" s="24" t="s">
        <v>290</v>
      </c>
      <c r="B314" s="25">
        <v>4</v>
      </c>
      <c r="C314" s="28"/>
      <c r="D314" s="28"/>
      <c r="E314" s="25">
        <v>85</v>
      </c>
      <c r="F314" s="25">
        <v>11000</v>
      </c>
      <c r="G314">
        <f t="shared" si="20"/>
        <v>1</v>
      </c>
      <c r="H314">
        <f t="shared" si="21"/>
        <v>0</v>
      </c>
      <c r="I314">
        <f t="shared" si="22"/>
        <v>0</v>
      </c>
      <c r="J314">
        <f t="shared" si="23"/>
        <v>1</v>
      </c>
      <c r="K314">
        <f t="shared" si="24"/>
        <v>0</v>
      </c>
      <c r="L314" s="15" t="s">
        <v>73</v>
      </c>
    </row>
    <row r="315" spans="1:12" x14ac:dyDescent="0.2">
      <c r="A315" s="26" t="s">
        <v>100</v>
      </c>
      <c r="B315" s="29"/>
      <c r="C315" s="27">
        <v>8</v>
      </c>
      <c r="D315" s="29"/>
      <c r="E315" s="29"/>
      <c r="F315" s="27">
        <v>650</v>
      </c>
      <c r="G315">
        <f t="shared" si="20"/>
        <v>0</v>
      </c>
      <c r="H315">
        <f t="shared" si="21"/>
        <v>1</v>
      </c>
      <c r="I315">
        <f t="shared" si="22"/>
        <v>0</v>
      </c>
      <c r="J315">
        <f t="shared" si="23"/>
        <v>0</v>
      </c>
      <c r="K315">
        <f t="shared" si="24"/>
        <v>0</v>
      </c>
      <c r="L315" s="15" t="s">
        <v>42</v>
      </c>
    </row>
    <row r="316" spans="1:12" x14ac:dyDescent="0.2">
      <c r="A316" s="24" t="s">
        <v>46</v>
      </c>
      <c r="B316" s="25">
        <v>11</v>
      </c>
      <c r="C316" s="28"/>
      <c r="D316" s="28"/>
      <c r="E316" s="28"/>
      <c r="F316" s="25">
        <v>1000</v>
      </c>
      <c r="G316">
        <f t="shared" si="20"/>
        <v>1</v>
      </c>
      <c r="H316">
        <f t="shared" si="21"/>
        <v>0</v>
      </c>
      <c r="I316">
        <f t="shared" si="22"/>
        <v>0</v>
      </c>
      <c r="J316">
        <f t="shared" si="23"/>
        <v>0</v>
      </c>
      <c r="K316">
        <f t="shared" si="24"/>
        <v>0</v>
      </c>
      <c r="L316" s="15" t="s">
        <v>73</v>
      </c>
    </row>
    <row r="317" spans="1:12" x14ac:dyDescent="0.2">
      <c r="A317" s="26" t="s">
        <v>100</v>
      </c>
      <c r="B317" s="29"/>
      <c r="C317" s="27">
        <v>4</v>
      </c>
      <c r="D317" s="29"/>
      <c r="E317" s="29"/>
      <c r="F317" s="27">
        <v>420</v>
      </c>
      <c r="G317">
        <f t="shared" si="20"/>
        <v>0</v>
      </c>
      <c r="H317">
        <f t="shared" si="21"/>
        <v>1</v>
      </c>
      <c r="I317">
        <f t="shared" si="22"/>
        <v>0</v>
      </c>
      <c r="J317">
        <f t="shared" si="23"/>
        <v>0</v>
      </c>
      <c r="K317">
        <f t="shared" si="24"/>
        <v>0</v>
      </c>
      <c r="L317" s="15" t="s">
        <v>42</v>
      </c>
    </row>
    <row r="318" spans="1:12" x14ac:dyDescent="0.2">
      <c r="A318" s="24" t="s">
        <v>290</v>
      </c>
      <c r="B318" s="25">
        <v>4</v>
      </c>
      <c r="C318" s="28"/>
      <c r="D318" s="28"/>
      <c r="E318" s="25">
        <v>85</v>
      </c>
      <c r="F318" s="25">
        <v>10800</v>
      </c>
      <c r="G318">
        <f t="shared" si="20"/>
        <v>1</v>
      </c>
      <c r="H318">
        <f t="shared" si="21"/>
        <v>0</v>
      </c>
      <c r="I318">
        <f t="shared" si="22"/>
        <v>0</v>
      </c>
      <c r="J318">
        <f t="shared" si="23"/>
        <v>1</v>
      </c>
      <c r="K318">
        <f t="shared" si="24"/>
        <v>0</v>
      </c>
      <c r="L318" s="15" t="s">
        <v>73</v>
      </c>
    </row>
    <row r="319" spans="1:12" x14ac:dyDescent="0.2">
      <c r="A319" s="26" t="s">
        <v>431</v>
      </c>
      <c r="B319" s="29"/>
      <c r="C319" s="29"/>
      <c r="D319" s="27">
        <v>26</v>
      </c>
      <c r="E319" s="29"/>
      <c r="F319" s="27">
        <v>4000</v>
      </c>
      <c r="G319">
        <f t="shared" si="20"/>
        <v>0</v>
      </c>
      <c r="H319">
        <f t="shared" si="21"/>
        <v>0</v>
      </c>
      <c r="I319">
        <f t="shared" si="22"/>
        <v>1</v>
      </c>
      <c r="J319">
        <f t="shared" si="23"/>
        <v>0</v>
      </c>
      <c r="K319">
        <f t="shared" si="24"/>
        <v>0</v>
      </c>
      <c r="L319" s="15" t="s">
        <v>73</v>
      </c>
    </row>
    <row r="320" spans="1:12" x14ac:dyDescent="0.2">
      <c r="A320" s="24" t="s">
        <v>46</v>
      </c>
      <c r="B320" s="25">
        <v>9</v>
      </c>
      <c r="C320" s="28"/>
      <c r="D320" s="28"/>
      <c r="E320" s="28"/>
      <c r="F320" s="25">
        <v>1000</v>
      </c>
      <c r="G320">
        <f t="shared" si="20"/>
        <v>1</v>
      </c>
      <c r="H320">
        <f t="shared" si="21"/>
        <v>0</v>
      </c>
      <c r="I320">
        <f t="shared" si="22"/>
        <v>0</v>
      </c>
      <c r="J320">
        <f t="shared" si="23"/>
        <v>0</v>
      </c>
      <c r="K320">
        <f t="shared" si="24"/>
        <v>0</v>
      </c>
      <c r="L320" s="15" t="s">
        <v>42</v>
      </c>
    </row>
    <row r="321" spans="1:12" x14ac:dyDescent="0.2">
      <c r="A321" s="26" t="s">
        <v>246</v>
      </c>
      <c r="B321" s="27">
        <v>6</v>
      </c>
      <c r="C321" s="29"/>
      <c r="D321" s="27">
        <v>22</v>
      </c>
      <c r="E321" s="29"/>
      <c r="F321" s="27">
        <v>4000</v>
      </c>
      <c r="G321">
        <f t="shared" si="20"/>
        <v>1</v>
      </c>
      <c r="H321">
        <f t="shared" si="21"/>
        <v>0</v>
      </c>
      <c r="I321">
        <f t="shared" si="22"/>
        <v>1</v>
      </c>
      <c r="J321">
        <f t="shared" si="23"/>
        <v>0</v>
      </c>
      <c r="K321">
        <f t="shared" si="24"/>
        <v>0</v>
      </c>
      <c r="L321" s="15" t="s">
        <v>73</v>
      </c>
    </row>
    <row r="322" spans="1:12" x14ac:dyDescent="0.2">
      <c r="A322" s="24" t="s">
        <v>46</v>
      </c>
      <c r="B322" s="25">
        <v>10</v>
      </c>
      <c r="C322" s="28"/>
      <c r="D322" s="28"/>
      <c r="E322" s="28"/>
      <c r="F322" s="25">
        <v>1300</v>
      </c>
      <c r="G322">
        <f t="shared" si="20"/>
        <v>1</v>
      </c>
      <c r="H322">
        <f t="shared" si="21"/>
        <v>0</v>
      </c>
      <c r="I322">
        <f t="shared" si="22"/>
        <v>0</v>
      </c>
      <c r="J322">
        <f t="shared" si="23"/>
        <v>0</v>
      </c>
      <c r="K322">
        <f t="shared" si="24"/>
        <v>0</v>
      </c>
      <c r="L322" s="15" t="s">
        <v>73</v>
      </c>
    </row>
    <row r="323" spans="1:12" x14ac:dyDescent="0.2">
      <c r="A323" s="50" t="s">
        <v>1498</v>
      </c>
      <c r="B323" s="27">
        <v>3</v>
      </c>
      <c r="C323" s="29"/>
      <c r="D323" s="29"/>
      <c r="E323" s="29"/>
      <c r="F323" s="27">
        <v>390</v>
      </c>
      <c r="G323">
        <f t="shared" ref="G323:G386" si="25">IF(ISNUMBER(SEARCH("bike",A323)),1,0)</f>
        <v>1</v>
      </c>
      <c r="H323">
        <f t="shared" ref="H323:H386" si="26">IF(ISNUMBER(SEARCH("Scooty",A323)),1,0)</f>
        <v>0</v>
      </c>
      <c r="I323">
        <f t="shared" ref="I323:I386" si="27">IF(ISNUMBER(SEARCH("Car",A323)),1,0)</f>
        <v>0</v>
      </c>
      <c r="J323">
        <f t="shared" ref="J323:J386" si="28">IF(ISNUMBER(SEARCH("Commercial vehicle",A323)),1,0)</f>
        <v>0</v>
      </c>
      <c r="K323">
        <f t="shared" ref="K323:K386" si="29">IF(ISNUMBER(SEARCH("Electric Vehicle",A323)),1,0)</f>
        <v>0</v>
      </c>
      <c r="L323" s="15" t="s">
        <v>42</v>
      </c>
    </row>
    <row r="324" spans="1:12" x14ac:dyDescent="0.2">
      <c r="A324" s="24" t="s">
        <v>46</v>
      </c>
      <c r="B324" s="25">
        <v>30</v>
      </c>
      <c r="C324" s="28"/>
      <c r="D324" s="28"/>
      <c r="E324" s="28"/>
      <c r="F324" s="25">
        <v>3000</v>
      </c>
      <c r="G324">
        <f t="shared" si="25"/>
        <v>1</v>
      </c>
      <c r="H324">
        <f t="shared" si="26"/>
        <v>0</v>
      </c>
      <c r="I324">
        <f t="shared" si="27"/>
        <v>0</v>
      </c>
      <c r="J324">
        <f t="shared" si="28"/>
        <v>0</v>
      </c>
      <c r="K324">
        <f t="shared" si="29"/>
        <v>0</v>
      </c>
      <c r="L324" s="15" t="s">
        <v>42</v>
      </c>
    </row>
    <row r="325" spans="1:12" x14ac:dyDescent="0.2">
      <c r="A325" s="26" t="s">
        <v>290</v>
      </c>
      <c r="B325" s="27">
        <v>4</v>
      </c>
      <c r="C325" s="29"/>
      <c r="D325" s="29"/>
      <c r="E325" s="27">
        <v>90</v>
      </c>
      <c r="F325" s="27">
        <v>11600</v>
      </c>
      <c r="G325">
        <f t="shared" si="25"/>
        <v>1</v>
      </c>
      <c r="H325">
        <f t="shared" si="26"/>
        <v>0</v>
      </c>
      <c r="I325">
        <f t="shared" si="27"/>
        <v>0</v>
      </c>
      <c r="J325">
        <f t="shared" si="28"/>
        <v>1</v>
      </c>
      <c r="K325">
        <f t="shared" si="29"/>
        <v>0</v>
      </c>
      <c r="L325" s="15" t="s">
        <v>73</v>
      </c>
    </row>
    <row r="326" spans="1:12" x14ac:dyDescent="0.2">
      <c r="A326" s="24" t="s">
        <v>100</v>
      </c>
      <c r="B326" s="28"/>
      <c r="C326" s="25">
        <v>5</v>
      </c>
      <c r="D326" s="28"/>
      <c r="E326" s="28"/>
      <c r="F326" s="25">
        <v>650</v>
      </c>
      <c r="G326">
        <f t="shared" si="25"/>
        <v>0</v>
      </c>
      <c r="H326">
        <f t="shared" si="26"/>
        <v>1</v>
      </c>
      <c r="I326">
        <f t="shared" si="27"/>
        <v>0</v>
      </c>
      <c r="J326">
        <f t="shared" si="28"/>
        <v>0</v>
      </c>
      <c r="K326">
        <f t="shared" si="29"/>
        <v>0</v>
      </c>
      <c r="L326" s="15" t="s">
        <v>42</v>
      </c>
    </row>
    <row r="327" spans="1:12" x14ac:dyDescent="0.2">
      <c r="A327" s="26" t="s">
        <v>246</v>
      </c>
      <c r="B327" s="27">
        <v>5</v>
      </c>
      <c r="C327" s="29"/>
      <c r="D327" s="27">
        <v>24</v>
      </c>
      <c r="E327" s="29"/>
      <c r="F327" s="27">
        <v>4300</v>
      </c>
      <c r="G327">
        <f t="shared" si="25"/>
        <v>1</v>
      </c>
      <c r="H327">
        <f t="shared" si="26"/>
        <v>0</v>
      </c>
      <c r="I327">
        <f t="shared" si="27"/>
        <v>1</v>
      </c>
      <c r="J327">
        <f t="shared" si="28"/>
        <v>0</v>
      </c>
      <c r="K327">
        <f t="shared" si="29"/>
        <v>0</v>
      </c>
      <c r="L327" s="15" t="s">
        <v>73</v>
      </c>
    </row>
    <row r="328" spans="1:12" x14ac:dyDescent="0.2">
      <c r="A328" s="24" t="s">
        <v>46</v>
      </c>
      <c r="B328" s="25">
        <v>8</v>
      </c>
      <c r="C328" s="28"/>
      <c r="D328" s="28"/>
      <c r="E328" s="28"/>
      <c r="F328" s="25">
        <v>850</v>
      </c>
      <c r="G328">
        <f t="shared" si="25"/>
        <v>1</v>
      </c>
      <c r="H328">
        <f t="shared" si="26"/>
        <v>0</v>
      </c>
      <c r="I328">
        <f t="shared" si="27"/>
        <v>0</v>
      </c>
      <c r="J328">
        <f t="shared" si="28"/>
        <v>0</v>
      </c>
      <c r="K328">
        <f t="shared" si="29"/>
        <v>0</v>
      </c>
      <c r="L328" s="15" t="s">
        <v>42</v>
      </c>
    </row>
    <row r="329" spans="1:12" x14ac:dyDescent="0.2">
      <c r="A329" s="26" t="s">
        <v>431</v>
      </c>
      <c r="B329" s="27"/>
      <c r="C329" s="29"/>
      <c r="D329" s="29">
        <v>24</v>
      </c>
      <c r="E329" s="29"/>
      <c r="F329" s="27">
        <v>3000</v>
      </c>
      <c r="G329">
        <f t="shared" si="25"/>
        <v>0</v>
      </c>
      <c r="H329">
        <f t="shared" si="26"/>
        <v>0</v>
      </c>
      <c r="I329">
        <f t="shared" si="27"/>
        <v>1</v>
      </c>
      <c r="J329">
        <f t="shared" si="28"/>
        <v>0</v>
      </c>
      <c r="K329">
        <f t="shared" si="29"/>
        <v>0</v>
      </c>
      <c r="L329" s="15" t="s">
        <v>73</v>
      </c>
    </row>
    <row r="330" spans="1:12" x14ac:dyDescent="0.2">
      <c r="A330" s="47" t="s">
        <v>1498</v>
      </c>
      <c r="B330" s="28">
        <v>8</v>
      </c>
      <c r="C330" s="25"/>
      <c r="D330" s="28"/>
      <c r="E330" s="28"/>
      <c r="F330" s="25">
        <v>300</v>
      </c>
      <c r="G330">
        <f t="shared" si="25"/>
        <v>1</v>
      </c>
      <c r="H330">
        <f t="shared" si="26"/>
        <v>0</v>
      </c>
      <c r="I330">
        <f t="shared" si="27"/>
        <v>0</v>
      </c>
      <c r="J330">
        <f t="shared" si="28"/>
        <v>0</v>
      </c>
      <c r="K330">
        <f t="shared" si="29"/>
        <v>0</v>
      </c>
      <c r="L330" s="15" t="s">
        <v>42</v>
      </c>
    </row>
    <row r="331" spans="1:12" x14ac:dyDescent="0.2">
      <c r="A331" s="26" t="s">
        <v>431</v>
      </c>
      <c r="B331" s="29"/>
      <c r="C331" s="29"/>
      <c r="D331" s="27">
        <v>28</v>
      </c>
      <c r="E331" s="29"/>
      <c r="F331" s="27">
        <v>2800</v>
      </c>
      <c r="G331">
        <f t="shared" si="25"/>
        <v>0</v>
      </c>
      <c r="H331">
        <f t="shared" si="26"/>
        <v>0</v>
      </c>
      <c r="I331">
        <f t="shared" si="27"/>
        <v>1</v>
      </c>
      <c r="J331">
        <f t="shared" si="28"/>
        <v>0</v>
      </c>
      <c r="K331">
        <f t="shared" si="29"/>
        <v>0</v>
      </c>
      <c r="L331" s="15" t="s">
        <v>73</v>
      </c>
    </row>
    <row r="332" spans="1:12" x14ac:dyDescent="0.2">
      <c r="A332" s="24" t="s">
        <v>100</v>
      </c>
      <c r="B332" s="28"/>
      <c r="C332" s="25">
        <v>9</v>
      </c>
      <c r="D332" s="28"/>
      <c r="E332" s="28"/>
      <c r="F332" s="25">
        <v>900</v>
      </c>
      <c r="G332">
        <f t="shared" si="25"/>
        <v>0</v>
      </c>
      <c r="H332">
        <f t="shared" si="26"/>
        <v>1</v>
      </c>
      <c r="I332">
        <f t="shared" si="27"/>
        <v>0</v>
      </c>
      <c r="J332">
        <f t="shared" si="28"/>
        <v>0</v>
      </c>
      <c r="K332">
        <f t="shared" si="29"/>
        <v>0</v>
      </c>
      <c r="L332" s="15" t="s">
        <v>42</v>
      </c>
    </row>
    <row r="333" spans="1:12" x14ac:dyDescent="0.2">
      <c r="A333" s="26" t="s">
        <v>246</v>
      </c>
      <c r="B333" s="27">
        <v>6</v>
      </c>
      <c r="C333" s="29"/>
      <c r="D333" s="27">
        <v>22</v>
      </c>
      <c r="E333" s="29"/>
      <c r="F333" s="27">
        <v>4000</v>
      </c>
      <c r="G333">
        <f t="shared" si="25"/>
        <v>1</v>
      </c>
      <c r="H333">
        <f t="shared" si="26"/>
        <v>0</v>
      </c>
      <c r="I333">
        <f t="shared" si="27"/>
        <v>1</v>
      </c>
      <c r="J333">
        <f t="shared" si="28"/>
        <v>0</v>
      </c>
      <c r="K333">
        <f t="shared" si="29"/>
        <v>0</v>
      </c>
      <c r="L333" s="15" t="s">
        <v>73</v>
      </c>
    </row>
    <row r="334" spans="1:12" x14ac:dyDescent="0.2">
      <c r="A334" s="24" t="s">
        <v>100</v>
      </c>
      <c r="B334" s="28"/>
      <c r="C334" s="25">
        <v>5</v>
      </c>
      <c r="D334" s="28"/>
      <c r="E334" s="28"/>
      <c r="F334" s="25">
        <v>650</v>
      </c>
      <c r="G334">
        <f t="shared" si="25"/>
        <v>0</v>
      </c>
      <c r="H334">
        <f t="shared" si="26"/>
        <v>1</v>
      </c>
      <c r="I334">
        <f t="shared" si="27"/>
        <v>0</v>
      </c>
      <c r="J334">
        <f t="shared" si="28"/>
        <v>0</v>
      </c>
      <c r="K334">
        <f t="shared" si="29"/>
        <v>0</v>
      </c>
      <c r="L334" s="15" t="s">
        <v>42</v>
      </c>
    </row>
    <row r="335" spans="1:12" x14ac:dyDescent="0.2">
      <c r="A335" s="26" t="s">
        <v>290</v>
      </c>
      <c r="B335" s="27">
        <v>3</v>
      </c>
      <c r="C335" s="29"/>
      <c r="D335" s="29"/>
      <c r="E335" s="27">
        <v>90</v>
      </c>
      <c r="F335" s="27">
        <v>12000</v>
      </c>
      <c r="G335">
        <f t="shared" si="25"/>
        <v>1</v>
      </c>
      <c r="H335">
        <f t="shared" si="26"/>
        <v>0</v>
      </c>
      <c r="I335">
        <f t="shared" si="27"/>
        <v>0</v>
      </c>
      <c r="J335">
        <f t="shared" si="28"/>
        <v>1</v>
      </c>
      <c r="K335">
        <f t="shared" si="29"/>
        <v>0</v>
      </c>
      <c r="L335" s="15" t="s">
        <v>42</v>
      </c>
    </row>
    <row r="336" spans="1:12" x14ac:dyDescent="0.2">
      <c r="A336" s="24" t="s">
        <v>46</v>
      </c>
      <c r="B336" s="25">
        <v>9</v>
      </c>
      <c r="C336" s="28"/>
      <c r="D336" s="28"/>
      <c r="E336" s="28"/>
      <c r="F336" s="25">
        <v>1000</v>
      </c>
      <c r="G336">
        <f t="shared" si="25"/>
        <v>1</v>
      </c>
      <c r="H336">
        <f t="shared" si="26"/>
        <v>0</v>
      </c>
      <c r="I336">
        <f t="shared" si="27"/>
        <v>0</v>
      </c>
      <c r="J336">
        <f t="shared" si="28"/>
        <v>0</v>
      </c>
      <c r="K336">
        <f t="shared" si="29"/>
        <v>0</v>
      </c>
      <c r="L336" s="15" t="s">
        <v>42</v>
      </c>
    </row>
    <row r="337" spans="1:12" x14ac:dyDescent="0.2">
      <c r="A337" s="26" t="s">
        <v>431</v>
      </c>
      <c r="B337" s="29"/>
      <c r="C337" s="29"/>
      <c r="D337" s="27">
        <v>24</v>
      </c>
      <c r="E337" s="29"/>
      <c r="F337" s="27">
        <v>3000</v>
      </c>
      <c r="G337">
        <f t="shared" si="25"/>
        <v>0</v>
      </c>
      <c r="H337">
        <f t="shared" si="26"/>
        <v>0</v>
      </c>
      <c r="I337">
        <f t="shared" si="27"/>
        <v>1</v>
      </c>
      <c r="J337">
        <f t="shared" si="28"/>
        <v>0</v>
      </c>
      <c r="K337">
        <f t="shared" si="29"/>
        <v>0</v>
      </c>
      <c r="L337" s="15" t="s">
        <v>73</v>
      </c>
    </row>
    <row r="338" spans="1:12" x14ac:dyDescent="0.2">
      <c r="A338" s="24" t="s">
        <v>46</v>
      </c>
      <c r="B338" s="25">
        <v>8</v>
      </c>
      <c r="C338" s="28"/>
      <c r="D338" s="28"/>
      <c r="E338" s="28"/>
      <c r="F338" s="25">
        <v>850</v>
      </c>
      <c r="G338">
        <f t="shared" si="25"/>
        <v>1</v>
      </c>
      <c r="H338">
        <f t="shared" si="26"/>
        <v>0</v>
      </c>
      <c r="I338">
        <f t="shared" si="27"/>
        <v>0</v>
      </c>
      <c r="J338">
        <f t="shared" si="28"/>
        <v>0</v>
      </c>
      <c r="K338">
        <f t="shared" si="29"/>
        <v>0</v>
      </c>
      <c r="L338" s="15" t="s">
        <v>42</v>
      </c>
    </row>
    <row r="339" spans="1:12" x14ac:dyDescent="0.2">
      <c r="A339" s="26" t="s">
        <v>290</v>
      </c>
      <c r="B339" s="27">
        <v>4</v>
      </c>
      <c r="C339" s="29"/>
      <c r="D339" s="29"/>
      <c r="E339" s="27">
        <v>88</v>
      </c>
      <c r="F339" s="27">
        <v>11800</v>
      </c>
      <c r="G339">
        <f t="shared" si="25"/>
        <v>1</v>
      </c>
      <c r="H339">
        <f t="shared" si="26"/>
        <v>0</v>
      </c>
      <c r="I339">
        <f t="shared" si="27"/>
        <v>0</v>
      </c>
      <c r="J339">
        <f t="shared" si="28"/>
        <v>1</v>
      </c>
      <c r="K339">
        <f t="shared" si="29"/>
        <v>0</v>
      </c>
      <c r="L339" s="15" t="s">
        <v>73</v>
      </c>
    </row>
    <row r="340" spans="1:12" x14ac:dyDescent="0.2">
      <c r="A340" s="24" t="s">
        <v>46</v>
      </c>
      <c r="B340" s="25">
        <v>28</v>
      </c>
      <c r="C340" s="28"/>
      <c r="D340" s="28"/>
      <c r="E340" s="28"/>
      <c r="F340" s="25">
        <v>3000</v>
      </c>
      <c r="G340">
        <f t="shared" si="25"/>
        <v>1</v>
      </c>
      <c r="H340">
        <f t="shared" si="26"/>
        <v>0</v>
      </c>
      <c r="I340">
        <f t="shared" si="27"/>
        <v>0</v>
      </c>
      <c r="J340">
        <f t="shared" si="28"/>
        <v>0</v>
      </c>
      <c r="K340">
        <f t="shared" si="29"/>
        <v>0</v>
      </c>
      <c r="L340" s="15" t="s">
        <v>73</v>
      </c>
    </row>
    <row r="341" spans="1:12" x14ac:dyDescent="0.2">
      <c r="A341" s="26" t="s">
        <v>100</v>
      </c>
      <c r="B341" s="29"/>
      <c r="C341" s="27">
        <v>3</v>
      </c>
      <c r="D341" s="29"/>
      <c r="E341" s="29"/>
      <c r="F341" s="27">
        <v>390</v>
      </c>
      <c r="G341">
        <f t="shared" si="25"/>
        <v>0</v>
      </c>
      <c r="H341">
        <f t="shared" si="26"/>
        <v>1</v>
      </c>
      <c r="I341">
        <f t="shared" si="27"/>
        <v>0</v>
      </c>
      <c r="J341">
        <f t="shared" si="28"/>
        <v>0</v>
      </c>
      <c r="K341">
        <f t="shared" si="29"/>
        <v>0</v>
      </c>
      <c r="L341" s="15" t="s">
        <v>42</v>
      </c>
    </row>
    <row r="342" spans="1:12" x14ac:dyDescent="0.2">
      <c r="A342" s="24" t="s">
        <v>246</v>
      </c>
      <c r="B342" s="25">
        <v>6</v>
      </c>
      <c r="C342" s="28"/>
      <c r="D342" s="25">
        <v>23</v>
      </c>
      <c r="E342" s="28"/>
      <c r="F342" s="25">
        <v>4000</v>
      </c>
      <c r="G342">
        <f t="shared" si="25"/>
        <v>1</v>
      </c>
      <c r="H342">
        <f t="shared" si="26"/>
        <v>0</v>
      </c>
      <c r="I342">
        <f t="shared" si="27"/>
        <v>1</v>
      </c>
      <c r="J342">
        <f t="shared" si="28"/>
        <v>0</v>
      </c>
      <c r="K342">
        <f t="shared" si="29"/>
        <v>0</v>
      </c>
      <c r="L342" s="15" t="s">
        <v>73</v>
      </c>
    </row>
    <row r="343" spans="1:12" x14ac:dyDescent="0.2">
      <c r="A343" s="26" t="s">
        <v>46</v>
      </c>
      <c r="B343" s="27">
        <v>5</v>
      </c>
      <c r="C343" s="29"/>
      <c r="D343" s="29"/>
      <c r="E343" s="29"/>
      <c r="F343" s="27">
        <v>650</v>
      </c>
      <c r="G343">
        <f t="shared" si="25"/>
        <v>1</v>
      </c>
      <c r="H343">
        <f t="shared" si="26"/>
        <v>0</v>
      </c>
      <c r="I343">
        <f t="shared" si="27"/>
        <v>0</v>
      </c>
      <c r="J343">
        <f t="shared" si="28"/>
        <v>0</v>
      </c>
      <c r="K343">
        <f t="shared" si="29"/>
        <v>0</v>
      </c>
      <c r="L343" s="15" t="s">
        <v>73</v>
      </c>
    </row>
    <row r="344" spans="1:12" x14ac:dyDescent="0.2">
      <c r="A344" s="24" t="s">
        <v>100</v>
      </c>
      <c r="B344" s="28"/>
      <c r="C344" s="25">
        <v>10</v>
      </c>
      <c r="D344" s="28"/>
      <c r="E344" s="28"/>
      <c r="F344" s="25">
        <v>780</v>
      </c>
      <c r="G344">
        <f t="shared" si="25"/>
        <v>0</v>
      </c>
      <c r="H344">
        <f t="shared" si="26"/>
        <v>1</v>
      </c>
      <c r="I344">
        <f t="shared" si="27"/>
        <v>0</v>
      </c>
      <c r="J344">
        <f t="shared" si="28"/>
        <v>0</v>
      </c>
      <c r="K344">
        <f t="shared" si="29"/>
        <v>0</v>
      </c>
      <c r="L344" s="15" t="s">
        <v>42</v>
      </c>
    </row>
    <row r="345" spans="1:12" x14ac:dyDescent="0.2">
      <c r="A345" s="26" t="s">
        <v>988</v>
      </c>
      <c r="B345" s="29"/>
      <c r="C345" s="29"/>
      <c r="D345" s="29"/>
      <c r="E345" s="27">
        <v>85</v>
      </c>
      <c r="F345" s="27">
        <v>8300</v>
      </c>
      <c r="G345">
        <f t="shared" si="25"/>
        <v>0</v>
      </c>
      <c r="H345">
        <f t="shared" si="26"/>
        <v>0</v>
      </c>
      <c r="I345">
        <f t="shared" si="27"/>
        <v>0</v>
      </c>
      <c r="J345">
        <f t="shared" si="28"/>
        <v>1</v>
      </c>
      <c r="K345">
        <f t="shared" si="29"/>
        <v>0</v>
      </c>
      <c r="L345" s="15" t="s">
        <v>73</v>
      </c>
    </row>
    <row r="346" spans="1:12" x14ac:dyDescent="0.2">
      <c r="A346" s="24" t="s">
        <v>246</v>
      </c>
      <c r="B346" s="25">
        <v>5</v>
      </c>
      <c r="C346" s="28"/>
      <c r="D346" s="25">
        <v>24</v>
      </c>
      <c r="E346" s="28"/>
      <c r="F346" s="25">
        <v>4000</v>
      </c>
      <c r="G346">
        <f t="shared" si="25"/>
        <v>1</v>
      </c>
      <c r="H346">
        <f t="shared" si="26"/>
        <v>0</v>
      </c>
      <c r="I346">
        <f t="shared" si="27"/>
        <v>1</v>
      </c>
      <c r="J346">
        <f t="shared" si="28"/>
        <v>0</v>
      </c>
      <c r="K346">
        <f t="shared" si="29"/>
        <v>0</v>
      </c>
      <c r="L346" s="15" t="s">
        <v>73</v>
      </c>
    </row>
    <row r="347" spans="1:12" x14ac:dyDescent="0.2">
      <c r="A347" s="26" t="s">
        <v>100</v>
      </c>
      <c r="B347" s="29"/>
      <c r="C347" s="27">
        <v>4</v>
      </c>
      <c r="D347" s="29"/>
      <c r="E347" s="29"/>
      <c r="F347" s="27">
        <v>520</v>
      </c>
      <c r="G347">
        <f t="shared" si="25"/>
        <v>0</v>
      </c>
      <c r="H347">
        <f t="shared" si="26"/>
        <v>1</v>
      </c>
      <c r="I347">
        <f t="shared" si="27"/>
        <v>0</v>
      </c>
      <c r="J347">
        <f t="shared" si="28"/>
        <v>0</v>
      </c>
      <c r="K347">
        <f t="shared" si="29"/>
        <v>0</v>
      </c>
      <c r="L347" s="15" t="s">
        <v>42</v>
      </c>
    </row>
    <row r="348" spans="1:12" x14ac:dyDescent="0.2">
      <c r="A348" s="24" t="s">
        <v>46</v>
      </c>
      <c r="B348" s="25">
        <v>12</v>
      </c>
      <c r="C348" s="28"/>
      <c r="D348" s="28"/>
      <c r="E348" s="28"/>
      <c r="F348" s="25">
        <v>1500</v>
      </c>
      <c r="G348">
        <f t="shared" si="25"/>
        <v>1</v>
      </c>
      <c r="H348">
        <f t="shared" si="26"/>
        <v>0</v>
      </c>
      <c r="I348">
        <f t="shared" si="27"/>
        <v>0</v>
      </c>
      <c r="J348">
        <f t="shared" si="28"/>
        <v>0</v>
      </c>
      <c r="K348">
        <f t="shared" si="29"/>
        <v>0</v>
      </c>
      <c r="L348" s="15" t="s">
        <v>73</v>
      </c>
    </row>
    <row r="349" spans="1:12" x14ac:dyDescent="0.2">
      <c r="A349" s="26" t="s">
        <v>246</v>
      </c>
      <c r="B349" s="27">
        <v>4</v>
      </c>
      <c r="C349" s="29"/>
      <c r="D349" s="27">
        <v>19</v>
      </c>
      <c r="E349" s="29"/>
      <c r="F349" s="27">
        <v>330</v>
      </c>
      <c r="G349">
        <f t="shared" si="25"/>
        <v>1</v>
      </c>
      <c r="H349">
        <f t="shared" si="26"/>
        <v>0</v>
      </c>
      <c r="I349">
        <f t="shared" si="27"/>
        <v>1</v>
      </c>
      <c r="J349">
        <f t="shared" si="28"/>
        <v>0</v>
      </c>
      <c r="K349">
        <f t="shared" si="29"/>
        <v>0</v>
      </c>
      <c r="L349" s="15" t="s">
        <v>73</v>
      </c>
    </row>
    <row r="350" spans="1:12" x14ac:dyDescent="0.2">
      <c r="A350" s="24" t="s">
        <v>100</v>
      </c>
      <c r="B350" s="28"/>
      <c r="C350" s="25">
        <v>4</v>
      </c>
      <c r="D350" s="28"/>
      <c r="E350" s="28"/>
      <c r="F350" s="25">
        <v>520</v>
      </c>
      <c r="G350">
        <f t="shared" si="25"/>
        <v>0</v>
      </c>
      <c r="H350">
        <f t="shared" si="26"/>
        <v>1</v>
      </c>
      <c r="I350">
        <f t="shared" si="27"/>
        <v>0</v>
      </c>
      <c r="J350">
        <f t="shared" si="28"/>
        <v>0</v>
      </c>
      <c r="K350">
        <f t="shared" si="29"/>
        <v>0</v>
      </c>
      <c r="L350" s="15" t="s">
        <v>42</v>
      </c>
    </row>
    <row r="351" spans="1:12" x14ac:dyDescent="0.2">
      <c r="A351" s="26" t="s">
        <v>988</v>
      </c>
      <c r="B351" s="29"/>
      <c r="C351" s="29"/>
      <c r="D351" s="29"/>
      <c r="E351" s="27">
        <v>90</v>
      </c>
      <c r="F351" s="27">
        <v>9000</v>
      </c>
      <c r="G351">
        <f t="shared" si="25"/>
        <v>0</v>
      </c>
      <c r="H351">
        <f t="shared" si="26"/>
        <v>0</v>
      </c>
      <c r="I351">
        <f t="shared" si="27"/>
        <v>0</v>
      </c>
      <c r="J351">
        <f t="shared" si="28"/>
        <v>1</v>
      </c>
      <c r="K351">
        <f t="shared" si="29"/>
        <v>0</v>
      </c>
      <c r="L351" s="15" t="s">
        <v>73</v>
      </c>
    </row>
    <row r="352" spans="1:12" x14ac:dyDescent="0.2">
      <c r="A352" s="24" t="s">
        <v>1102</v>
      </c>
      <c r="B352" s="25">
        <v>5</v>
      </c>
      <c r="C352" s="28"/>
      <c r="D352" s="28"/>
      <c r="E352" s="28"/>
      <c r="F352" s="25">
        <v>2200</v>
      </c>
      <c r="G352">
        <f t="shared" si="25"/>
        <v>1</v>
      </c>
      <c r="H352">
        <f t="shared" si="26"/>
        <v>0</v>
      </c>
      <c r="I352">
        <f t="shared" si="27"/>
        <v>0</v>
      </c>
      <c r="J352">
        <f t="shared" si="28"/>
        <v>0</v>
      </c>
      <c r="K352">
        <f t="shared" si="29"/>
        <v>1</v>
      </c>
      <c r="L352" s="15" t="s">
        <v>73</v>
      </c>
    </row>
    <row r="353" spans="1:12" x14ac:dyDescent="0.2">
      <c r="A353" s="26" t="s">
        <v>46</v>
      </c>
      <c r="B353" s="27">
        <v>10</v>
      </c>
      <c r="C353" s="29"/>
      <c r="D353" s="29"/>
      <c r="E353" s="29"/>
      <c r="F353" s="27">
        <v>1300</v>
      </c>
      <c r="G353">
        <f t="shared" si="25"/>
        <v>1</v>
      </c>
      <c r="H353">
        <f t="shared" si="26"/>
        <v>0</v>
      </c>
      <c r="I353">
        <f t="shared" si="27"/>
        <v>0</v>
      </c>
      <c r="J353">
        <f t="shared" si="28"/>
        <v>0</v>
      </c>
      <c r="K353">
        <f t="shared" si="29"/>
        <v>0</v>
      </c>
      <c r="L353" s="15" t="s">
        <v>73</v>
      </c>
    </row>
    <row r="354" spans="1:12" x14ac:dyDescent="0.2">
      <c r="A354" s="24" t="s">
        <v>100</v>
      </c>
      <c r="B354" s="28"/>
      <c r="C354" s="25">
        <v>4</v>
      </c>
      <c r="D354" s="28"/>
      <c r="E354" s="28"/>
      <c r="F354" s="25">
        <v>520</v>
      </c>
      <c r="G354">
        <f t="shared" si="25"/>
        <v>0</v>
      </c>
      <c r="H354">
        <f t="shared" si="26"/>
        <v>1</v>
      </c>
      <c r="I354">
        <f t="shared" si="27"/>
        <v>0</v>
      </c>
      <c r="J354">
        <f t="shared" si="28"/>
        <v>0</v>
      </c>
      <c r="K354">
        <f t="shared" si="29"/>
        <v>0</v>
      </c>
      <c r="L354" s="15" t="s">
        <v>42</v>
      </c>
    </row>
    <row r="355" spans="1:12" x14ac:dyDescent="0.2">
      <c r="A355" s="26" t="s">
        <v>246</v>
      </c>
      <c r="B355" s="27">
        <v>4</v>
      </c>
      <c r="C355" s="29"/>
      <c r="D355" s="27">
        <v>20</v>
      </c>
      <c r="E355" s="29"/>
      <c r="F355" s="27">
        <v>3200</v>
      </c>
      <c r="G355">
        <f t="shared" si="25"/>
        <v>1</v>
      </c>
      <c r="H355">
        <f t="shared" si="26"/>
        <v>0</v>
      </c>
      <c r="I355">
        <f t="shared" si="27"/>
        <v>1</v>
      </c>
      <c r="J355">
        <f t="shared" si="28"/>
        <v>0</v>
      </c>
      <c r="K355">
        <f t="shared" si="29"/>
        <v>0</v>
      </c>
      <c r="L355" s="15" t="s">
        <v>73</v>
      </c>
    </row>
    <row r="356" spans="1:12" x14ac:dyDescent="0.2">
      <c r="A356" s="24" t="s">
        <v>46</v>
      </c>
      <c r="B356" s="25">
        <v>7</v>
      </c>
      <c r="C356" s="28"/>
      <c r="D356" s="28"/>
      <c r="E356" s="28"/>
      <c r="F356" s="25">
        <v>910</v>
      </c>
      <c r="G356">
        <f t="shared" si="25"/>
        <v>1</v>
      </c>
      <c r="H356">
        <f t="shared" si="26"/>
        <v>0</v>
      </c>
      <c r="I356">
        <f t="shared" si="27"/>
        <v>0</v>
      </c>
      <c r="J356">
        <f t="shared" si="28"/>
        <v>0</v>
      </c>
      <c r="K356">
        <f t="shared" si="29"/>
        <v>0</v>
      </c>
      <c r="L356" s="15" t="s">
        <v>42</v>
      </c>
    </row>
    <row r="357" spans="1:12" x14ac:dyDescent="0.2">
      <c r="A357" s="26" t="s">
        <v>290</v>
      </c>
      <c r="B357" s="27">
        <v>3</v>
      </c>
      <c r="C357" s="29"/>
      <c r="D357" s="29"/>
      <c r="E357" s="27">
        <v>88</v>
      </c>
      <c r="F357" s="27">
        <v>10600</v>
      </c>
      <c r="G357">
        <f t="shared" si="25"/>
        <v>1</v>
      </c>
      <c r="H357">
        <f t="shared" si="26"/>
        <v>0</v>
      </c>
      <c r="I357">
        <f t="shared" si="27"/>
        <v>0</v>
      </c>
      <c r="J357">
        <f t="shared" si="28"/>
        <v>1</v>
      </c>
      <c r="K357">
        <f t="shared" si="29"/>
        <v>0</v>
      </c>
      <c r="L357" s="15" t="s">
        <v>73</v>
      </c>
    </row>
    <row r="358" spans="1:12" x14ac:dyDescent="0.2">
      <c r="A358" s="24" t="s">
        <v>431</v>
      </c>
      <c r="B358" s="28"/>
      <c r="C358" s="28"/>
      <c r="D358" s="25">
        <v>25</v>
      </c>
      <c r="E358" s="28"/>
      <c r="F358" s="25">
        <v>3900</v>
      </c>
      <c r="G358">
        <f t="shared" si="25"/>
        <v>0</v>
      </c>
      <c r="H358">
        <f t="shared" si="26"/>
        <v>0</v>
      </c>
      <c r="I358">
        <f t="shared" si="27"/>
        <v>1</v>
      </c>
      <c r="J358">
        <f t="shared" si="28"/>
        <v>0</v>
      </c>
      <c r="K358">
        <f t="shared" si="29"/>
        <v>0</v>
      </c>
      <c r="L358" s="15" t="s">
        <v>73</v>
      </c>
    </row>
    <row r="359" spans="1:12" x14ac:dyDescent="0.2">
      <c r="A359" s="26" t="s">
        <v>100</v>
      </c>
      <c r="B359" s="29"/>
      <c r="C359" s="27">
        <v>3</v>
      </c>
      <c r="D359" s="29"/>
      <c r="E359" s="29"/>
      <c r="F359" s="27">
        <v>350</v>
      </c>
      <c r="G359">
        <f t="shared" si="25"/>
        <v>0</v>
      </c>
      <c r="H359">
        <f t="shared" si="26"/>
        <v>1</v>
      </c>
      <c r="I359">
        <f t="shared" si="27"/>
        <v>0</v>
      </c>
      <c r="J359">
        <f t="shared" si="28"/>
        <v>0</v>
      </c>
      <c r="K359">
        <f t="shared" si="29"/>
        <v>0</v>
      </c>
      <c r="L359" s="15" t="s">
        <v>42</v>
      </c>
    </row>
    <row r="360" spans="1:12" x14ac:dyDescent="0.2">
      <c r="A360" s="24" t="s">
        <v>246</v>
      </c>
      <c r="B360" s="25">
        <v>5</v>
      </c>
      <c r="C360" s="28"/>
      <c r="D360" s="25">
        <v>21</v>
      </c>
      <c r="E360" s="28"/>
      <c r="F360" s="25">
        <v>3700</v>
      </c>
      <c r="G360">
        <f t="shared" si="25"/>
        <v>1</v>
      </c>
      <c r="H360">
        <f t="shared" si="26"/>
        <v>0</v>
      </c>
      <c r="I360">
        <f t="shared" si="27"/>
        <v>1</v>
      </c>
      <c r="J360">
        <f t="shared" si="28"/>
        <v>0</v>
      </c>
      <c r="K360">
        <f t="shared" si="29"/>
        <v>0</v>
      </c>
      <c r="L360" s="15" t="s">
        <v>73</v>
      </c>
    </row>
    <row r="361" spans="1:12" x14ac:dyDescent="0.2">
      <c r="A361" s="26" t="s">
        <v>46</v>
      </c>
      <c r="B361" s="27">
        <v>10</v>
      </c>
      <c r="C361" s="29"/>
      <c r="D361" s="29"/>
      <c r="E361" s="29"/>
      <c r="F361" s="27">
        <v>1300</v>
      </c>
      <c r="G361">
        <f t="shared" si="25"/>
        <v>1</v>
      </c>
      <c r="H361">
        <f t="shared" si="26"/>
        <v>0</v>
      </c>
      <c r="I361">
        <f t="shared" si="27"/>
        <v>0</v>
      </c>
      <c r="J361">
        <f t="shared" si="28"/>
        <v>0</v>
      </c>
      <c r="K361">
        <f t="shared" si="29"/>
        <v>0</v>
      </c>
      <c r="L361" s="15" t="s">
        <v>42</v>
      </c>
    </row>
    <row r="362" spans="1:12" x14ac:dyDescent="0.2">
      <c r="A362" s="24" t="s">
        <v>46</v>
      </c>
      <c r="B362" s="25">
        <v>9</v>
      </c>
      <c r="C362" s="28"/>
      <c r="D362" s="28"/>
      <c r="E362" s="28"/>
      <c r="F362" s="25">
        <v>1000</v>
      </c>
      <c r="G362">
        <f t="shared" si="25"/>
        <v>1</v>
      </c>
      <c r="H362">
        <f t="shared" si="26"/>
        <v>0</v>
      </c>
      <c r="I362">
        <f t="shared" si="27"/>
        <v>0</v>
      </c>
      <c r="J362">
        <f t="shared" si="28"/>
        <v>0</v>
      </c>
      <c r="K362">
        <f t="shared" si="29"/>
        <v>0</v>
      </c>
      <c r="L362" s="15" t="s">
        <v>73</v>
      </c>
    </row>
    <row r="363" spans="1:12" x14ac:dyDescent="0.2">
      <c r="A363" s="26" t="s">
        <v>100</v>
      </c>
      <c r="B363" s="29"/>
      <c r="C363" s="27">
        <v>6</v>
      </c>
      <c r="D363" s="29"/>
      <c r="E363" s="29"/>
      <c r="F363" s="27">
        <v>780</v>
      </c>
      <c r="G363">
        <f t="shared" si="25"/>
        <v>0</v>
      </c>
      <c r="H363">
        <f t="shared" si="26"/>
        <v>1</v>
      </c>
      <c r="I363">
        <f t="shared" si="27"/>
        <v>0</v>
      </c>
      <c r="J363">
        <f t="shared" si="28"/>
        <v>0</v>
      </c>
      <c r="K363">
        <f t="shared" si="29"/>
        <v>0</v>
      </c>
      <c r="L363" s="15" t="s">
        <v>42</v>
      </c>
    </row>
    <row r="364" spans="1:12" x14ac:dyDescent="0.2">
      <c r="A364" s="24" t="s">
        <v>246</v>
      </c>
      <c r="B364" s="25">
        <v>5</v>
      </c>
      <c r="C364" s="28"/>
      <c r="D364" s="25">
        <v>21</v>
      </c>
      <c r="E364" s="28"/>
      <c r="F364" s="25">
        <v>3800</v>
      </c>
      <c r="G364">
        <f t="shared" si="25"/>
        <v>1</v>
      </c>
      <c r="H364">
        <f t="shared" si="26"/>
        <v>0</v>
      </c>
      <c r="I364">
        <f t="shared" si="27"/>
        <v>1</v>
      </c>
      <c r="J364">
        <f t="shared" si="28"/>
        <v>0</v>
      </c>
      <c r="K364">
        <f t="shared" si="29"/>
        <v>0</v>
      </c>
      <c r="L364" s="15" t="s">
        <v>73</v>
      </c>
    </row>
    <row r="365" spans="1:12" x14ac:dyDescent="0.2">
      <c r="A365" s="26" t="s">
        <v>46</v>
      </c>
      <c r="B365" s="27">
        <v>4</v>
      </c>
      <c r="C365" s="29"/>
      <c r="D365" s="29"/>
      <c r="E365" s="29"/>
      <c r="F365" s="27">
        <v>520</v>
      </c>
      <c r="G365">
        <f t="shared" si="25"/>
        <v>1</v>
      </c>
      <c r="H365">
        <f t="shared" si="26"/>
        <v>0</v>
      </c>
      <c r="I365">
        <f t="shared" si="27"/>
        <v>0</v>
      </c>
      <c r="J365">
        <f t="shared" si="28"/>
        <v>0</v>
      </c>
      <c r="K365">
        <f t="shared" si="29"/>
        <v>0</v>
      </c>
      <c r="L365" s="15" t="s">
        <v>73</v>
      </c>
    </row>
    <row r="366" spans="1:12" x14ac:dyDescent="0.2">
      <c r="A366" s="24" t="s">
        <v>46</v>
      </c>
      <c r="B366" s="25">
        <v>8</v>
      </c>
      <c r="C366" s="28"/>
      <c r="D366" s="28"/>
      <c r="E366" s="28"/>
      <c r="F366" s="25">
        <v>900</v>
      </c>
      <c r="G366">
        <f t="shared" si="25"/>
        <v>1</v>
      </c>
      <c r="H366">
        <f t="shared" si="26"/>
        <v>0</v>
      </c>
      <c r="I366">
        <f t="shared" si="27"/>
        <v>0</v>
      </c>
      <c r="J366">
        <f t="shared" si="28"/>
        <v>0</v>
      </c>
      <c r="K366">
        <f t="shared" si="29"/>
        <v>0</v>
      </c>
      <c r="L366" s="15" t="s">
        <v>42</v>
      </c>
    </row>
    <row r="367" spans="1:12" x14ac:dyDescent="0.2">
      <c r="A367" s="26" t="s">
        <v>290</v>
      </c>
      <c r="B367" s="27">
        <v>3</v>
      </c>
      <c r="C367" s="29"/>
      <c r="D367" s="29"/>
      <c r="E367" s="27">
        <v>80</v>
      </c>
      <c r="F367" s="27">
        <v>9900</v>
      </c>
      <c r="G367">
        <f t="shared" si="25"/>
        <v>1</v>
      </c>
      <c r="H367">
        <f t="shared" si="26"/>
        <v>0</v>
      </c>
      <c r="I367">
        <f t="shared" si="27"/>
        <v>0</v>
      </c>
      <c r="J367">
        <f t="shared" si="28"/>
        <v>1</v>
      </c>
      <c r="K367">
        <f t="shared" si="29"/>
        <v>0</v>
      </c>
      <c r="L367" s="15" t="s">
        <v>73</v>
      </c>
    </row>
    <row r="368" spans="1:12" x14ac:dyDescent="0.2">
      <c r="A368" s="24" t="s">
        <v>46</v>
      </c>
      <c r="B368" s="25">
        <v>11</v>
      </c>
      <c r="C368" s="28"/>
      <c r="D368" s="28"/>
      <c r="E368" s="28"/>
      <c r="F368" s="25">
        <v>11430</v>
      </c>
      <c r="G368">
        <f t="shared" si="25"/>
        <v>1</v>
      </c>
      <c r="H368">
        <f t="shared" si="26"/>
        <v>0</v>
      </c>
      <c r="I368">
        <f t="shared" si="27"/>
        <v>0</v>
      </c>
      <c r="J368">
        <f t="shared" si="28"/>
        <v>0</v>
      </c>
      <c r="K368">
        <f t="shared" si="29"/>
        <v>0</v>
      </c>
      <c r="L368" s="15" t="s">
        <v>73</v>
      </c>
    </row>
    <row r="369" spans="1:12" x14ac:dyDescent="0.2">
      <c r="A369" s="26" t="s">
        <v>100</v>
      </c>
      <c r="B369" s="29"/>
      <c r="C369" s="27">
        <v>3</v>
      </c>
      <c r="D369" s="29"/>
      <c r="E369" s="29"/>
      <c r="F369" s="27">
        <v>390</v>
      </c>
      <c r="G369">
        <f t="shared" si="25"/>
        <v>0</v>
      </c>
      <c r="H369">
        <f t="shared" si="26"/>
        <v>1</v>
      </c>
      <c r="I369">
        <f t="shared" si="27"/>
        <v>0</v>
      </c>
      <c r="J369">
        <f t="shared" si="28"/>
        <v>0</v>
      </c>
      <c r="K369">
        <f t="shared" si="29"/>
        <v>0</v>
      </c>
      <c r="L369" s="15" t="s">
        <v>42</v>
      </c>
    </row>
    <row r="370" spans="1:12" x14ac:dyDescent="0.2">
      <c r="A370" s="24" t="s">
        <v>246</v>
      </c>
      <c r="B370" s="25">
        <v>5</v>
      </c>
      <c r="C370" s="28"/>
      <c r="D370" s="25">
        <v>23</v>
      </c>
      <c r="E370" s="28"/>
      <c r="F370" s="25">
        <v>4000</v>
      </c>
      <c r="G370">
        <f t="shared" si="25"/>
        <v>1</v>
      </c>
      <c r="H370">
        <f t="shared" si="26"/>
        <v>0</v>
      </c>
      <c r="I370">
        <f t="shared" si="27"/>
        <v>1</v>
      </c>
      <c r="J370">
        <f t="shared" si="28"/>
        <v>0</v>
      </c>
      <c r="K370">
        <f t="shared" si="29"/>
        <v>0</v>
      </c>
      <c r="L370" s="15" t="s">
        <v>73</v>
      </c>
    </row>
    <row r="371" spans="1:12" x14ac:dyDescent="0.2">
      <c r="A371" s="26" t="s">
        <v>431</v>
      </c>
      <c r="B371" s="29"/>
      <c r="C371" s="29"/>
      <c r="D371" s="27">
        <v>18</v>
      </c>
      <c r="E371" s="29"/>
      <c r="F371" s="27">
        <v>2900</v>
      </c>
      <c r="G371">
        <f t="shared" si="25"/>
        <v>0</v>
      </c>
      <c r="H371">
        <f t="shared" si="26"/>
        <v>0</v>
      </c>
      <c r="I371">
        <f t="shared" si="27"/>
        <v>1</v>
      </c>
      <c r="J371">
        <f t="shared" si="28"/>
        <v>0</v>
      </c>
      <c r="K371">
        <f t="shared" si="29"/>
        <v>0</v>
      </c>
      <c r="L371" s="15" t="s">
        <v>73</v>
      </c>
    </row>
    <row r="372" spans="1:12" x14ac:dyDescent="0.2">
      <c r="A372" s="24" t="s">
        <v>100</v>
      </c>
      <c r="B372" s="28"/>
      <c r="C372" s="25">
        <v>9</v>
      </c>
      <c r="D372" s="28"/>
      <c r="E372" s="28"/>
      <c r="F372" s="25">
        <v>1070</v>
      </c>
      <c r="G372">
        <f t="shared" si="25"/>
        <v>0</v>
      </c>
      <c r="H372">
        <f t="shared" si="26"/>
        <v>1</v>
      </c>
      <c r="I372">
        <f t="shared" si="27"/>
        <v>0</v>
      </c>
      <c r="J372">
        <f t="shared" si="28"/>
        <v>0</v>
      </c>
      <c r="K372">
        <f t="shared" si="29"/>
        <v>0</v>
      </c>
      <c r="L372" s="15" t="s">
        <v>42</v>
      </c>
    </row>
    <row r="373" spans="1:12" x14ac:dyDescent="0.2">
      <c r="A373" s="26" t="s">
        <v>46</v>
      </c>
      <c r="B373" s="27">
        <v>12</v>
      </c>
      <c r="C373" s="29"/>
      <c r="D373" s="29"/>
      <c r="E373" s="29"/>
      <c r="F373" s="27">
        <v>1300</v>
      </c>
      <c r="G373">
        <f t="shared" si="25"/>
        <v>1</v>
      </c>
      <c r="H373">
        <f t="shared" si="26"/>
        <v>0</v>
      </c>
      <c r="I373">
        <f t="shared" si="27"/>
        <v>0</v>
      </c>
      <c r="J373">
        <f t="shared" si="28"/>
        <v>0</v>
      </c>
      <c r="K373">
        <f t="shared" si="29"/>
        <v>0</v>
      </c>
      <c r="L373" s="15" t="s">
        <v>42</v>
      </c>
    </row>
    <row r="374" spans="1:12" x14ac:dyDescent="0.2">
      <c r="A374" s="24" t="s">
        <v>46</v>
      </c>
      <c r="B374" s="25">
        <v>22</v>
      </c>
      <c r="C374" s="28"/>
      <c r="D374" s="28"/>
      <c r="E374" s="28"/>
      <c r="F374" s="25">
        <v>2400</v>
      </c>
      <c r="G374">
        <f t="shared" si="25"/>
        <v>1</v>
      </c>
      <c r="H374">
        <f t="shared" si="26"/>
        <v>0</v>
      </c>
      <c r="I374">
        <f t="shared" si="27"/>
        <v>0</v>
      </c>
      <c r="J374">
        <f t="shared" si="28"/>
        <v>0</v>
      </c>
      <c r="K374">
        <f t="shared" si="29"/>
        <v>0</v>
      </c>
      <c r="L374" s="15" t="s">
        <v>73</v>
      </c>
    </row>
    <row r="375" spans="1:12" x14ac:dyDescent="0.2">
      <c r="A375" s="26" t="s">
        <v>46</v>
      </c>
      <c r="B375" s="27">
        <v>15</v>
      </c>
      <c r="C375" s="29"/>
      <c r="D375" s="29"/>
      <c r="E375" s="29"/>
      <c r="F375" s="27">
        <v>1700</v>
      </c>
      <c r="G375">
        <f t="shared" si="25"/>
        <v>1</v>
      </c>
      <c r="H375">
        <f t="shared" si="26"/>
        <v>0</v>
      </c>
      <c r="I375">
        <f t="shared" si="27"/>
        <v>0</v>
      </c>
      <c r="J375">
        <f t="shared" si="28"/>
        <v>0</v>
      </c>
      <c r="K375">
        <f t="shared" si="29"/>
        <v>0</v>
      </c>
      <c r="L375" s="15" t="s">
        <v>73</v>
      </c>
    </row>
    <row r="376" spans="1:12" x14ac:dyDescent="0.2">
      <c r="A376" s="24" t="s">
        <v>431</v>
      </c>
      <c r="B376" s="28"/>
      <c r="C376" s="28"/>
      <c r="D376" s="25">
        <v>55</v>
      </c>
      <c r="E376" s="28"/>
      <c r="F376" s="25">
        <v>6500</v>
      </c>
      <c r="G376">
        <f t="shared" si="25"/>
        <v>0</v>
      </c>
      <c r="H376">
        <f t="shared" si="26"/>
        <v>0</v>
      </c>
      <c r="I376">
        <f t="shared" si="27"/>
        <v>1</v>
      </c>
      <c r="J376">
        <f t="shared" si="28"/>
        <v>0</v>
      </c>
      <c r="K376">
        <f t="shared" si="29"/>
        <v>0</v>
      </c>
      <c r="L376" s="15" t="s">
        <v>73</v>
      </c>
    </row>
    <row r="377" spans="1:12" x14ac:dyDescent="0.2">
      <c r="A377" s="26" t="s">
        <v>100</v>
      </c>
      <c r="B377" s="29"/>
      <c r="C377" s="27">
        <v>8</v>
      </c>
      <c r="D377" s="29"/>
      <c r="E377" s="29"/>
      <c r="F377" s="27">
        <v>900</v>
      </c>
      <c r="G377">
        <f t="shared" si="25"/>
        <v>0</v>
      </c>
      <c r="H377">
        <f t="shared" si="26"/>
        <v>1</v>
      </c>
      <c r="I377">
        <f t="shared" si="27"/>
        <v>0</v>
      </c>
      <c r="J377">
        <f t="shared" si="28"/>
        <v>0</v>
      </c>
      <c r="K377">
        <f t="shared" si="29"/>
        <v>0</v>
      </c>
      <c r="L377" s="15" t="s">
        <v>42</v>
      </c>
    </row>
    <row r="378" spans="1:12" x14ac:dyDescent="0.2">
      <c r="A378" s="24" t="s">
        <v>46</v>
      </c>
      <c r="B378" s="25">
        <v>18</v>
      </c>
      <c r="C378" s="28"/>
      <c r="D378" s="28"/>
      <c r="E378" s="28"/>
      <c r="F378" s="25">
        <v>2000</v>
      </c>
      <c r="G378">
        <f t="shared" si="25"/>
        <v>1</v>
      </c>
      <c r="H378">
        <f t="shared" si="26"/>
        <v>0</v>
      </c>
      <c r="I378">
        <f t="shared" si="27"/>
        <v>0</v>
      </c>
      <c r="J378">
        <f t="shared" si="28"/>
        <v>0</v>
      </c>
      <c r="K378">
        <f t="shared" si="29"/>
        <v>0</v>
      </c>
      <c r="L378" s="15" t="s">
        <v>73</v>
      </c>
    </row>
    <row r="379" spans="1:12" x14ac:dyDescent="0.2">
      <c r="A379" s="26" t="s">
        <v>46</v>
      </c>
      <c r="B379" s="27">
        <v>24</v>
      </c>
      <c r="C379" s="29"/>
      <c r="D379" s="29"/>
      <c r="E379" s="29"/>
      <c r="F379" s="27">
        <v>2600</v>
      </c>
      <c r="G379">
        <f t="shared" si="25"/>
        <v>1</v>
      </c>
      <c r="H379">
        <f t="shared" si="26"/>
        <v>0</v>
      </c>
      <c r="I379">
        <f t="shared" si="27"/>
        <v>0</v>
      </c>
      <c r="J379">
        <f t="shared" si="28"/>
        <v>0</v>
      </c>
      <c r="K379">
        <f t="shared" si="29"/>
        <v>0</v>
      </c>
      <c r="L379" s="15" t="s">
        <v>73</v>
      </c>
    </row>
    <row r="380" spans="1:12" x14ac:dyDescent="0.2">
      <c r="A380" s="24" t="s">
        <v>46</v>
      </c>
      <c r="B380" s="25">
        <v>20</v>
      </c>
      <c r="C380" s="28"/>
      <c r="D380" s="28"/>
      <c r="E380" s="28"/>
      <c r="F380" s="25">
        <v>2200</v>
      </c>
      <c r="G380">
        <f t="shared" si="25"/>
        <v>1</v>
      </c>
      <c r="H380">
        <f t="shared" si="26"/>
        <v>0</v>
      </c>
      <c r="I380">
        <f t="shared" si="27"/>
        <v>0</v>
      </c>
      <c r="J380">
        <f t="shared" si="28"/>
        <v>0</v>
      </c>
      <c r="K380">
        <f t="shared" si="29"/>
        <v>0</v>
      </c>
      <c r="L380" s="15" t="s">
        <v>73</v>
      </c>
    </row>
    <row r="381" spans="1:12" x14ac:dyDescent="0.2">
      <c r="A381" s="26" t="s">
        <v>431</v>
      </c>
      <c r="B381" s="29"/>
      <c r="C381" s="29"/>
      <c r="D381" s="27">
        <v>24</v>
      </c>
      <c r="E381" s="29"/>
      <c r="F381" s="27">
        <v>3800</v>
      </c>
      <c r="G381">
        <f t="shared" si="25"/>
        <v>0</v>
      </c>
      <c r="H381">
        <f t="shared" si="26"/>
        <v>0</v>
      </c>
      <c r="I381">
        <f t="shared" si="27"/>
        <v>1</v>
      </c>
      <c r="J381">
        <f t="shared" si="28"/>
        <v>0</v>
      </c>
      <c r="K381">
        <f t="shared" si="29"/>
        <v>0</v>
      </c>
      <c r="L381" s="15" t="s">
        <v>73</v>
      </c>
    </row>
    <row r="382" spans="1:12" x14ac:dyDescent="0.2">
      <c r="A382" s="24" t="s">
        <v>100</v>
      </c>
      <c r="B382" s="28"/>
      <c r="C382" s="25">
        <v>4</v>
      </c>
      <c r="D382" s="28"/>
      <c r="E382" s="28"/>
      <c r="F382" s="25">
        <v>520</v>
      </c>
      <c r="G382">
        <f t="shared" si="25"/>
        <v>0</v>
      </c>
      <c r="H382">
        <f t="shared" si="26"/>
        <v>1</v>
      </c>
      <c r="I382">
        <f t="shared" si="27"/>
        <v>0</v>
      </c>
      <c r="J382">
        <f t="shared" si="28"/>
        <v>0</v>
      </c>
      <c r="K382">
        <f t="shared" si="29"/>
        <v>0</v>
      </c>
      <c r="L382" s="15" t="s">
        <v>42</v>
      </c>
    </row>
    <row r="383" spans="1:12" x14ac:dyDescent="0.2">
      <c r="A383" s="26" t="s">
        <v>290</v>
      </c>
      <c r="B383" s="27">
        <v>3</v>
      </c>
      <c r="C383" s="29"/>
      <c r="D383" s="29"/>
      <c r="E383" s="27">
        <v>90</v>
      </c>
      <c r="F383" s="27">
        <v>11000</v>
      </c>
      <c r="G383">
        <f t="shared" si="25"/>
        <v>1</v>
      </c>
      <c r="H383">
        <f t="shared" si="26"/>
        <v>0</v>
      </c>
      <c r="I383">
        <f t="shared" si="27"/>
        <v>0</v>
      </c>
      <c r="J383">
        <f t="shared" si="28"/>
        <v>1</v>
      </c>
      <c r="K383">
        <f t="shared" si="29"/>
        <v>0</v>
      </c>
      <c r="L383" s="15" t="s">
        <v>73</v>
      </c>
    </row>
    <row r="384" spans="1:12" x14ac:dyDescent="0.2">
      <c r="A384" s="24" t="s">
        <v>46</v>
      </c>
      <c r="B384" s="25">
        <v>9</v>
      </c>
      <c r="C384" s="28"/>
      <c r="D384" s="28"/>
      <c r="E384" s="28"/>
      <c r="F384" s="25">
        <v>1000</v>
      </c>
      <c r="G384">
        <f t="shared" si="25"/>
        <v>1</v>
      </c>
      <c r="H384">
        <f t="shared" si="26"/>
        <v>0</v>
      </c>
      <c r="I384">
        <f t="shared" si="27"/>
        <v>0</v>
      </c>
      <c r="J384">
        <f t="shared" si="28"/>
        <v>0</v>
      </c>
      <c r="K384">
        <f t="shared" si="29"/>
        <v>0</v>
      </c>
      <c r="L384" s="15" t="s">
        <v>42</v>
      </c>
    </row>
    <row r="385" spans="1:12" x14ac:dyDescent="0.2">
      <c r="A385" s="26" t="s">
        <v>988</v>
      </c>
      <c r="B385" s="29"/>
      <c r="C385" s="29"/>
      <c r="D385" s="29"/>
      <c r="E385" s="29">
        <v>70</v>
      </c>
      <c r="F385" s="27">
        <v>9400</v>
      </c>
      <c r="G385">
        <f t="shared" si="25"/>
        <v>0</v>
      </c>
      <c r="H385">
        <f t="shared" si="26"/>
        <v>0</v>
      </c>
      <c r="I385">
        <f t="shared" si="27"/>
        <v>0</v>
      </c>
      <c r="J385">
        <f t="shared" si="28"/>
        <v>1</v>
      </c>
      <c r="K385">
        <f t="shared" si="29"/>
        <v>0</v>
      </c>
      <c r="L385" s="15" t="s">
        <v>73</v>
      </c>
    </row>
    <row r="386" spans="1:12" x14ac:dyDescent="0.2">
      <c r="A386" s="24" t="s">
        <v>988</v>
      </c>
      <c r="B386" s="28"/>
      <c r="C386" s="28"/>
      <c r="D386" s="28"/>
      <c r="E386" s="25">
        <v>85</v>
      </c>
      <c r="F386" s="25">
        <v>6800</v>
      </c>
      <c r="G386">
        <f t="shared" si="25"/>
        <v>0</v>
      </c>
      <c r="H386">
        <f t="shared" si="26"/>
        <v>0</v>
      </c>
      <c r="I386">
        <f t="shared" si="27"/>
        <v>0</v>
      </c>
      <c r="J386">
        <f t="shared" si="28"/>
        <v>1</v>
      </c>
      <c r="K386">
        <f t="shared" si="29"/>
        <v>0</v>
      </c>
      <c r="L386" s="15" t="s">
        <v>73</v>
      </c>
    </row>
    <row r="387" spans="1:12" x14ac:dyDescent="0.2">
      <c r="A387" s="26" t="s">
        <v>246</v>
      </c>
      <c r="B387" s="27">
        <v>5</v>
      </c>
      <c r="C387" s="29"/>
      <c r="D387" s="27">
        <v>23</v>
      </c>
      <c r="E387" s="29"/>
      <c r="F387" s="27">
        <v>4000</v>
      </c>
      <c r="G387">
        <f t="shared" ref="G387:G450" si="30">IF(ISNUMBER(SEARCH("bike",A387)),1,0)</f>
        <v>1</v>
      </c>
      <c r="H387">
        <f t="shared" ref="H387:H450" si="31">IF(ISNUMBER(SEARCH("Scooty",A387)),1,0)</f>
        <v>0</v>
      </c>
      <c r="I387">
        <f t="shared" ref="I387:I450" si="32">IF(ISNUMBER(SEARCH("Car",A387)),1,0)</f>
        <v>1</v>
      </c>
      <c r="J387">
        <f t="shared" ref="J387:J450" si="33">IF(ISNUMBER(SEARCH("Commercial vehicle",A387)),1,0)</f>
        <v>0</v>
      </c>
      <c r="K387">
        <f t="shared" ref="K387:K450" si="34">IF(ISNUMBER(SEARCH("Electric Vehicle",A387)),1,0)</f>
        <v>0</v>
      </c>
      <c r="L387" s="15" t="s">
        <v>73</v>
      </c>
    </row>
    <row r="388" spans="1:12" x14ac:dyDescent="0.2">
      <c r="A388" s="24" t="s">
        <v>100</v>
      </c>
      <c r="B388" s="28"/>
      <c r="C388" s="25">
        <v>3</v>
      </c>
      <c r="D388" s="28"/>
      <c r="E388" s="28"/>
      <c r="F388" s="25">
        <v>390</v>
      </c>
      <c r="G388">
        <f t="shared" si="30"/>
        <v>0</v>
      </c>
      <c r="H388">
        <f t="shared" si="31"/>
        <v>1</v>
      </c>
      <c r="I388">
        <f t="shared" si="32"/>
        <v>0</v>
      </c>
      <c r="J388">
        <f t="shared" si="33"/>
        <v>0</v>
      </c>
      <c r="K388">
        <f t="shared" si="34"/>
        <v>0</v>
      </c>
      <c r="L388" s="15" t="s">
        <v>73</v>
      </c>
    </row>
    <row r="389" spans="1:12" x14ac:dyDescent="0.2">
      <c r="A389" s="26" t="s">
        <v>246</v>
      </c>
      <c r="B389" s="27">
        <v>5</v>
      </c>
      <c r="C389" s="29"/>
      <c r="D389" s="27">
        <v>22</v>
      </c>
      <c r="E389" s="29"/>
      <c r="F389" s="27">
        <v>3900</v>
      </c>
      <c r="G389">
        <f t="shared" si="30"/>
        <v>1</v>
      </c>
      <c r="H389">
        <f t="shared" si="31"/>
        <v>0</v>
      </c>
      <c r="I389">
        <f t="shared" si="32"/>
        <v>1</v>
      </c>
      <c r="J389">
        <f t="shared" si="33"/>
        <v>0</v>
      </c>
      <c r="K389">
        <f t="shared" si="34"/>
        <v>0</v>
      </c>
      <c r="L389" s="15" t="s">
        <v>73</v>
      </c>
    </row>
    <row r="390" spans="1:12" x14ac:dyDescent="0.2">
      <c r="A390" s="24" t="s">
        <v>46</v>
      </c>
      <c r="B390" s="25">
        <v>9</v>
      </c>
      <c r="C390" s="28"/>
      <c r="D390" s="28"/>
      <c r="E390" s="28"/>
      <c r="F390" s="25">
        <v>1070</v>
      </c>
      <c r="G390">
        <f t="shared" si="30"/>
        <v>1</v>
      </c>
      <c r="H390">
        <f t="shared" si="31"/>
        <v>0</v>
      </c>
      <c r="I390">
        <f t="shared" si="32"/>
        <v>0</v>
      </c>
      <c r="J390">
        <f t="shared" si="33"/>
        <v>0</v>
      </c>
      <c r="K390">
        <f t="shared" si="34"/>
        <v>0</v>
      </c>
      <c r="L390" s="15" t="s">
        <v>42</v>
      </c>
    </row>
    <row r="391" spans="1:12" x14ac:dyDescent="0.2">
      <c r="A391" s="26" t="s">
        <v>46</v>
      </c>
      <c r="B391" s="27">
        <v>10</v>
      </c>
      <c r="C391" s="29"/>
      <c r="D391" s="29"/>
      <c r="E391" s="29"/>
      <c r="F391" s="27">
        <v>1300</v>
      </c>
      <c r="G391">
        <f t="shared" si="30"/>
        <v>1</v>
      </c>
      <c r="H391">
        <f t="shared" si="31"/>
        <v>0</v>
      </c>
      <c r="I391">
        <f t="shared" si="32"/>
        <v>0</v>
      </c>
      <c r="J391">
        <f t="shared" si="33"/>
        <v>0</v>
      </c>
      <c r="K391">
        <f t="shared" si="34"/>
        <v>0</v>
      </c>
      <c r="L391" s="15" t="s">
        <v>73</v>
      </c>
    </row>
    <row r="392" spans="1:12" x14ac:dyDescent="0.2">
      <c r="A392" s="24" t="s">
        <v>61</v>
      </c>
      <c r="B392" s="25">
        <v>7</v>
      </c>
      <c r="C392" s="25">
        <v>3</v>
      </c>
      <c r="D392" s="28"/>
      <c r="E392" s="28"/>
      <c r="F392" s="25">
        <v>1300</v>
      </c>
      <c r="G392">
        <f t="shared" si="30"/>
        <v>1</v>
      </c>
      <c r="H392">
        <f t="shared" si="31"/>
        <v>1</v>
      </c>
      <c r="I392">
        <f t="shared" si="32"/>
        <v>0</v>
      </c>
      <c r="J392">
        <f t="shared" si="33"/>
        <v>0</v>
      </c>
      <c r="K392">
        <f t="shared" si="34"/>
        <v>0</v>
      </c>
      <c r="L392" s="15" t="s">
        <v>73</v>
      </c>
    </row>
    <row r="393" spans="1:12" x14ac:dyDescent="0.2">
      <c r="A393" s="26" t="s">
        <v>100</v>
      </c>
      <c r="B393" s="29"/>
      <c r="C393" s="27">
        <v>5</v>
      </c>
      <c r="D393" s="29"/>
      <c r="E393" s="29"/>
      <c r="F393" s="27">
        <v>650</v>
      </c>
      <c r="G393">
        <f t="shared" si="30"/>
        <v>0</v>
      </c>
      <c r="H393">
        <f t="shared" si="31"/>
        <v>1</v>
      </c>
      <c r="I393">
        <f t="shared" si="32"/>
        <v>0</v>
      </c>
      <c r="J393">
        <f t="shared" si="33"/>
        <v>0</v>
      </c>
      <c r="K393">
        <f t="shared" si="34"/>
        <v>0</v>
      </c>
      <c r="L393" s="15" t="s">
        <v>42</v>
      </c>
    </row>
    <row r="394" spans="1:12" x14ac:dyDescent="0.2">
      <c r="A394" s="24" t="s">
        <v>46</v>
      </c>
      <c r="B394" s="25">
        <v>4</v>
      </c>
      <c r="C394" s="28"/>
      <c r="D394" s="28"/>
      <c r="E394" s="28"/>
      <c r="F394" s="25">
        <v>520</v>
      </c>
      <c r="G394">
        <f t="shared" si="30"/>
        <v>1</v>
      </c>
      <c r="H394">
        <f t="shared" si="31"/>
        <v>0</v>
      </c>
      <c r="I394">
        <f t="shared" si="32"/>
        <v>0</v>
      </c>
      <c r="J394">
        <f t="shared" si="33"/>
        <v>0</v>
      </c>
      <c r="K394">
        <f t="shared" si="34"/>
        <v>0</v>
      </c>
      <c r="L394" s="15" t="s">
        <v>73</v>
      </c>
    </row>
    <row r="395" spans="1:12" x14ac:dyDescent="0.2">
      <c r="A395" s="26" t="s">
        <v>100</v>
      </c>
      <c r="B395" s="29"/>
      <c r="C395" s="27">
        <v>3</v>
      </c>
      <c r="D395" s="29"/>
      <c r="E395" s="29"/>
      <c r="F395" s="27">
        <v>390</v>
      </c>
      <c r="G395">
        <f t="shared" si="30"/>
        <v>0</v>
      </c>
      <c r="H395">
        <f t="shared" si="31"/>
        <v>1</v>
      </c>
      <c r="I395">
        <f t="shared" si="32"/>
        <v>0</v>
      </c>
      <c r="J395">
        <f t="shared" si="33"/>
        <v>0</v>
      </c>
      <c r="K395">
        <f t="shared" si="34"/>
        <v>0</v>
      </c>
      <c r="L395" s="15" t="s">
        <v>42</v>
      </c>
    </row>
    <row r="396" spans="1:12" x14ac:dyDescent="0.2">
      <c r="A396" s="24" t="s">
        <v>390</v>
      </c>
      <c r="B396" s="25">
        <v>5</v>
      </c>
      <c r="C396" s="25">
        <v>4</v>
      </c>
      <c r="D396" s="25">
        <v>20</v>
      </c>
      <c r="E396" s="28"/>
      <c r="F396" s="25">
        <v>4500</v>
      </c>
      <c r="G396">
        <f t="shared" si="30"/>
        <v>1</v>
      </c>
      <c r="H396">
        <f t="shared" si="31"/>
        <v>1</v>
      </c>
      <c r="I396">
        <f t="shared" si="32"/>
        <v>1</v>
      </c>
      <c r="J396">
        <f t="shared" si="33"/>
        <v>0</v>
      </c>
      <c r="K396">
        <f t="shared" si="34"/>
        <v>0</v>
      </c>
      <c r="L396" s="15" t="s">
        <v>73</v>
      </c>
    </row>
    <row r="397" spans="1:12" x14ac:dyDescent="0.2">
      <c r="A397" s="26" t="s">
        <v>46</v>
      </c>
      <c r="B397" s="27">
        <v>11</v>
      </c>
      <c r="C397" s="29"/>
      <c r="D397" s="29"/>
      <c r="E397" s="29"/>
      <c r="F397" s="27">
        <v>1430</v>
      </c>
      <c r="G397">
        <f t="shared" si="30"/>
        <v>1</v>
      </c>
      <c r="H397">
        <f t="shared" si="31"/>
        <v>0</v>
      </c>
      <c r="I397">
        <f t="shared" si="32"/>
        <v>0</v>
      </c>
      <c r="J397">
        <f t="shared" si="33"/>
        <v>0</v>
      </c>
      <c r="K397">
        <f t="shared" si="34"/>
        <v>0</v>
      </c>
      <c r="L397" s="15" t="s">
        <v>42</v>
      </c>
    </row>
    <row r="398" spans="1:12" x14ac:dyDescent="0.2">
      <c r="A398" s="24" t="s">
        <v>100</v>
      </c>
      <c r="B398" s="28"/>
      <c r="C398" s="25">
        <v>2</v>
      </c>
      <c r="D398" s="28"/>
      <c r="E398" s="28"/>
      <c r="F398" s="25">
        <v>260</v>
      </c>
      <c r="G398">
        <f t="shared" si="30"/>
        <v>0</v>
      </c>
      <c r="H398">
        <f t="shared" si="31"/>
        <v>1</v>
      </c>
      <c r="I398">
        <f t="shared" si="32"/>
        <v>0</v>
      </c>
      <c r="J398">
        <f t="shared" si="33"/>
        <v>0</v>
      </c>
      <c r="K398">
        <f t="shared" si="34"/>
        <v>0</v>
      </c>
      <c r="L398" s="15" t="s">
        <v>42</v>
      </c>
    </row>
    <row r="399" spans="1:12" x14ac:dyDescent="0.2">
      <c r="A399" s="26" t="s">
        <v>46</v>
      </c>
      <c r="B399" s="27">
        <v>12</v>
      </c>
      <c r="C399" s="29"/>
      <c r="D399" s="29"/>
      <c r="E399" s="29"/>
      <c r="F399" s="27">
        <v>1560</v>
      </c>
      <c r="G399">
        <f t="shared" si="30"/>
        <v>1</v>
      </c>
      <c r="H399">
        <f t="shared" si="31"/>
        <v>0</v>
      </c>
      <c r="I399">
        <f t="shared" si="32"/>
        <v>0</v>
      </c>
      <c r="J399">
        <f t="shared" si="33"/>
        <v>0</v>
      </c>
      <c r="K399">
        <f t="shared" si="34"/>
        <v>0</v>
      </c>
      <c r="L399" s="15" t="s">
        <v>73</v>
      </c>
    </row>
    <row r="400" spans="1:12" x14ac:dyDescent="0.2">
      <c r="A400" s="24" t="s">
        <v>46</v>
      </c>
      <c r="B400" s="25">
        <v>12</v>
      </c>
      <c r="C400" s="28"/>
      <c r="D400" s="28"/>
      <c r="E400" s="28"/>
      <c r="F400" s="25">
        <v>1690</v>
      </c>
      <c r="G400">
        <f t="shared" si="30"/>
        <v>1</v>
      </c>
      <c r="H400">
        <f t="shared" si="31"/>
        <v>0</v>
      </c>
      <c r="I400">
        <f t="shared" si="32"/>
        <v>0</v>
      </c>
      <c r="J400">
        <f t="shared" si="33"/>
        <v>0</v>
      </c>
      <c r="K400">
        <f t="shared" si="34"/>
        <v>0</v>
      </c>
      <c r="L400" s="15" t="s">
        <v>73</v>
      </c>
    </row>
    <row r="401" spans="1:12" x14ac:dyDescent="0.2">
      <c r="A401" s="26" t="s">
        <v>46</v>
      </c>
      <c r="B401" s="27">
        <v>3</v>
      </c>
      <c r="C401" s="29"/>
      <c r="D401" s="29"/>
      <c r="E401" s="29"/>
      <c r="F401" s="27">
        <v>390</v>
      </c>
      <c r="G401">
        <f t="shared" si="30"/>
        <v>1</v>
      </c>
      <c r="H401">
        <f t="shared" si="31"/>
        <v>0</v>
      </c>
      <c r="I401">
        <f t="shared" si="32"/>
        <v>0</v>
      </c>
      <c r="J401">
        <f t="shared" si="33"/>
        <v>0</v>
      </c>
      <c r="K401">
        <f t="shared" si="34"/>
        <v>0</v>
      </c>
      <c r="L401" s="15" t="s">
        <v>42</v>
      </c>
    </row>
    <row r="402" spans="1:12" x14ac:dyDescent="0.2">
      <c r="A402" s="24" t="s">
        <v>246</v>
      </c>
      <c r="B402" s="25">
        <v>6</v>
      </c>
      <c r="C402" s="28"/>
      <c r="D402" s="25">
        <v>21</v>
      </c>
      <c r="E402" s="28"/>
      <c r="F402" s="25">
        <v>3600</v>
      </c>
      <c r="G402">
        <f t="shared" si="30"/>
        <v>1</v>
      </c>
      <c r="H402">
        <f t="shared" si="31"/>
        <v>0</v>
      </c>
      <c r="I402">
        <f t="shared" si="32"/>
        <v>1</v>
      </c>
      <c r="J402">
        <f t="shared" si="33"/>
        <v>0</v>
      </c>
      <c r="K402">
        <f t="shared" si="34"/>
        <v>0</v>
      </c>
      <c r="L402" s="15" t="s">
        <v>73</v>
      </c>
    </row>
    <row r="403" spans="1:12" x14ac:dyDescent="0.2">
      <c r="A403" s="26" t="s">
        <v>100</v>
      </c>
      <c r="B403" s="29"/>
      <c r="C403" s="27">
        <v>5</v>
      </c>
      <c r="D403" s="29"/>
      <c r="E403" s="29"/>
      <c r="F403" s="27">
        <v>650</v>
      </c>
      <c r="G403">
        <f t="shared" si="30"/>
        <v>0</v>
      </c>
      <c r="H403">
        <f t="shared" si="31"/>
        <v>1</v>
      </c>
      <c r="I403">
        <f t="shared" si="32"/>
        <v>0</v>
      </c>
      <c r="J403">
        <f t="shared" si="33"/>
        <v>0</v>
      </c>
      <c r="K403">
        <f t="shared" si="34"/>
        <v>0</v>
      </c>
      <c r="L403" s="15" t="s">
        <v>42</v>
      </c>
    </row>
    <row r="404" spans="1:12" x14ac:dyDescent="0.2">
      <c r="A404" s="24" t="s">
        <v>988</v>
      </c>
      <c r="B404" s="28"/>
      <c r="C404" s="28"/>
      <c r="D404" s="28"/>
      <c r="E404" s="25">
        <v>95</v>
      </c>
      <c r="F404" s="25">
        <v>9600</v>
      </c>
      <c r="G404">
        <f t="shared" si="30"/>
        <v>0</v>
      </c>
      <c r="H404">
        <f t="shared" si="31"/>
        <v>0</v>
      </c>
      <c r="I404">
        <f t="shared" si="32"/>
        <v>0</v>
      </c>
      <c r="J404">
        <f t="shared" si="33"/>
        <v>1</v>
      </c>
      <c r="K404">
        <f t="shared" si="34"/>
        <v>0</v>
      </c>
      <c r="L404" s="15" t="s">
        <v>73</v>
      </c>
    </row>
    <row r="405" spans="1:12" x14ac:dyDescent="0.2">
      <c r="A405" s="26" t="s">
        <v>46</v>
      </c>
      <c r="B405" s="27">
        <v>11</v>
      </c>
      <c r="C405" s="29"/>
      <c r="D405" s="29"/>
      <c r="E405" s="29"/>
      <c r="F405" s="27">
        <v>1430</v>
      </c>
      <c r="G405">
        <f t="shared" si="30"/>
        <v>1</v>
      </c>
      <c r="H405">
        <f t="shared" si="31"/>
        <v>0</v>
      </c>
      <c r="I405">
        <f t="shared" si="32"/>
        <v>0</v>
      </c>
      <c r="J405">
        <f t="shared" si="33"/>
        <v>0</v>
      </c>
      <c r="K405">
        <f t="shared" si="34"/>
        <v>0</v>
      </c>
      <c r="L405" s="15" t="s">
        <v>42</v>
      </c>
    </row>
    <row r="406" spans="1:12" x14ac:dyDescent="0.2">
      <c r="A406" s="24" t="s">
        <v>290</v>
      </c>
      <c r="B406" s="25">
        <v>6</v>
      </c>
      <c r="C406" s="28"/>
      <c r="D406" s="28"/>
      <c r="E406" s="25">
        <v>80</v>
      </c>
      <c r="F406" s="25">
        <v>9200</v>
      </c>
      <c r="G406">
        <f t="shared" si="30"/>
        <v>1</v>
      </c>
      <c r="H406">
        <f t="shared" si="31"/>
        <v>0</v>
      </c>
      <c r="I406">
        <f t="shared" si="32"/>
        <v>0</v>
      </c>
      <c r="J406">
        <f t="shared" si="33"/>
        <v>1</v>
      </c>
      <c r="K406">
        <f t="shared" si="34"/>
        <v>0</v>
      </c>
      <c r="L406" s="15" t="s">
        <v>73</v>
      </c>
    </row>
    <row r="407" spans="1:12" x14ac:dyDescent="0.2">
      <c r="A407" s="26" t="s">
        <v>100</v>
      </c>
      <c r="B407" s="29"/>
      <c r="C407" s="27">
        <v>5</v>
      </c>
      <c r="D407" s="29"/>
      <c r="E407" s="29"/>
      <c r="F407" s="27">
        <v>520</v>
      </c>
      <c r="G407">
        <f t="shared" si="30"/>
        <v>0</v>
      </c>
      <c r="H407">
        <f t="shared" si="31"/>
        <v>1</v>
      </c>
      <c r="I407">
        <f t="shared" si="32"/>
        <v>0</v>
      </c>
      <c r="J407">
        <f t="shared" si="33"/>
        <v>0</v>
      </c>
      <c r="K407">
        <f t="shared" si="34"/>
        <v>0</v>
      </c>
      <c r="L407" s="15" t="s">
        <v>42</v>
      </c>
    </row>
    <row r="408" spans="1:12" x14ac:dyDescent="0.2">
      <c r="A408" s="24" t="s">
        <v>46</v>
      </c>
      <c r="B408" s="25">
        <v>12</v>
      </c>
      <c r="C408" s="28"/>
      <c r="D408" s="28"/>
      <c r="E408" s="28"/>
      <c r="F408" s="25">
        <v>1560</v>
      </c>
      <c r="G408">
        <f t="shared" si="30"/>
        <v>1</v>
      </c>
      <c r="H408">
        <f t="shared" si="31"/>
        <v>0</v>
      </c>
      <c r="I408">
        <f t="shared" si="32"/>
        <v>0</v>
      </c>
      <c r="J408">
        <f t="shared" si="33"/>
        <v>0</v>
      </c>
      <c r="K408">
        <f t="shared" si="34"/>
        <v>0</v>
      </c>
      <c r="L408" s="15" t="s">
        <v>73</v>
      </c>
    </row>
    <row r="409" spans="1:12" x14ac:dyDescent="0.2">
      <c r="A409" s="26" t="s">
        <v>46</v>
      </c>
      <c r="B409" s="27">
        <v>3</v>
      </c>
      <c r="C409" s="29"/>
      <c r="D409" s="29"/>
      <c r="E409" s="29"/>
      <c r="F409" s="27">
        <v>390</v>
      </c>
      <c r="G409">
        <f t="shared" si="30"/>
        <v>1</v>
      </c>
      <c r="H409">
        <f t="shared" si="31"/>
        <v>0</v>
      </c>
      <c r="I409">
        <f t="shared" si="32"/>
        <v>0</v>
      </c>
      <c r="J409">
        <f t="shared" si="33"/>
        <v>0</v>
      </c>
      <c r="K409">
        <f t="shared" si="34"/>
        <v>0</v>
      </c>
      <c r="L409" s="15" t="s">
        <v>42</v>
      </c>
    </row>
    <row r="410" spans="1:12" x14ac:dyDescent="0.2">
      <c r="A410" s="24" t="s">
        <v>46</v>
      </c>
      <c r="B410" s="25">
        <v>24</v>
      </c>
      <c r="C410" s="28"/>
      <c r="D410" s="28"/>
      <c r="E410" s="28"/>
      <c r="F410" s="25">
        <v>1820</v>
      </c>
      <c r="G410">
        <f t="shared" si="30"/>
        <v>1</v>
      </c>
      <c r="H410">
        <f t="shared" si="31"/>
        <v>0</v>
      </c>
      <c r="I410">
        <f t="shared" si="32"/>
        <v>0</v>
      </c>
      <c r="J410">
        <f t="shared" si="33"/>
        <v>0</v>
      </c>
      <c r="K410">
        <f t="shared" si="34"/>
        <v>0</v>
      </c>
      <c r="L410" s="15" t="s">
        <v>73</v>
      </c>
    </row>
    <row r="411" spans="1:12" x14ac:dyDescent="0.2">
      <c r="A411" s="26" t="s">
        <v>100</v>
      </c>
      <c r="B411" s="29"/>
      <c r="C411" s="27">
        <v>2</v>
      </c>
      <c r="D411" s="29"/>
      <c r="E411" s="29"/>
      <c r="F411" s="27">
        <v>260</v>
      </c>
      <c r="G411">
        <f t="shared" si="30"/>
        <v>0</v>
      </c>
      <c r="H411">
        <f t="shared" si="31"/>
        <v>1</v>
      </c>
      <c r="I411">
        <f t="shared" si="32"/>
        <v>0</v>
      </c>
      <c r="J411">
        <f t="shared" si="33"/>
        <v>0</v>
      </c>
      <c r="K411">
        <f t="shared" si="34"/>
        <v>0</v>
      </c>
      <c r="L411" s="15" t="s">
        <v>42</v>
      </c>
    </row>
    <row r="412" spans="1:12" x14ac:dyDescent="0.2">
      <c r="A412" s="24" t="s">
        <v>246</v>
      </c>
      <c r="B412" s="25">
        <v>5</v>
      </c>
      <c r="C412" s="28"/>
      <c r="D412" s="25">
        <v>22</v>
      </c>
      <c r="E412" s="28"/>
      <c r="F412" s="25">
        <v>3900</v>
      </c>
      <c r="G412">
        <f t="shared" si="30"/>
        <v>1</v>
      </c>
      <c r="H412">
        <f t="shared" si="31"/>
        <v>0</v>
      </c>
      <c r="I412">
        <f t="shared" si="32"/>
        <v>1</v>
      </c>
      <c r="J412">
        <f t="shared" si="33"/>
        <v>0</v>
      </c>
      <c r="K412">
        <f t="shared" si="34"/>
        <v>0</v>
      </c>
      <c r="L412" s="15" t="s">
        <v>73</v>
      </c>
    </row>
    <row r="413" spans="1:12" x14ac:dyDescent="0.2">
      <c r="A413" s="26" t="s">
        <v>100</v>
      </c>
      <c r="B413" s="29"/>
      <c r="C413" s="27">
        <v>3</v>
      </c>
      <c r="D413" s="29"/>
      <c r="E413" s="29"/>
      <c r="F413" s="27">
        <v>390</v>
      </c>
      <c r="G413">
        <f t="shared" si="30"/>
        <v>0</v>
      </c>
      <c r="H413">
        <f t="shared" si="31"/>
        <v>1</v>
      </c>
      <c r="I413">
        <f t="shared" si="32"/>
        <v>0</v>
      </c>
      <c r="J413">
        <f t="shared" si="33"/>
        <v>0</v>
      </c>
      <c r="K413">
        <f t="shared" si="34"/>
        <v>0</v>
      </c>
      <c r="L413" s="15" t="s">
        <v>42</v>
      </c>
    </row>
    <row r="414" spans="1:12" x14ac:dyDescent="0.2">
      <c r="A414" s="24" t="s">
        <v>46</v>
      </c>
      <c r="B414" s="25">
        <v>13</v>
      </c>
      <c r="C414" s="28"/>
      <c r="D414" s="28"/>
      <c r="E414" s="28"/>
      <c r="F414" s="25">
        <v>1690</v>
      </c>
      <c r="G414">
        <f t="shared" si="30"/>
        <v>1</v>
      </c>
      <c r="H414">
        <f t="shared" si="31"/>
        <v>0</v>
      </c>
      <c r="I414">
        <f t="shared" si="32"/>
        <v>0</v>
      </c>
      <c r="J414">
        <f t="shared" si="33"/>
        <v>0</v>
      </c>
      <c r="K414">
        <f t="shared" si="34"/>
        <v>0</v>
      </c>
      <c r="L414" s="15" t="s">
        <v>73</v>
      </c>
    </row>
    <row r="415" spans="1:12" x14ac:dyDescent="0.2">
      <c r="A415" s="26" t="s">
        <v>290</v>
      </c>
      <c r="B415" s="27">
        <v>4</v>
      </c>
      <c r="C415" s="29"/>
      <c r="D415" s="29"/>
      <c r="E415" s="27">
        <v>90</v>
      </c>
      <c r="F415" s="27">
        <v>11000</v>
      </c>
      <c r="G415">
        <f t="shared" si="30"/>
        <v>1</v>
      </c>
      <c r="H415">
        <f t="shared" si="31"/>
        <v>0</v>
      </c>
      <c r="I415">
        <f t="shared" si="32"/>
        <v>0</v>
      </c>
      <c r="J415">
        <f t="shared" si="33"/>
        <v>1</v>
      </c>
      <c r="K415">
        <f t="shared" si="34"/>
        <v>0</v>
      </c>
      <c r="L415" s="15" t="s">
        <v>73</v>
      </c>
    </row>
    <row r="416" spans="1:12" x14ac:dyDescent="0.2">
      <c r="A416" s="24" t="s">
        <v>100</v>
      </c>
      <c r="B416" s="28"/>
      <c r="C416" s="25">
        <v>5</v>
      </c>
      <c r="D416" s="28"/>
      <c r="E416" s="28"/>
      <c r="F416" s="25">
        <v>650</v>
      </c>
      <c r="G416">
        <f t="shared" si="30"/>
        <v>0</v>
      </c>
      <c r="H416">
        <f t="shared" si="31"/>
        <v>1</v>
      </c>
      <c r="I416">
        <f t="shared" si="32"/>
        <v>0</v>
      </c>
      <c r="J416">
        <f t="shared" si="33"/>
        <v>0</v>
      </c>
      <c r="K416">
        <f t="shared" si="34"/>
        <v>0</v>
      </c>
      <c r="L416" s="15" t="s">
        <v>42</v>
      </c>
    </row>
    <row r="417" spans="1:12" x14ac:dyDescent="0.2">
      <c r="A417" s="26" t="s">
        <v>390</v>
      </c>
      <c r="B417" s="27">
        <v>4</v>
      </c>
      <c r="C417" s="27">
        <v>3</v>
      </c>
      <c r="D417" s="27">
        <v>24</v>
      </c>
      <c r="E417" s="29"/>
      <c r="F417" s="27">
        <v>4400</v>
      </c>
      <c r="G417">
        <f t="shared" si="30"/>
        <v>1</v>
      </c>
      <c r="H417">
        <f t="shared" si="31"/>
        <v>1</v>
      </c>
      <c r="I417">
        <f t="shared" si="32"/>
        <v>1</v>
      </c>
      <c r="J417">
        <f t="shared" si="33"/>
        <v>0</v>
      </c>
      <c r="K417">
        <f t="shared" si="34"/>
        <v>0</v>
      </c>
      <c r="L417" s="15" t="s">
        <v>73</v>
      </c>
    </row>
    <row r="418" spans="1:12" x14ac:dyDescent="0.2">
      <c r="A418" s="24" t="s">
        <v>46</v>
      </c>
      <c r="B418" s="25">
        <v>3</v>
      </c>
      <c r="C418" s="28"/>
      <c r="D418" s="28"/>
      <c r="E418" s="28"/>
      <c r="F418" s="25">
        <v>390</v>
      </c>
      <c r="G418">
        <f t="shared" si="30"/>
        <v>1</v>
      </c>
      <c r="H418">
        <f t="shared" si="31"/>
        <v>0</v>
      </c>
      <c r="I418">
        <f t="shared" si="32"/>
        <v>0</v>
      </c>
      <c r="J418">
        <f t="shared" si="33"/>
        <v>0</v>
      </c>
      <c r="K418">
        <f t="shared" si="34"/>
        <v>0</v>
      </c>
      <c r="L418" s="15" t="s">
        <v>42</v>
      </c>
    </row>
    <row r="419" spans="1:12" x14ac:dyDescent="0.2">
      <c r="A419" s="26" t="s">
        <v>431</v>
      </c>
      <c r="B419" s="29"/>
      <c r="C419" s="29"/>
      <c r="D419" s="27">
        <v>26</v>
      </c>
      <c r="E419" s="29"/>
      <c r="F419" s="27">
        <v>4000</v>
      </c>
      <c r="G419">
        <f t="shared" si="30"/>
        <v>0</v>
      </c>
      <c r="H419">
        <f t="shared" si="31"/>
        <v>0</v>
      </c>
      <c r="I419">
        <f t="shared" si="32"/>
        <v>1</v>
      </c>
      <c r="J419">
        <f t="shared" si="33"/>
        <v>0</v>
      </c>
      <c r="K419">
        <f t="shared" si="34"/>
        <v>0</v>
      </c>
      <c r="L419" s="15" t="s">
        <v>73</v>
      </c>
    </row>
    <row r="420" spans="1:12" x14ac:dyDescent="0.2">
      <c r="A420" s="24" t="s">
        <v>46</v>
      </c>
      <c r="B420" s="25">
        <v>11</v>
      </c>
      <c r="C420" s="28"/>
      <c r="D420" s="28"/>
      <c r="E420" s="28"/>
      <c r="F420" s="25">
        <v>1430</v>
      </c>
      <c r="G420">
        <f t="shared" si="30"/>
        <v>1</v>
      </c>
      <c r="H420">
        <f t="shared" si="31"/>
        <v>0</v>
      </c>
      <c r="I420">
        <f t="shared" si="32"/>
        <v>0</v>
      </c>
      <c r="J420">
        <f t="shared" si="33"/>
        <v>0</v>
      </c>
      <c r="K420">
        <f t="shared" si="34"/>
        <v>0</v>
      </c>
      <c r="L420" s="44" t="s">
        <v>42</v>
      </c>
    </row>
    <row r="421" spans="1:12" x14ac:dyDescent="0.2">
      <c r="A421" s="26" t="s">
        <v>46</v>
      </c>
      <c r="B421" s="27">
        <v>3</v>
      </c>
      <c r="C421" s="27"/>
      <c r="D421" s="29"/>
      <c r="E421" s="29"/>
      <c r="F421" s="27">
        <v>9400</v>
      </c>
      <c r="G421">
        <f t="shared" si="30"/>
        <v>1</v>
      </c>
      <c r="H421">
        <f t="shared" si="31"/>
        <v>0</v>
      </c>
      <c r="I421">
        <f t="shared" si="32"/>
        <v>0</v>
      </c>
      <c r="J421">
        <f t="shared" si="33"/>
        <v>0</v>
      </c>
      <c r="K421">
        <f t="shared" si="34"/>
        <v>0</v>
      </c>
      <c r="L421" s="15" t="s">
        <v>73</v>
      </c>
    </row>
    <row r="422" spans="1:12" x14ac:dyDescent="0.2">
      <c r="A422" s="24" t="s">
        <v>290</v>
      </c>
      <c r="B422" s="25">
        <v>4</v>
      </c>
      <c r="C422" s="28"/>
      <c r="D422" s="28"/>
      <c r="E422" s="25">
        <v>70</v>
      </c>
      <c r="F422" s="25">
        <v>8800</v>
      </c>
      <c r="G422">
        <f t="shared" si="30"/>
        <v>1</v>
      </c>
      <c r="H422">
        <f t="shared" si="31"/>
        <v>0</v>
      </c>
      <c r="I422">
        <f t="shared" si="32"/>
        <v>0</v>
      </c>
      <c r="J422">
        <f t="shared" si="33"/>
        <v>1</v>
      </c>
      <c r="K422">
        <f t="shared" si="34"/>
        <v>0</v>
      </c>
      <c r="L422" s="15" t="s">
        <v>73</v>
      </c>
    </row>
    <row r="423" spans="1:12" x14ac:dyDescent="0.2">
      <c r="A423" s="26" t="s">
        <v>100</v>
      </c>
      <c r="B423" s="29"/>
      <c r="C423" s="27">
        <v>4</v>
      </c>
      <c r="D423" s="29"/>
      <c r="E423" s="29"/>
      <c r="F423" s="27">
        <v>520</v>
      </c>
      <c r="G423">
        <f t="shared" si="30"/>
        <v>0</v>
      </c>
      <c r="H423">
        <f t="shared" si="31"/>
        <v>1</v>
      </c>
      <c r="I423">
        <f t="shared" si="32"/>
        <v>0</v>
      </c>
      <c r="J423">
        <f t="shared" si="33"/>
        <v>0</v>
      </c>
      <c r="K423">
        <f t="shared" si="34"/>
        <v>0</v>
      </c>
      <c r="L423" s="15" t="s">
        <v>42</v>
      </c>
    </row>
    <row r="424" spans="1:12" x14ac:dyDescent="0.2">
      <c r="A424" s="24" t="s">
        <v>246</v>
      </c>
      <c r="B424" s="25">
        <v>6</v>
      </c>
      <c r="C424" s="28"/>
      <c r="D424" s="25">
        <v>21</v>
      </c>
      <c r="E424" s="28"/>
      <c r="F424" s="25">
        <v>3700</v>
      </c>
      <c r="G424">
        <f t="shared" si="30"/>
        <v>1</v>
      </c>
      <c r="H424">
        <f t="shared" si="31"/>
        <v>0</v>
      </c>
      <c r="I424">
        <f t="shared" si="32"/>
        <v>1</v>
      </c>
      <c r="J424">
        <f t="shared" si="33"/>
        <v>0</v>
      </c>
      <c r="K424">
        <f t="shared" si="34"/>
        <v>0</v>
      </c>
      <c r="L424" s="15" t="s">
        <v>73</v>
      </c>
    </row>
    <row r="425" spans="1:12" x14ac:dyDescent="0.2">
      <c r="A425" s="26" t="s">
        <v>988</v>
      </c>
      <c r="B425" s="29"/>
      <c r="C425" s="29"/>
      <c r="D425" s="29"/>
      <c r="E425" s="27">
        <v>90</v>
      </c>
      <c r="F425" s="27">
        <v>9200</v>
      </c>
      <c r="G425">
        <f t="shared" si="30"/>
        <v>0</v>
      </c>
      <c r="H425">
        <f t="shared" si="31"/>
        <v>0</v>
      </c>
      <c r="I425">
        <f t="shared" si="32"/>
        <v>0</v>
      </c>
      <c r="J425">
        <f t="shared" si="33"/>
        <v>1</v>
      </c>
      <c r="K425">
        <f t="shared" si="34"/>
        <v>0</v>
      </c>
      <c r="L425" s="15" t="s">
        <v>73</v>
      </c>
    </row>
    <row r="426" spans="1:12" x14ac:dyDescent="0.2">
      <c r="A426" s="24" t="s">
        <v>46</v>
      </c>
      <c r="B426" s="25">
        <v>6</v>
      </c>
      <c r="C426" s="28"/>
      <c r="D426" s="28"/>
      <c r="E426" s="28"/>
      <c r="F426" s="25">
        <v>780</v>
      </c>
      <c r="G426">
        <f t="shared" si="30"/>
        <v>1</v>
      </c>
      <c r="H426">
        <f t="shared" si="31"/>
        <v>0</v>
      </c>
      <c r="I426">
        <f t="shared" si="32"/>
        <v>0</v>
      </c>
      <c r="J426">
        <f t="shared" si="33"/>
        <v>0</v>
      </c>
      <c r="K426">
        <f t="shared" si="34"/>
        <v>0</v>
      </c>
      <c r="L426" s="15" t="s">
        <v>73</v>
      </c>
    </row>
    <row r="427" spans="1:12" x14ac:dyDescent="0.2">
      <c r="A427" s="26" t="s">
        <v>100</v>
      </c>
      <c r="B427" s="29"/>
      <c r="C427" s="27">
        <v>7</v>
      </c>
      <c r="D427" s="29"/>
      <c r="E427" s="29"/>
      <c r="F427" s="27">
        <v>780</v>
      </c>
      <c r="G427">
        <f t="shared" si="30"/>
        <v>0</v>
      </c>
      <c r="H427">
        <f t="shared" si="31"/>
        <v>1</v>
      </c>
      <c r="I427">
        <f t="shared" si="32"/>
        <v>0</v>
      </c>
      <c r="J427">
        <f t="shared" si="33"/>
        <v>0</v>
      </c>
      <c r="K427">
        <f t="shared" si="34"/>
        <v>0</v>
      </c>
      <c r="L427" s="15" t="s">
        <v>42</v>
      </c>
    </row>
    <row r="428" spans="1:12" x14ac:dyDescent="0.2">
      <c r="A428" s="24" t="s">
        <v>46</v>
      </c>
      <c r="B428" s="25">
        <v>11</v>
      </c>
      <c r="C428" s="28"/>
      <c r="D428" s="28"/>
      <c r="E428" s="28"/>
      <c r="F428" s="25">
        <v>1180</v>
      </c>
      <c r="G428">
        <f t="shared" si="30"/>
        <v>1</v>
      </c>
      <c r="H428">
        <f t="shared" si="31"/>
        <v>0</v>
      </c>
      <c r="I428">
        <f t="shared" si="32"/>
        <v>0</v>
      </c>
      <c r="J428">
        <f t="shared" si="33"/>
        <v>0</v>
      </c>
      <c r="K428">
        <f t="shared" si="34"/>
        <v>0</v>
      </c>
      <c r="L428" s="15" t="s">
        <v>73</v>
      </c>
    </row>
    <row r="429" spans="1:12" x14ac:dyDescent="0.2">
      <c r="A429" s="26" t="s">
        <v>246</v>
      </c>
      <c r="B429" s="27">
        <v>5</v>
      </c>
      <c r="C429" s="29"/>
      <c r="D429" s="27">
        <v>23</v>
      </c>
      <c r="E429" s="29"/>
      <c r="F429" s="27">
        <v>3600</v>
      </c>
      <c r="G429">
        <f t="shared" si="30"/>
        <v>1</v>
      </c>
      <c r="H429">
        <f t="shared" si="31"/>
        <v>0</v>
      </c>
      <c r="I429">
        <f t="shared" si="32"/>
        <v>1</v>
      </c>
      <c r="J429">
        <f t="shared" si="33"/>
        <v>0</v>
      </c>
      <c r="K429">
        <f t="shared" si="34"/>
        <v>0</v>
      </c>
      <c r="L429" s="15" t="s">
        <v>73</v>
      </c>
    </row>
    <row r="430" spans="1:12" x14ac:dyDescent="0.2">
      <c r="A430" s="24" t="s">
        <v>100</v>
      </c>
      <c r="B430" s="28"/>
      <c r="C430" s="25">
        <v>4</v>
      </c>
      <c r="D430" s="28"/>
      <c r="E430" s="28"/>
      <c r="F430" s="25">
        <v>520</v>
      </c>
      <c r="G430">
        <f t="shared" si="30"/>
        <v>0</v>
      </c>
      <c r="H430">
        <f t="shared" si="31"/>
        <v>1</v>
      </c>
      <c r="I430">
        <f t="shared" si="32"/>
        <v>0</v>
      </c>
      <c r="J430">
        <f t="shared" si="33"/>
        <v>0</v>
      </c>
      <c r="K430">
        <f t="shared" si="34"/>
        <v>0</v>
      </c>
      <c r="L430" s="15" t="s">
        <v>42</v>
      </c>
    </row>
    <row r="431" spans="1:12" x14ac:dyDescent="0.2">
      <c r="A431" s="26" t="s">
        <v>46</v>
      </c>
      <c r="B431" s="27">
        <v>16</v>
      </c>
      <c r="C431" s="29"/>
      <c r="D431" s="29"/>
      <c r="E431" s="29"/>
      <c r="F431" s="27">
        <v>2080</v>
      </c>
      <c r="G431">
        <f t="shared" si="30"/>
        <v>1</v>
      </c>
      <c r="H431">
        <f t="shared" si="31"/>
        <v>0</v>
      </c>
      <c r="I431">
        <f t="shared" si="32"/>
        <v>0</v>
      </c>
      <c r="J431">
        <f t="shared" si="33"/>
        <v>0</v>
      </c>
      <c r="K431">
        <f t="shared" si="34"/>
        <v>0</v>
      </c>
      <c r="L431" s="15" t="s">
        <v>73</v>
      </c>
    </row>
    <row r="432" spans="1:12" x14ac:dyDescent="0.2">
      <c r="A432" s="24" t="s">
        <v>46</v>
      </c>
      <c r="B432" s="25">
        <v>3</v>
      </c>
      <c r="C432" s="28"/>
      <c r="D432" s="28"/>
      <c r="E432" s="28"/>
      <c r="F432" s="25">
        <v>390</v>
      </c>
      <c r="G432">
        <f t="shared" si="30"/>
        <v>1</v>
      </c>
      <c r="H432">
        <f t="shared" si="31"/>
        <v>0</v>
      </c>
      <c r="I432">
        <f t="shared" si="32"/>
        <v>0</v>
      </c>
      <c r="J432">
        <f t="shared" si="33"/>
        <v>0</v>
      </c>
      <c r="K432">
        <f t="shared" si="34"/>
        <v>0</v>
      </c>
      <c r="L432" s="15" t="s">
        <v>42</v>
      </c>
    </row>
    <row r="433" spans="1:12" x14ac:dyDescent="0.2">
      <c r="A433" s="26" t="s">
        <v>431</v>
      </c>
      <c r="B433" s="29"/>
      <c r="C433" s="29"/>
      <c r="D433" s="27">
        <v>27</v>
      </c>
      <c r="E433" s="29"/>
      <c r="F433" s="27">
        <v>4350</v>
      </c>
      <c r="G433">
        <f t="shared" si="30"/>
        <v>0</v>
      </c>
      <c r="H433">
        <f t="shared" si="31"/>
        <v>0</v>
      </c>
      <c r="I433">
        <f t="shared" si="32"/>
        <v>1</v>
      </c>
      <c r="J433">
        <f t="shared" si="33"/>
        <v>0</v>
      </c>
      <c r="K433">
        <f t="shared" si="34"/>
        <v>0</v>
      </c>
      <c r="L433" s="15" t="s">
        <v>73</v>
      </c>
    </row>
    <row r="434" spans="1:12" x14ac:dyDescent="0.2">
      <c r="A434" s="24" t="s">
        <v>46</v>
      </c>
      <c r="B434" s="25">
        <v>5</v>
      </c>
      <c r="C434" s="28"/>
      <c r="D434" s="28"/>
      <c r="E434" s="28"/>
      <c r="F434" s="25">
        <v>520</v>
      </c>
      <c r="G434">
        <f t="shared" si="30"/>
        <v>1</v>
      </c>
      <c r="H434">
        <f t="shared" si="31"/>
        <v>0</v>
      </c>
      <c r="I434">
        <f t="shared" si="32"/>
        <v>0</v>
      </c>
      <c r="J434">
        <f t="shared" si="33"/>
        <v>0</v>
      </c>
      <c r="K434">
        <f t="shared" si="34"/>
        <v>0</v>
      </c>
      <c r="L434" s="15" t="s">
        <v>73</v>
      </c>
    </row>
    <row r="435" spans="1:12" x14ac:dyDescent="0.2">
      <c r="A435" s="26" t="s">
        <v>46</v>
      </c>
      <c r="B435" s="27">
        <v>11</v>
      </c>
      <c r="C435" s="29"/>
      <c r="D435" s="29"/>
      <c r="E435" s="29"/>
      <c r="F435" s="27">
        <v>11430</v>
      </c>
      <c r="G435">
        <f t="shared" si="30"/>
        <v>1</v>
      </c>
      <c r="H435">
        <f t="shared" si="31"/>
        <v>0</v>
      </c>
      <c r="I435">
        <f t="shared" si="32"/>
        <v>0</v>
      </c>
      <c r="J435">
        <f t="shared" si="33"/>
        <v>0</v>
      </c>
      <c r="K435">
        <f t="shared" si="34"/>
        <v>0</v>
      </c>
      <c r="L435" s="15" t="s">
        <v>73</v>
      </c>
    </row>
    <row r="436" spans="1:12" x14ac:dyDescent="0.2">
      <c r="A436" s="24" t="s">
        <v>46</v>
      </c>
      <c r="B436" s="25">
        <v>8</v>
      </c>
      <c r="C436" s="28"/>
      <c r="D436" s="28"/>
      <c r="E436" s="28"/>
      <c r="F436" s="25">
        <v>900</v>
      </c>
      <c r="G436">
        <f t="shared" si="30"/>
        <v>1</v>
      </c>
      <c r="H436">
        <f t="shared" si="31"/>
        <v>0</v>
      </c>
      <c r="I436">
        <f t="shared" si="32"/>
        <v>0</v>
      </c>
      <c r="J436">
        <f t="shared" si="33"/>
        <v>0</v>
      </c>
      <c r="K436">
        <f t="shared" si="34"/>
        <v>0</v>
      </c>
      <c r="L436" s="15" t="s">
        <v>73</v>
      </c>
    </row>
    <row r="437" spans="1:12" x14ac:dyDescent="0.2">
      <c r="A437" s="26" t="s">
        <v>100</v>
      </c>
      <c r="B437" s="29"/>
      <c r="C437" s="27">
        <v>7</v>
      </c>
      <c r="D437" s="29"/>
      <c r="E437" s="29"/>
      <c r="F437" s="27">
        <v>910</v>
      </c>
      <c r="G437">
        <f t="shared" si="30"/>
        <v>0</v>
      </c>
      <c r="H437">
        <f t="shared" si="31"/>
        <v>1</v>
      </c>
      <c r="I437">
        <f t="shared" si="32"/>
        <v>0</v>
      </c>
      <c r="J437">
        <f t="shared" si="33"/>
        <v>0</v>
      </c>
      <c r="K437">
        <f t="shared" si="34"/>
        <v>0</v>
      </c>
      <c r="L437" s="15" t="s">
        <v>73</v>
      </c>
    </row>
    <row r="438" spans="1:12" x14ac:dyDescent="0.2">
      <c r="A438" s="24" t="s">
        <v>46</v>
      </c>
      <c r="B438" s="25">
        <v>12</v>
      </c>
      <c r="C438" s="28"/>
      <c r="D438" s="28"/>
      <c r="E438" s="28"/>
      <c r="F438" s="25">
        <v>1560</v>
      </c>
      <c r="G438">
        <f t="shared" si="30"/>
        <v>1</v>
      </c>
      <c r="H438">
        <f t="shared" si="31"/>
        <v>0</v>
      </c>
      <c r="I438">
        <f t="shared" si="32"/>
        <v>0</v>
      </c>
      <c r="J438">
        <f t="shared" si="33"/>
        <v>0</v>
      </c>
      <c r="K438">
        <f t="shared" si="34"/>
        <v>0</v>
      </c>
      <c r="L438" s="15" t="s">
        <v>73</v>
      </c>
    </row>
    <row r="439" spans="1:12" x14ac:dyDescent="0.2">
      <c r="A439" s="26" t="s">
        <v>246</v>
      </c>
      <c r="B439" s="27">
        <v>6</v>
      </c>
      <c r="C439" s="29"/>
      <c r="D439" s="27">
        <v>26</v>
      </c>
      <c r="E439" s="29"/>
      <c r="F439" s="27">
        <v>4160</v>
      </c>
      <c r="G439">
        <f t="shared" si="30"/>
        <v>1</v>
      </c>
      <c r="H439">
        <f t="shared" si="31"/>
        <v>0</v>
      </c>
      <c r="I439">
        <f t="shared" si="32"/>
        <v>1</v>
      </c>
      <c r="J439">
        <f t="shared" si="33"/>
        <v>0</v>
      </c>
      <c r="K439">
        <f t="shared" si="34"/>
        <v>0</v>
      </c>
      <c r="L439" s="15" t="s">
        <v>73</v>
      </c>
    </row>
    <row r="440" spans="1:12" x14ac:dyDescent="0.2">
      <c r="A440" s="24" t="s">
        <v>100</v>
      </c>
      <c r="B440" s="28"/>
      <c r="C440" s="25">
        <v>4</v>
      </c>
      <c r="D440" s="28"/>
      <c r="E440" s="28"/>
      <c r="F440" s="25">
        <v>520</v>
      </c>
      <c r="G440">
        <f t="shared" si="30"/>
        <v>0</v>
      </c>
      <c r="H440">
        <f t="shared" si="31"/>
        <v>1</v>
      </c>
      <c r="I440">
        <f t="shared" si="32"/>
        <v>0</v>
      </c>
      <c r="J440">
        <f t="shared" si="33"/>
        <v>0</v>
      </c>
      <c r="K440">
        <f t="shared" si="34"/>
        <v>0</v>
      </c>
      <c r="L440" s="15" t="s">
        <v>42</v>
      </c>
    </row>
    <row r="441" spans="1:12" x14ac:dyDescent="0.2">
      <c r="A441" s="26" t="s">
        <v>46</v>
      </c>
      <c r="B441" s="27">
        <v>15</v>
      </c>
      <c r="C441" s="29"/>
      <c r="D441" s="29"/>
      <c r="E441" s="29"/>
      <c r="F441" s="27">
        <v>1560</v>
      </c>
      <c r="G441">
        <f t="shared" si="30"/>
        <v>1</v>
      </c>
      <c r="H441">
        <f t="shared" si="31"/>
        <v>0</v>
      </c>
      <c r="I441">
        <f t="shared" si="32"/>
        <v>0</v>
      </c>
      <c r="J441">
        <f t="shared" si="33"/>
        <v>0</v>
      </c>
      <c r="K441">
        <f t="shared" si="34"/>
        <v>0</v>
      </c>
      <c r="L441" s="15" t="s">
        <v>73</v>
      </c>
    </row>
    <row r="442" spans="1:12" x14ac:dyDescent="0.2">
      <c r="A442" s="24" t="s">
        <v>46</v>
      </c>
      <c r="B442" s="25">
        <v>3</v>
      </c>
      <c r="C442" s="28"/>
      <c r="D442" s="28"/>
      <c r="E442" s="28"/>
      <c r="F442" s="25">
        <v>390</v>
      </c>
      <c r="G442">
        <f t="shared" si="30"/>
        <v>1</v>
      </c>
      <c r="H442">
        <f t="shared" si="31"/>
        <v>0</v>
      </c>
      <c r="I442">
        <f t="shared" si="32"/>
        <v>0</v>
      </c>
      <c r="J442">
        <f t="shared" si="33"/>
        <v>0</v>
      </c>
      <c r="K442">
        <f t="shared" si="34"/>
        <v>0</v>
      </c>
      <c r="L442" s="15" t="s">
        <v>42</v>
      </c>
    </row>
    <row r="443" spans="1:12" x14ac:dyDescent="0.2">
      <c r="A443" s="26" t="s">
        <v>431</v>
      </c>
      <c r="B443" s="29"/>
      <c r="C443" s="29"/>
      <c r="D443" s="27">
        <v>28</v>
      </c>
      <c r="E443" s="29"/>
      <c r="F443" s="27">
        <v>4550</v>
      </c>
      <c r="G443">
        <f t="shared" si="30"/>
        <v>0</v>
      </c>
      <c r="H443">
        <f t="shared" si="31"/>
        <v>0</v>
      </c>
      <c r="I443">
        <f t="shared" si="32"/>
        <v>1</v>
      </c>
      <c r="J443">
        <f t="shared" si="33"/>
        <v>0</v>
      </c>
      <c r="K443">
        <f t="shared" si="34"/>
        <v>0</v>
      </c>
      <c r="L443" s="15" t="s">
        <v>73</v>
      </c>
    </row>
    <row r="444" spans="1:12" x14ac:dyDescent="0.2">
      <c r="A444" s="24" t="s">
        <v>46</v>
      </c>
      <c r="B444" s="25">
        <v>5</v>
      </c>
      <c r="C444" s="28"/>
      <c r="D444" s="28"/>
      <c r="E444" s="28"/>
      <c r="F444" s="25">
        <v>650</v>
      </c>
      <c r="G444">
        <f t="shared" si="30"/>
        <v>1</v>
      </c>
      <c r="H444">
        <f t="shared" si="31"/>
        <v>0</v>
      </c>
      <c r="I444">
        <f t="shared" si="32"/>
        <v>0</v>
      </c>
      <c r="J444">
        <f t="shared" si="33"/>
        <v>0</v>
      </c>
      <c r="K444">
        <f t="shared" si="34"/>
        <v>0</v>
      </c>
      <c r="L444" s="15" t="s">
        <v>42</v>
      </c>
    </row>
    <row r="445" spans="1:12" x14ac:dyDescent="0.2">
      <c r="A445" s="26" t="s">
        <v>61</v>
      </c>
      <c r="B445" s="27">
        <v>7</v>
      </c>
      <c r="C445" s="27">
        <v>4</v>
      </c>
      <c r="D445" s="29"/>
      <c r="E445" s="29"/>
      <c r="F445" s="27">
        <v>1430</v>
      </c>
      <c r="G445">
        <f t="shared" si="30"/>
        <v>1</v>
      </c>
      <c r="H445">
        <f t="shared" si="31"/>
        <v>1</v>
      </c>
      <c r="I445">
        <f t="shared" si="32"/>
        <v>0</v>
      </c>
      <c r="J445">
        <f t="shared" si="33"/>
        <v>0</v>
      </c>
      <c r="K445">
        <f t="shared" si="34"/>
        <v>0</v>
      </c>
      <c r="L445" s="15" t="s">
        <v>73</v>
      </c>
    </row>
    <row r="446" spans="1:12" x14ac:dyDescent="0.2">
      <c r="A446" s="24" t="s">
        <v>46</v>
      </c>
      <c r="B446" s="25">
        <v>8</v>
      </c>
      <c r="C446" s="28"/>
      <c r="D446" s="28"/>
      <c r="E446" s="28"/>
      <c r="F446" s="25">
        <v>1040</v>
      </c>
      <c r="G446">
        <f t="shared" si="30"/>
        <v>1</v>
      </c>
      <c r="H446">
        <f t="shared" si="31"/>
        <v>0</v>
      </c>
      <c r="I446">
        <f t="shared" si="32"/>
        <v>0</v>
      </c>
      <c r="J446">
        <f t="shared" si="33"/>
        <v>0</v>
      </c>
      <c r="K446">
        <f t="shared" si="34"/>
        <v>0</v>
      </c>
      <c r="L446" s="15" t="s">
        <v>73</v>
      </c>
    </row>
    <row r="447" spans="1:12" x14ac:dyDescent="0.2">
      <c r="A447" s="26" t="s">
        <v>100</v>
      </c>
      <c r="B447" s="29"/>
      <c r="C447" s="27">
        <v>6</v>
      </c>
      <c r="D447" s="29"/>
      <c r="E447" s="29"/>
      <c r="F447" s="27">
        <v>780</v>
      </c>
      <c r="G447">
        <f t="shared" si="30"/>
        <v>0</v>
      </c>
      <c r="H447">
        <f t="shared" si="31"/>
        <v>1</v>
      </c>
      <c r="I447">
        <f t="shared" si="32"/>
        <v>0</v>
      </c>
      <c r="J447">
        <f t="shared" si="33"/>
        <v>0</v>
      </c>
      <c r="K447">
        <f t="shared" si="34"/>
        <v>0</v>
      </c>
      <c r="L447" s="15" t="s">
        <v>42</v>
      </c>
    </row>
    <row r="448" spans="1:12" x14ac:dyDescent="0.2">
      <c r="A448" s="24" t="s">
        <v>988</v>
      </c>
      <c r="B448" s="28"/>
      <c r="C448" s="28"/>
      <c r="D448" s="28"/>
      <c r="E448" s="25">
        <v>85</v>
      </c>
      <c r="F448" s="25">
        <v>7200</v>
      </c>
      <c r="G448">
        <f t="shared" si="30"/>
        <v>0</v>
      </c>
      <c r="H448">
        <f t="shared" si="31"/>
        <v>0</v>
      </c>
      <c r="I448">
        <f t="shared" si="32"/>
        <v>0</v>
      </c>
      <c r="J448">
        <f t="shared" si="33"/>
        <v>1</v>
      </c>
      <c r="K448">
        <f t="shared" si="34"/>
        <v>0</v>
      </c>
      <c r="L448" s="15" t="s">
        <v>73</v>
      </c>
    </row>
    <row r="449" spans="1:12" x14ac:dyDescent="0.2">
      <c r="A449" s="26" t="s">
        <v>46</v>
      </c>
      <c r="B449" s="27">
        <v>9</v>
      </c>
      <c r="C449" s="29"/>
      <c r="D449" s="29"/>
      <c r="E449" s="29"/>
      <c r="F449" s="27">
        <v>1170</v>
      </c>
      <c r="G449">
        <f t="shared" si="30"/>
        <v>1</v>
      </c>
      <c r="H449">
        <f t="shared" si="31"/>
        <v>0</v>
      </c>
      <c r="I449">
        <f t="shared" si="32"/>
        <v>0</v>
      </c>
      <c r="J449">
        <f t="shared" si="33"/>
        <v>0</v>
      </c>
      <c r="K449">
        <f t="shared" si="34"/>
        <v>0</v>
      </c>
      <c r="L449" s="15" t="s">
        <v>42</v>
      </c>
    </row>
    <row r="450" spans="1:12" x14ac:dyDescent="0.2">
      <c r="A450" s="24" t="s">
        <v>246</v>
      </c>
      <c r="B450" s="25">
        <v>5</v>
      </c>
      <c r="C450" s="28"/>
      <c r="D450" s="25">
        <v>20</v>
      </c>
      <c r="E450" s="28"/>
      <c r="F450" s="25">
        <v>3250</v>
      </c>
      <c r="G450">
        <f t="shared" si="30"/>
        <v>1</v>
      </c>
      <c r="H450">
        <f t="shared" si="31"/>
        <v>0</v>
      </c>
      <c r="I450">
        <f t="shared" si="32"/>
        <v>1</v>
      </c>
      <c r="J450">
        <f t="shared" si="33"/>
        <v>0</v>
      </c>
      <c r="K450">
        <f t="shared" si="34"/>
        <v>0</v>
      </c>
      <c r="L450" s="15" t="s">
        <v>73</v>
      </c>
    </row>
    <row r="451" spans="1:12" x14ac:dyDescent="0.2">
      <c r="A451" s="26" t="s">
        <v>46</v>
      </c>
      <c r="B451" s="27">
        <v>32</v>
      </c>
      <c r="C451" s="29"/>
      <c r="D451" s="29"/>
      <c r="E451" s="29"/>
      <c r="F451" s="27">
        <v>4550</v>
      </c>
      <c r="G451">
        <f t="shared" ref="G451:G514" si="35">IF(ISNUMBER(SEARCH("bike",A451)),1,0)</f>
        <v>1</v>
      </c>
      <c r="H451">
        <f t="shared" ref="H451:H514" si="36">IF(ISNUMBER(SEARCH("Scooty",A451)),1,0)</f>
        <v>0</v>
      </c>
      <c r="I451">
        <f t="shared" ref="I451:I514" si="37">IF(ISNUMBER(SEARCH("Car",A451)),1,0)</f>
        <v>0</v>
      </c>
      <c r="J451">
        <f t="shared" ref="J451:J514" si="38">IF(ISNUMBER(SEARCH("Commercial vehicle",A451)),1,0)</f>
        <v>0</v>
      </c>
      <c r="K451">
        <f t="shared" ref="K451:K514" si="39">IF(ISNUMBER(SEARCH("Electric Vehicle",A451)),1,0)</f>
        <v>0</v>
      </c>
      <c r="L451" s="15" t="s">
        <v>73</v>
      </c>
    </row>
    <row r="452" spans="1:12" x14ac:dyDescent="0.2">
      <c r="A452" s="24" t="s">
        <v>100</v>
      </c>
      <c r="B452" s="28"/>
      <c r="C452" s="25">
        <v>4</v>
      </c>
      <c r="D452" s="28"/>
      <c r="E452" s="28"/>
      <c r="F452" s="25">
        <v>520</v>
      </c>
      <c r="G452">
        <f t="shared" si="35"/>
        <v>0</v>
      </c>
      <c r="H452">
        <f t="shared" si="36"/>
        <v>1</v>
      </c>
      <c r="I452">
        <f t="shared" si="37"/>
        <v>0</v>
      </c>
      <c r="J452">
        <f t="shared" si="38"/>
        <v>0</v>
      </c>
      <c r="K452">
        <f t="shared" si="39"/>
        <v>0</v>
      </c>
      <c r="L452" s="15" t="s">
        <v>42</v>
      </c>
    </row>
    <row r="453" spans="1:12" x14ac:dyDescent="0.2">
      <c r="A453" s="26" t="s">
        <v>46</v>
      </c>
      <c r="B453" s="27">
        <v>11</v>
      </c>
      <c r="C453" s="29"/>
      <c r="D453" s="29"/>
      <c r="E453" s="29"/>
      <c r="F453" s="27">
        <v>1430</v>
      </c>
      <c r="G453">
        <f t="shared" si="35"/>
        <v>1</v>
      </c>
      <c r="H453">
        <f t="shared" si="36"/>
        <v>0</v>
      </c>
      <c r="I453">
        <f t="shared" si="37"/>
        <v>0</v>
      </c>
      <c r="J453">
        <f t="shared" si="38"/>
        <v>0</v>
      </c>
      <c r="K453">
        <f t="shared" si="39"/>
        <v>0</v>
      </c>
      <c r="L453" s="15" t="s">
        <v>73</v>
      </c>
    </row>
    <row r="454" spans="1:12" x14ac:dyDescent="0.2">
      <c r="A454" s="24" t="s">
        <v>46</v>
      </c>
      <c r="B454" s="25">
        <v>6</v>
      </c>
      <c r="C454" s="28"/>
      <c r="D454" s="28"/>
      <c r="E454" s="28"/>
      <c r="F454" s="25">
        <v>780</v>
      </c>
      <c r="G454">
        <f t="shared" si="35"/>
        <v>1</v>
      </c>
      <c r="H454">
        <f t="shared" si="36"/>
        <v>0</v>
      </c>
      <c r="I454">
        <f t="shared" si="37"/>
        <v>0</v>
      </c>
      <c r="J454">
        <f t="shared" si="38"/>
        <v>0</v>
      </c>
      <c r="K454">
        <f t="shared" si="39"/>
        <v>0</v>
      </c>
      <c r="L454" s="15" t="s">
        <v>73</v>
      </c>
    </row>
    <row r="455" spans="1:12" x14ac:dyDescent="0.2">
      <c r="A455" s="26" t="s">
        <v>431</v>
      </c>
      <c r="B455" s="29"/>
      <c r="C455" s="29"/>
      <c r="D455" s="27">
        <v>26</v>
      </c>
      <c r="E455" s="29"/>
      <c r="F455" s="27">
        <v>4100</v>
      </c>
      <c r="G455">
        <f t="shared" si="35"/>
        <v>0</v>
      </c>
      <c r="H455">
        <f t="shared" si="36"/>
        <v>0</v>
      </c>
      <c r="I455">
        <f t="shared" si="37"/>
        <v>1</v>
      </c>
      <c r="J455">
        <f t="shared" si="38"/>
        <v>0</v>
      </c>
      <c r="K455">
        <f t="shared" si="39"/>
        <v>0</v>
      </c>
      <c r="L455" s="15" t="s">
        <v>73</v>
      </c>
    </row>
    <row r="456" spans="1:12" x14ac:dyDescent="0.2">
      <c r="A456" s="24" t="s">
        <v>46</v>
      </c>
      <c r="B456" s="25">
        <v>7</v>
      </c>
      <c r="C456" s="28"/>
      <c r="D456" s="28"/>
      <c r="E456" s="28"/>
      <c r="F456" s="25">
        <v>910</v>
      </c>
      <c r="G456">
        <f t="shared" si="35"/>
        <v>1</v>
      </c>
      <c r="H456">
        <f t="shared" si="36"/>
        <v>0</v>
      </c>
      <c r="I456">
        <f t="shared" si="37"/>
        <v>0</v>
      </c>
      <c r="J456">
        <f t="shared" si="38"/>
        <v>0</v>
      </c>
      <c r="K456">
        <f t="shared" si="39"/>
        <v>0</v>
      </c>
      <c r="L456" s="15" t="s">
        <v>73</v>
      </c>
    </row>
    <row r="457" spans="1:12" x14ac:dyDescent="0.2">
      <c r="A457" s="26" t="s">
        <v>100</v>
      </c>
      <c r="B457" s="29"/>
      <c r="C457" s="27">
        <v>7</v>
      </c>
      <c r="D457" s="29"/>
      <c r="E457" s="29"/>
      <c r="F457" s="27">
        <v>910</v>
      </c>
      <c r="G457">
        <f t="shared" si="35"/>
        <v>0</v>
      </c>
      <c r="H457">
        <f t="shared" si="36"/>
        <v>1</v>
      </c>
      <c r="I457">
        <f t="shared" si="37"/>
        <v>0</v>
      </c>
      <c r="J457">
        <f t="shared" si="38"/>
        <v>0</v>
      </c>
      <c r="K457">
        <f t="shared" si="39"/>
        <v>0</v>
      </c>
      <c r="L457" s="15" t="s">
        <v>42</v>
      </c>
    </row>
    <row r="458" spans="1:12" x14ac:dyDescent="0.2">
      <c r="A458" s="24" t="s">
        <v>46</v>
      </c>
      <c r="B458" s="25">
        <v>10</v>
      </c>
      <c r="C458" s="28"/>
      <c r="D458" s="28"/>
      <c r="E458" s="28"/>
      <c r="F458" s="25">
        <v>1300</v>
      </c>
      <c r="G458">
        <f t="shared" si="35"/>
        <v>1</v>
      </c>
      <c r="H458">
        <f t="shared" si="36"/>
        <v>0</v>
      </c>
      <c r="I458">
        <f t="shared" si="37"/>
        <v>0</v>
      </c>
      <c r="J458">
        <f t="shared" si="38"/>
        <v>0</v>
      </c>
      <c r="K458">
        <f t="shared" si="39"/>
        <v>0</v>
      </c>
      <c r="L458" s="15" t="s">
        <v>73</v>
      </c>
    </row>
    <row r="459" spans="1:12" x14ac:dyDescent="0.2">
      <c r="A459" s="26" t="s">
        <v>246</v>
      </c>
      <c r="B459" s="27">
        <v>9</v>
      </c>
      <c r="C459" s="29"/>
      <c r="D459" s="27">
        <v>22</v>
      </c>
      <c r="E459" s="29"/>
      <c r="F459" s="27">
        <v>3640</v>
      </c>
      <c r="G459">
        <f t="shared" si="35"/>
        <v>1</v>
      </c>
      <c r="H459">
        <f t="shared" si="36"/>
        <v>0</v>
      </c>
      <c r="I459">
        <f t="shared" si="37"/>
        <v>1</v>
      </c>
      <c r="J459">
        <f t="shared" si="38"/>
        <v>0</v>
      </c>
      <c r="K459">
        <f t="shared" si="39"/>
        <v>0</v>
      </c>
      <c r="L459" s="15" t="s">
        <v>73</v>
      </c>
    </row>
    <row r="460" spans="1:12" x14ac:dyDescent="0.2">
      <c r="A460" s="24" t="s">
        <v>100</v>
      </c>
      <c r="B460" s="28"/>
      <c r="C460" s="25">
        <v>3</v>
      </c>
      <c r="D460" s="28"/>
      <c r="E460" s="28"/>
      <c r="F460" s="25">
        <v>390</v>
      </c>
      <c r="G460">
        <f t="shared" si="35"/>
        <v>0</v>
      </c>
      <c r="H460">
        <f t="shared" si="36"/>
        <v>1</v>
      </c>
      <c r="I460">
        <f t="shared" si="37"/>
        <v>0</v>
      </c>
      <c r="J460">
        <f t="shared" si="38"/>
        <v>0</v>
      </c>
      <c r="K460">
        <f t="shared" si="39"/>
        <v>0</v>
      </c>
      <c r="L460" s="15" t="s">
        <v>42</v>
      </c>
    </row>
    <row r="461" spans="1:12" x14ac:dyDescent="0.2">
      <c r="A461" s="26" t="s">
        <v>46</v>
      </c>
      <c r="B461" s="27">
        <v>14</v>
      </c>
      <c r="C461" s="29"/>
      <c r="D461" s="29"/>
      <c r="E461" s="29"/>
      <c r="F461" s="27">
        <v>1820</v>
      </c>
      <c r="G461">
        <f t="shared" si="35"/>
        <v>1</v>
      </c>
      <c r="H461">
        <f t="shared" si="36"/>
        <v>0</v>
      </c>
      <c r="I461">
        <f t="shared" si="37"/>
        <v>0</v>
      </c>
      <c r="J461">
        <f t="shared" si="38"/>
        <v>0</v>
      </c>
      <c r="K461">
        <f t="shared" si="39"/>
        <v>0</v>
      </c>
      <c r="L461" s="15" t="s">
        <v>73</v>
      </c>
    </row>
    <row r="462" spans="1:12" x14ac:dyDescent="0.2">
      <c r="A462" s="24" t="s">
        <v>46</v>
      </c>
      <c r="B462" s="25">
        <v>4</v>
      </c>
      <c r="C462" s="28"/>
      <c r="D462" s="28"/>
      <c r="E462" s="28"/>
      <c r="F462" s="25">
        <v>520</v>
      </c>
      <c r="G462">
        <f t="shared" si="35"/>
        <v>1</v>
      </c>
      <c r="H462">
        <f t="shared" si="36"/>
        <v>0</v>
      </c>
      <c r="I462">
        <f t="shared" si="37"/>
        <v>0</v>
      </c>
      <c r="J462">
        <f t="shared" si="38"/>
        <v>0</v>
      </c>
      <c r="K462">
        <f t="shared" si="39"/>
        <v>0</v>
      </c>
      <c r="L462" s="15" t="s">
        <v>42</v>
      </c>
    </row>
    <row r="463" spans="1:12" x14ac:dyDescent="0.2">
      <c r="A463" s="26" t="s">
        <v>431</v>
      </c>
      <c r="B463" s="29"/>
      <c r="C463" s="29"/>
      <c r="D463" s="27">
        <v>24</v>
      </c>
      <c r="E463" s="29"/>
      <c r="F463" s="27">
        <v>3900</v>
      </c>
      <c r="G463">
        <f t="shared" si="35"/>
        <v>0</v>
      </c>
      <c r="H463">
        <f t="shared" si="36"/>
        <v>0</v>
      </c>
      <c r="I463">
        <f t="shared" si="37"/>
        <v>1</v>
      </c>
      <c r="J463">
        <f t="shared" si="38"/>
        <v>0</v>
      </c>
      <c r="K463">
        <f t="shared" si="39"/>
        <v>0</v>
      </c>
      <c r="L463" s="15" t="s">
        <v>73</v>
      </c>
    </row>
    <row r="464" spans="1:12" x14ac:dyDescent="0.2">
      <c r="A464" s="24" t="s">
        <v>46</v>
      </c>
      <c r="B464" s="25">
        <v>9</v>
      </c>
      <c r="C464" s="28"/>
      <c r="D464" s="28"/>
      <c r="E464" s="28"/>
      <c r="F464" s="25">
        <v>1170</v>
      </c>
      <c r="G464">
        <f t="shared" si="35"/>
        <v>1</v>
      </c>
      <c r="H464">
        <f t="shared" si="36"/>
        <v>0</v>
      </c>
      <c r="I464">
        <f t="shared" si="37"/>
        <v>0</v>
      </c>
      <c r="J464">
        <f t="shared" si="38"/>
        <v>0</v>
      </c>
      <c r="K464">
        <f t="shared" si="39"/>
        <v>0</v>
      </c>
      <c r="L464" s="15" t="s">
        <v>73</v>
      </c>
    </row>
    <row r="465" spans="1:12" x14ac:dyDescent="0.2">
      <c r="A465" s="26" t="s">
        <v>100</v>
      </c>
      <c r="B465" s="29"/>
      <c r="C465" s="27">
        <v>6</v>
      </c>
      <c r="D465" s="29"/>
      <c r="E465" s="29"/>
      <c r="F465" s="27">
        <v>780</v>
      </c>
      <c r="G465">
        <f t="shared" si="35"/>
        <v>0</v>
      </c>
      <c r="H465">
        <f t="shared" si="36"/>
        <v>1</v>
      </c>
      <c r="I465">
        <f t="shared" si="37"/>
        <v>0</v>
      </c>
      <c r="J465">
        <f t="shared" si="38"/>
        <v>0</v>
      </c>
      <c r="K465">
        <f t="shared" si="39"/>
        <v>0</v>
      </c>
      <c r="L465" s="15" t="s">
        <v>42</v>
      </c>
    </row>
    <row r="466" spans="1:12" x14ac:dyDescent="0.2">
      <c r="A466" s="24" t="s">
        <v>46</v>
      </c>
      <c r="B466" s="25">
        <v>7</v>
      </c>
      <c r="C466" s="28"/>
      <c r="D466" s="28"/>
      <c r="E466" s="28"/>
      <c r="F466" s="25">
        <v>910</v>
      </c>
      <c r="G466">
        <f t="shared" si="35"/>
        <v>1</v>
      </c>
      <c r="H466">
        <f t="shared" si="36"/>
        <v>0</v>
      </c>
      <c r="I466">
        <f t="shared" si="37"/>
        <v>0</v>
      </c>
      <c r="J466">
        <f t="shared" si="38"/>
        <v>0</v>
      </c>
      <c r="K466">
        <f t="shared" si="39"/>
        <v>0</v>
      </c>
      <c r="L466" s="15" t="s">
        <v>73</v>
      </c>
    </row>
    <row r="467" spans="1:12" x14ac:dyDescent="0.2">
      <c r="A467" s="26" t="s">
        <v>100</v>
      </c>
      <c r="B467" s="29"/>
      <c r="C467" s="27">
        <v>5</v>
      </c>
      <c r="D467" s="29"/>
      <c r="E467" s="29"/>
      <c r="F467" s="27">
        <v>650</v>
      </c>
      <c r="G467">
        <f t="shared" si="35"/>
        <v>0</v>
      </c>
      <c r="H467">
        <f t="shared" si="36"/>
        <v>1</v>
      </c>
      <c r="I467">
        <f t="shared" si="37"/>
        <v>0</v>
      </c>
      <c r="J467">
        <f t="shared" si="38"/>
        <v>0</v>
      </c>
      <c r="K467">
        <f t="shared" si="39"/>
        <v>0</v>
      </c>
      <c r="L467" s="15" t="s">
        <v>42</v>
      </c>
    </row>
    <row r="468" spans="1:12" x14ac:dyDescent="0.2">
      <c r="A468" s="24" t="s">
        <v>46</v>
      </c>
      <c r="B468" s="25">
        <v>12</v>
      </c>
      <c r="C468" s="28"/>
      <c r="D468" s="28"/>
      <c r="E468" s="28"/>
      <c r="F468" s="25">
        <v>1560</v>
      </c>
      <c r="G468">
        <f t="shared" si="35"/>
        <v>1</v>
      </c>
      <c r="H468">
        <f t="shared" si="36"/>
        <v>0</v>
      </c>
      <c r="I468">
        <f t="shared" si="37"/>
        <v>0</v>
      </c>
      <c r="J468">
        <f t="shared" si="38"/>
        <v>0</v>
      </c>
      <c r="K468">
        <f t="shared" si="39"/>
        <v>0</v>
      </c>
      <c r="L468" s="15" t="s">
        <v>73</v>
      </c>
    </row>
    <row r="469" spans="1:12" x14ac:dyDescent="0.2">
      <c r="A469" s="26" t="s">
        <v>246</v>
      </c>
      <c r="B469" s="27">
        <v>5</v>
      </c>
      <c r="C469" s="29"/>
      <c r="D469" s="27">
        <v>22</v>
      </c>
      <c r="E469" s="29"/>
      <c r="F469" s="27">
        <v>3510</v>
      </c>
      <c r="G469">
        <f t="shared" si="35"/>
        <v>1</v>
      </c>
      <c r="H469">
        <f t="shared" si="36"/>
        <v>0</v>
      </c>
      <c r="I469">
        <f t="shared" si="37"/>
        <v>1</v>
      </c>
      <c r="J469">
        <f t="shared" si="38"/>
        <v>0</v>
      </c>
      <c r="K469">
        <f t="shared" si="39"/>
        <v>0</v>
      </c>
      <c r="L469" s="15" t="s">
        <v>73</v>
      </c>
    </row>
    <row r="470" spans="1:12" x14ac:dyDescent="0.2">
      <c r="A470" s="24" t="s">
        <v>100</v>
      </c>
      <c r="B470" s="28"/>
      <c r="C470" s="25">
        <v>3</v>
      </c>
      <c r="D470" s="28"/>
      <c r="E470" s="28"/>
      <c r="F470" s="25">
        <v>390</v>
      </c>
      <c r="G470">
        <f t="shared" si="35"/>
        <v>0</v>
      </c>
      <c r="H470">
        <f t="shared" si="36"/>
        <v>1</v>
      </c>
      <c r="I470">
        <f t="shared" si="37"/>
        <v>0</v>
      </c>
      <c r="J470">
        <f t="shared" si="38"/>
        <v>0</v>
      </c>
      <c r="K470">
        <f t="shared" si="39"/>
        <v>0</v>
      </c>
      <c r="L470" s="15" t="s">
        <v>42</v>
      </c>
    </row>
    <row r="471" spans="1:12" x14ac:dyDescent="0.2">
      <c r="A471" s="26" t="s">
        <v>46</v>
      </c>
      <c r="B471" s="27">
        <v>16</v>
      </c>
      <c r="C471" s="29"/>
      <c r="D471" s="29"/>
      <c r="E471" s="29"/>
      <c r="F471" s="27">
        <v>2080</v>
      </c>
      <c r="G471">
        <f t="shared" si="35"/>
        <v>1</v>
      </c>
      <c r="H471">
        <f t="shared" si="36"/>
        <v>0</v>
      </c>
      <c r="I471">
        <f t="shared" si="37"/>
        <v>0</v>
      </c>
      <c r="J471">
        <f t="shared" si="38"/>
        <v>0</v>
      </c>
      <c r="K471">
        <f t="shared" si="39"/>
        <v>0</v>
      </c>
      <c r="L471" s="15" t="s">
        <v>73</v>
      </c>
    </row>
    <row r="472" spans="1:12" x14ac:dyDescent="0.2">
      <c r="A472" s="24" t="s">
        <v>46</v>
      </c>
      <c r="B472" s="25">
        <v>3</v>
      </c>
      <c r="C472" s="28"/>
      <c r="D472" s="28"/>
      <c r="E472" s="28"/>
      <c r="F472" s="25">
        <v>390</v>
      </c>
      <c r="G472">
        <f t="shared" si="35"/>
        <v>1</v>
      </c>
      <c r="H472">
        <f t="shared" si="36"/>
        <v>0</v>
      </c>
      <c r="I472">
        <f t="shared" si="37"/>
        <v>0</v>
      </c>
      <c r="J472">
        <f t="shared" si="38"/>
        <v>0</v>
      </c>
      <c r="K472">
        <f t="shared" si="39"/>
        <v>0</v>
      </c>
      <c r="L472" s="15" t="s">
        <v>42</v>
      </c>
    </row>
    <row r="473" spans="1:12" x14ac:dyDescent="0.2">
      <c r="A473" s="26" t="s">
        <v>431</v>
      </c>
      <c r="B473" s="29"/>
      <c r="C473" s="29"/>
      <c r="D473" s="27">
        <v>26</v>
      </c>
      <c r="E473" s="29"/>
      <c r="F473" s="27">
        <v>4160</v>
      </c>
      <c r="G473">
        <f t="shared" si="35"/>
        <v>0</v>
      </c>
      <c r="H473">
        <f t="shared" si="36"/>
        <v>0</v>
      </c>
      <c r="I473">
        <f t="shared" si="37"/>
        <v>1</v>
      </c>
      <c r="J473">
        <f t="shared" si="38"/>
        <v>0</v>
      </c>
      <c r="K473">
        <f t="shared" si="39"/>
        <v>0</v>
      </c>
      <c r="L473" s="15" t="s">
        <v>73</v>
      </c>
    </row>
    <row r="474" spans="1:12" x14ac:dyDescent="0.2">
      <c r="A474" s="24" t="s">
        <v>46</v>
      </c>
      <c r="B474" s="25">
        <v>4</v>
      </c>
      <c r="C474" s="28"/>
      <c r="D474" s="28"/>
      <c r="E474" s="28"/>
      <c r="F474" s="25">
        <v>520</v>
      </c>
      <c r="G474">
        <f t="shared" si="35"/>
        <v>1</v>
      </c>
      <c r="H474">
        <f t="shared" si="36"/>
        <v>0</v>
      </c>
      <c r="I474">
        <f t="shared" si="37"/>
        <v>0</v>
      </c>
      <c r="J474">
        <f t="shared" si="38"/>
        <v>0</v>
      </c>
      <c r="K474">
        <f t="shared" si="39"/>
        <v>0</v>
      </c>
      <c r="L474" s="15" t="s">
        <v>73</v>
      </c>
    </row>
    <row r="475" spans="1:12" x14ac:dyDescent="0.2">
      <c r="A475" s="26" t="s">
        <v>46</v>
      </c>
      <c r="B475" s="27">
        <v>11</v>
      </c>
      <c r="C475" s="29"/>
      <c r="D475" s="29"/>
      <c r="E475" s="29"/>
      <c r="F475" s="27">
        <v>1430</v>
      </c>
      <c r="G475">
        <f t="shared" si="35"/>
        <v>1</v>
      </c>
      <c r="H475">
        <f t="shared" si="36"/>
        <v>0</v>
      </c>
      <c r="I475">
        <f t="shared" si="37"/>
        <v>0</v>
      </c>
      <c r="J475">
        <f t="shared" si="38"/>
        <v>0</v>
      </c>
      <c r="K475">
        <f t="shared" si="39"/>
        <v>0</v>
      </c>
      <c r="L475" s="15" t="s">
        <v>73</v>
      </c>
    </row>
    <row r="476" spans="1:12" x14ac:dyDescent="0.2">
      <c r="A476" s="24" t="s">
        <v>46</v>
      </c>
      <c r="B476" s="25">
        <v>7</v>
      </c>
      <c r="C476" s="28"/>
      <c r="D476" s="28"/>
      <c r="E476" s="28"/>
      <c r="F476" s="25">
        <v>910</v>
      </c>
      <c r="G476">
        <f t="shared" si="35"/>
        <v>1</v>
      </c>
      <c r="H476">
        <f t="shared" si="36"/>
        <v>0</v>
      </c>
      <c r="I476">
        <f t="shared" si="37"/>
        <v>0</v>
      </c>
      <c r="J476">
        <f t="shared" si="38"/>
        <v>0</v>
      </c>
      <c r="K476">
        <f t="shared" si="39"/>
        <v>0</v>
      </c>
      <c r="L476" s="15" t="s">
        <v>73</v>
      </c>
    </row>
    <row r="477" spans="1:12" x14ac:dyDescent="0.2">
      <c r="A477" s="26" t="s">
        <v>100</v>
      </c>
      <c r="B477" s="29"/>
      <c r="C477" s="27">
        <v>5</v>
      </c>
      <c r="D477" s="29"/>
      <c r="E477" s="29"/>
      <c r="F477" s="27">
        <v>650</v>
      </c>
      <c r="G477">
        <f t="shared" si="35"/>
        <v>0</v>
      </c>
      <c r="H477">
        <f t="shared" si="36"/>
        <v>1</v>
      </c>
      <c r="I477">
        <f t="shared" si="37"/>
        <v>0</v>
      </c>
      <c r="J477">
        <f t="shared" si="38"/>
        <v>0</v>
      </c>
      <c r="K477">
        <f t="shared" si="39"/>
        <v>0</v>
      </c>
      <c r="L477" s="15" t="s">
        <v>42</v>
      </c>
    </row>
    <row r="478" spans="1:12" x14ac:dyDescent="0.2">
      <c r="A478" s="24" t="s">
        <v>46</v>
      </c>
      <c r="B478" s="25">
        <v>9</v>
      </c>
      <c r="C478" s="28"/>
      <c r="D478" s="28"/>
      <c r="E478" s="28"/>
      <c r="F478" s="25">
        <v>1170</v>
      </c>
      <c r="G478">
        <f t="shared" si="35"/>
        <v>1</v>
      </c>
      <c r="H478">
        <f t="shared" si="36"/>
        <v>0</v>
      </c>
      <c r="I478">
        <f t="shared" si="37"/>
        <v>0</v>
      </c>
      <c r="J478">
        <f t="shared" si="38"/>
        <v>0</v>
      </c>
      <c r="K478">
        <f t="shared" si="39"/>
        <v>0</v>
      </c>
      <c r="L478" s="15" t="s">
        <v>73</v>
      </c>
    </row>
    <row r="479" spans="1:12" x14ac:dyDescent="0.2">
      <c r="A479" s="26" t="s">
        <v>46</v>
      </c>
      <c r="B479" s="27">
        <v>8</v>
      </c>
      <c r="C479" s="29"/>
      <c r="D479" s="29"/>
      <c r="E479" s="29"/>
      <c r="F479" s="27">
        <v>900</v>
      </c>
      <c r="G479">
        <f t="shared" si="35"/>
        <v>1</v>
      </c>
      <c r="H479">
        <f t="shared" si="36"/>
        <v>0</v>
      </c>
      <c r="I479">
        <f t="shared" si="37"/>
        <v>0</v>
      </c>
      <c r="J479">
        <f t="shared" si="38"/>
        <v>0</v>
      </c>
      <c r="K479">
        <f t="shared" si="39"/>
        <v>0</v>
      </c>
      <c r="L479" s="15" t="s">
        <v>73</v>
      </c>
    </row>
    <row r="480" spans="1:12" x14ac:dyDescent="0.2">
      <c r="A480" s="24" t="s">
        <v>246</v>
      </c>
      <c r="B480" s="25">
        <v>5</v>
      </c>
      <c r="C480" s="28"/>
      <c r="D480" s="25">
        <v>21</v>
      </c>
      <c r="E480" s="28"/>
      <c r="F480" s="25">
        <v>3380</v>
      </c>
      <c r="G480">
        <f t="shared" si="35"/>
        <v>1</v>
      </c>
      <c r="H480">
        <f t="shared" si="36"/>
        <v>0</v>
      </c>
      <c r="I480">
        <f t="shared" si="37"/>
        <v>1</v>
      </c>
      <c r="J480">
        <f t="shared" si="38"/>
        <v>0</v>
      </c>
      <c r="K480">
        <f t="shared" si="39"/>
        <v>0</v>
      </c>
      <c r="L480" s="15" t="s">
        <v>73</v>
      </c>
    </row>
    <row r="481" spans="1:12" x14ac:dyDescent="0.2">
      <c r="A481" s="26" t="s">
        <v>100</v>
      </c>
      <c r="B481" s="29"/>
      <c r="C481" s="27">
        <v>3</v>
      </c>
      <c r="D481" s="29"/>
      <c r="E481" s="29"/>
      <c r="F481" s="27">
        <v>390</v>
      </c>
      <c r="G481">
        <f t="shared" si="35"/>
        <v>0</v>
      </c>
      <c r="H481">
        <f t="shared" si="36"/>
        <v>1</v>
      </c>
      <c r="I481">
        <f t="shared" si="37"/>
        <v>0</v>
      </c>
      <c r="J481">
        <f t="shared" si="38"/>
        <v>0</v>
      </c>
      <c r="K481">
        <f t="shared" si="39"/>
        <v>0</v>
      </c>
      <c r="L481" s="15" t="s">
        <v>42</v>
      </c>
    </row>
    <row r="482" spans="1:12" x14ac:dyDescent="0.2">
      <c r="A482" s="24" t="s">
        <v>46</v>
      </c>
      <c r="B482" s="25">
        <v>15</v>
      </c>
      <c r="C482" s="28"/>
      <c r="D482" s="28"/>
      <c r="E482" s="28"/>
      <c r="F482" s="25">
        <v>1950</v>
      </c>
      <c r="G482">
        <f t="shared" si="35"/>
        <v>1</v>
      </c>
      <c r="H482">
        <f t="shared" si="36"/>
        <v>0</v>
      </c>
      <c r="I482">
        <f t="shared" si="37"/>
        <v>0</v>
      </c>
      <c r="J482">
        <f t="shared" si="38"/>
        <v>0</v>
      </c>
      <c r="K482">
        <f t="shared" si="39"/>
        <v>0</v>
      </c>
      <c r="L482" s="15" t="s">
        <v>73</v>
      </c>
    </row>
    <row r="483" spans="1:12" x14ac:dyDescent="0.2">
      <c r="A483" s="26" t="s">
        <v>46</v>
      </c>
      <c r="B483" s="27">
        <v>3</v>
      </c>
      <c r="C483" s="29"/>
      <c r="D483" s="29"/>
      <c r="E483" s="29"/>
      <c r="F483" s="27">
        <v>390</v>
      </c>
      <c r="G483">
        <f t="shared" si="35"/>
        <v>1</v>
      </c>
      <c r="H483">
        <f t="shared" si="36"/>
        <v>0</v>
      </c>
      <c r="I483">
        <f t="shared" si="37"/>
        <v>0</v>
      </c>
      <c r="J483">
        <f t="shared" si="38"/>
        <v>0</v>
      </c>
      <c r="K483">
        <f t="shared" si="39"/>
        <v>0</v>
      </c>
      <c r="L483" s="15" t="s">
        <v>42</v>
      </c>
    </row>
    <row r="484" spans="1:12" x14ac:dyDescent="0.2">
      <c r="A484" s="24" t="s">
        <v>431</v>
      </c>
      <c r="B484" s="28"/>
      <c r="C484" s="28"/>
      <c r="D484" s="25">
        <v>27</v>
      </c>
      <c r="E484" s="28"/>
      <c r="F484" s="25">
        <v>4350</v>
      </c>
      <c r="G484">
        <f t="shared" si="35"/>
        <v>0</v>
      </c>
      <c r="H484">
        <f t="shared" si="36"/>
        <v>0</v>
      </c>
      <c r="I484">
        <f t="shared" si="37"/>
        <v>1</v>
      </c>
      <c r="J484">
        <f t="shared" si="38"/>
        <v>0</v>
      </c>
      <c r="K484">
        <f t="shared" si="39"/>
        <v>0</v>
      </c>
      <c r="L484" s="15" t="s">
        <v>73</v>
      </c>
    </row>
    <row r="485" spans="1:12" x14ac:dyDescent="0.2">
      <c r="A485" s="26" t="s">
        <v>46</v>
      </c>
      <c r="B485" s="27">
        <v>4</v>
      </c>
      <c r="C485" s="29"/>
      <c r="D485" s="29"/>
      <c r="E485" s="29"/>
      <c r="F485" s="27">
        <v>520</v>
      </c>
      <c r="G485">
        <f t="shared" si="35"/>
        <v>1</v>
      </c>
      <c r="H485">
        <f t="shared" si="36"/>
        <v>0</v>
      </c>
      <c r="I485">
        <f t="shared" si="37"/>
        <v>0</v>
      </c>
      <c r="J485">
        <f t="shared" si="38"/>
        <v>0</v>
      </c>
      <c r="K485">
        <f t="shared" si="39"/>
        <v>0</v>
      </c>
      <c r="L485" s="15" t="s">
        <v>73</v>
      </c>
    </row>
    <row r="486" spans="1:12" x14ac:dyDescent="0.2">
      <c r="A486" s="24" t="s">
        <v>46</v>
      </c>
      <c r="B486" s="25">
        <v>12</v>
      </c>
      <c r="C486" s="28"/>
      <c r="D486" s="28"/>
      <c r="E486" s="28"/>
      <c r="F486" s="25">
        <v>1560</v>
      </c>
      <c r="G486">
        <f t="shared" si="35"/>
        <v>1</v>
      </c>
      <c r="H486">
        <f t="shared" si="36"/>
        <v>0</v>
      </c>
      <c r="I486">
        <f t="shared" si="37"/>
        <v>0</v>
      </c>
      <c r="J486">
        <f t="shared" si="38"/>
        <v>0</v>
      </c>
      <c r="K486">
        <f t="shared" si="39"/>
        <v>0</v>
      </c>
      <c r="L486" s="15" t="s">
        <v>73</v>
      </c>
    </row>
    <row r="487" spans="1:12" x14ac:dyDescent="0.2">
      <c r="A487" s="26" t="s">
        <v>100</v>
      </c>
      <c r="B487" s="29"/>
      <c r="C487" s="27">
        <v>4</v>
      </c>
      <c r="D487" s="29"/>
      <c r="E487" s="29"/>
      <c r="F487" s="27">
        <v>420</v>
      </c>
      <c r="G487">
        <f t="shared" si="35"/>
        <v>0</v>
      </c>
      <c r="H487">
        <f t="shared" si="36"/>
        <v>1</v>
      </c>
      <c r="I487">
        <f t="shared" si="37"/>
        <v>0</v>
      </c>
      <c r="J487">
        <f t="shared" si="38"/>
        <v>0</v>
      </c>
      <c r="K487">
        <f t="shared" si="39"/>
        <v>0</v>
      </c>
      <c r="L487" s="15" t="s">
        <v>42</v>
      </c>
    </row>
    <row r="488" spans="1:12" x14ac:dyDescent="0.2">
      <c r="A488" s="24" t="s">
        <v>431</v>
      </c>
      <c r="B488" s="28"/>
      <c r="C488" s="28"/>
      <c r="D488" s="25">
        <v>24</v>
      </c>
      <c r="E488" s="28"/>
      <c r="F488" s="25">
        <v>3840</v>
      </c>
      <c r="G488">
        <f t="shared" si="35"/>
        <v>0</v>
      </c>
      <c r="H488">
        <f t="shared" si="36"/>
        <v>0</v>
      </c>
      <c r="I488">
        <f t="shared" si="37"/>
        <v>1</v>
      </c>
      <c r="J488">
        <f t="shared" si="38"/>
        <v>0</v>
      </c>
      <c r="K488">
        <f t="shared" si="39"/>
        <v>0</v>
      </c>
      <c r="L488" s="15" t="s">
        <v>73</v>
      </c>
    </row>
    <row r="489" spans="1:12" x14ac:dyDescent="0.2">
      <c r="A489" s="26" t="s">
        <v>290</v>
      </c>
      <c r="B489" s="27">
        <v>6</v>
      </c>
      <c r="C489" s="29"/>
      <c r="D489" s="29"/>
      <c r="E489" s="27">
        <v>45</v>
      </c>
      <c r="F489" s="27">
        <v>5400</v>
      </c>
      <c r="G489">
        <f t="shared" si="35"/>
        <v>1</v>
      </c>
      <c r="H489">
        <f t="shared" si="36"/>
        <v>0</v>
      </c>
      <c r="I489">
        <f t="shared" si="37"/>
        <v>0</v>
      </c>
      <c r="J489">
        <f t="shared" si="38"/>
        <v>1</v>
      </c>
      <c r="K489">
        <f t="shared" si="39"/>
        <v>0</v>
      </c>
      <c r="L489" s="15" t="s">
        <v>73</v>
      </c>
    </row>
    <row r="490" spans="1:12" x14ac:dyDescent="0.2">
      <c r="A490" s="24" t="s">
        <v>100</v>
      </c>
      <c r="B490" s="28"/>
      <c r="C490" s="25">
        <v>8</v>
      </c>
      <c r="D490" s="28"/>
      <c r="E490" s="28"/>
      <c r="F490" s="25">
        <v>880</v>
      </c>
      <c r="G490">
        <f t="shared" si="35"/>
        <v>0</v>
      </c>
      <c r="H490">
        <f t="shared" si="36"/>
        <v>1</v>
      </c>
      <c r="I490">
        <f t="shared" si="37"/>
        <v>0</v>
      </c>
      <c r="J490">
        <f t="shared" si="38"/>
        <v>0</v>
      </c>
      <c r="K490">
        <f t="shared" si="39"/>
        <v>0</v>
      </c>
      <c r="L490" s="15" t="s">
        <v>42</v>
      </c>
    </row>
    <row r="491" spans="1:12" x14ac:dyDescent="0.2">
      <c r="A491" s="26" t="s">
        <v>431</v>
      </c>
      <c r="B491" s="29"/>
      <c r="C491" s="29"/>
      <c r="D491" s="27">
        <v>20</v>
      </c>
      <c r="E491" s="29"/>
      <c r="F491" s="27">
        <v>2000</v>
      </c>
      <c r="G491">
        <f t="shared" si="35"/>
        <v>0</v>
      </c>
      <c r="H491">
        <f t="shared" si="36"/>
        <v>0</v>
      </c>
      <c r="I491">
        <f t="shared" si="37"/>
        <v>1</v>
      </c>
      <c r="J491">
        <f t="shared" si="38"/>
        <v>0</v>
      </c>
      <c r="K491">
        <f t="shared" si="39"/>
        <v>0</v>
      </c>
      <c r="L491" s="15" t="s">
        <v>73</v>
      </c>
    </row>
    <row r="492" spans="1:12" x14ac:dyDescent="0.2">
      <c r="A492" s="24" t="s">
        <v>431</v>
      </c>
      <c r="B492" s="28"/>
      <c r="C492" s="28"/>
      <c r="D492" s="25">
        <v>22</v>
      </c>
      <c r="E492" s="28"/>
      <c r="F492" s="25">
        <v>2300</v>
      </c>
      <c r="G492">
        <f t="shared" si="35"/>
        <v>0</v>
      </c>
      <c r="H492">
        <f t="shared" si="36"/>
        <v>0</v>
      </c>
      <c r="I492">
        <f t="shared" si="37"/>
        <v>1</v>
      </c>
      <c r="J492">
        <f t="shared" si="38"/>
        <v>0</v>
      </c>
      <c r="K492">
        <f t="shared" si="39"/>
        <v>0</v>
      </c>
      <c r="L492" s="15" t="s">
        <v>73</v>
      </c>
    </row>
    <row r="493" spans="1:12" x14ac:dyDescent="0.2">
      <c r="A493" s="26" t="s">
        <v>46</v>
      </c>
      <c r="B493" s="27">
        <v>10</v>
      </c>
      <c r="C493" s="29"/>
      <c r="D493" s="29"/>
      <c r="E493" s="29"/>
      <c r="F493" s="27">
        <v>1000</v>
      </c>
      <c r="G493">
        <f t="shared" si="35"/>
        <v>1</v>
      </c>
      <c r="H493">
        <f t="shared" si="36"/>
        <v>0</v>
      </c>
      <c r="I493">
        <f t="shared" si="37"/>
        <v>0</v>
      </c>
      <c r="J493">
        <f t="shared" si="38"/>
        <v>0</v>
      </c>
      <c r="K493">
        <f t="shared" si="39"/>
        <v>0</v>
      </c>
      <c r="L493" s="15" t="s">
        <v>73</v>
      </c>
    </row>
    <row r="494" spans="1:12" x14ac:dyDescent="0.2">
      <c r="A494" s="24" t="s">
        <v>431</v>
      </c>
      <c r="B494" s="28"/>
      <c r="C494" s="28"/>
      <c r="D494" s="25">
        <v>26</v>
      </c>
      <c r="E494" s="28"/>
      <c r="F494" s="25">
        <v>2800</v>
      </c>
      <c r="G494">
        <f t="shared" si="35"/>
        <v>0</v>
      </c>
      <c r="H494">
        <f t="shared" si="36"/>
        <v>0</v>
      </c>
      <c r="I494">
        <f t="shared" si="37"/>
        <v>1</v>
      </c>
      <c r="J494">
        <f t="shared" si="38"/>
        <v>0</v>
      </c>
      <c r="K494">
        <f t="shared" si="39"/>
        <v>0</v>
      </c>
      <c r="L494" s="15" t="s">
        <v>42</v>
      </c>
    </row>
    <row r="495" spans="1:12" x14ac:dyDescent="0.2">
      <c r="A495" s="26" t="s">
        <v>46</v>
      </c>
      <c r="B495" s="27">
        <v>5</v>
      </c>
      <c r="C495" s="29"/>
      <c r="D495" s="29"/>
      <c r="E495" s="29"/>
      <c r="F495" s="27">
        <v>580</v>
      </c>
      <c r="G495">
        <f t="shared" si="35"/>
        <v>1</v>
      </c>
      <c r="H495">
        <f t="shared" si="36"/>
        <v>0</v>
      </c>
      <c r="I495">
        <f t="shared" si="37"/>
        <v>0</v>
      </c>
      <c r="J495">
        <f t="shared" si="38"/>
        <v>0</v>
      </c>
      <c r="K495">
        <f t="shared" si="39"/>
        <v>0</v>
      </c>
      <c r="L495" s="15" t="s">
        <v>73</v>
      </c>
    </row>
    <row r="496" spans="1:12" x14ac:dyDescent="0.2">
      <c r="A496" s="24" t="s">
        <v>46</v>
      </c>
      <c r="B496" s="25">
        <v>11</v>
      </c>
      <c r="C496" s="28"/>
      <c r="D496" s="28"/>
      <c r="E496" s="28"/>
      <c r="F496" s="25">
        <v>1430</v>
      </c>
      <c r="G496">
        <f t="shared" si="35"/>
        <v>1</v>
      </c>
      <c r="H496">
        <f t="shared" si="36"/>
        <v>0</v>
      </c>
      <c r="I496">
        <f t="shared" si="37"/>
        <v>0</v>
      </c>
      <c r="J496">
        <f t="shared" si="38"/>
        <v>0</v>
      </c>
      <c r="K496">
        <f t="shared" si="39"/>
        <v>0</v>
      </c>
      <c r="L496" s="15" t="s">
        <v>73</v>
      </c>
    </row>
    <row r="497" spans="1:12" x14ac:dyDescent="0.2">
      <c r="A497" s="26" t="s">
        <v>100</v>
      </c>
      <c r="B497" s="29"/>
      <c r="C497" s="27">
        <v>5</v>
      </c>
      <c r="D497" s="29"/>
      <c r="E497" s="29"/>
      <c r="F497" s="27">
        <v>650</v>
      </c>
      <c r="G497">
        <f t="shared" si="35"/>
        <v>0</v>
      </c>
      <c r="H497">
        <f t="shared" si="36"/>
        <v>1</v>
      </c>
      <c r="I497">
        <f t="shared" si="37"/>
        <v>0</v>
      </c>
      <c r="J497">
        <f t="shared" si="38"/>
        <v>0</v>
      </c>
      <c r="K497">
        <f t="shared" si="39"/>
        <v>0</v>
      </c>
      <c r="L497" s="15" t="s">
        <v>42</v>
      </c>
    </row>
    <row r="498" spans="1:12" x14ac:dyDescent="0.2">
      <c r="A498" s="24" t="s">
        <v>290</v>
      </c>
      <c r="B498" s="25">
        <v>6</v>
      </c>
      <c r="C498" s="28"/>
      <c r="D498" s="28"/>
      <c r="E498" s="25">
        <v>60</v>
      </c>
      <c r="F498" s="25">
        <v>7800</v>
      </c>
      <c r="G498">
        <f t="shared" si="35"/>
        <v>1</v>
      </c>
      <c r="H498">
        <f t="shared" si="36"/>
        <v>0</v>
      </c>
      <c r="I498">
        <f t="shared" si="37"/>
        <v>0</v>
      </c>
      <c r="J498">
        <f t="shared" si="38"/>
        <v>1</v>
      </c>
      <c r="K498">
        <f t="shared" si="39"/>
        <v>0</v>
      </c>
      <c r="L498" s="15" t="s">
        <v>73</v>
      </c>
    </row>
    <row r="499" spans="1:12" x14ac:dyDescent="0.2">
      <c r="A499" s="26" t="s">
        <v>431</v>
      </c>
      <c r="B499" s="29"/>
      <c r="C499" s="29"/>
      <c r="D499" s="27">
        <v>30</v>
      </c>
      <c r="E499" s="29"/>
      <c r="F499" s="27">
        <v>4800</v>
      </c>
      <c r="G499">
        <f t="shared" si="35"/>
        <v>0</v>
      </c>
      <c r="H499">
        <f t="shared" si="36"/>
        <v>0</v>
      </c>
      <c r="I499">
        <f t="shared" si="37"/>
        <v>1</v>
      </c>
      <c r="J499">
        <f t="shared" si="38"/>
        <v>0</v>
      </c>
      <c r="K499">
        <f t="shared" si="39"/>
        <v>0</v>
      </c>
      <c r="L499" s="15" t="s">
        <v>73</v>
      </c>
    </row>
    <row r="500" spans="1:12" x14ac:dyDescent="0.2">
      <c r="A500" s="24" t="s">
        <v>100</v>
      </c>
      <c r="B500" s="28"/>
      <c r="C500" s="25">
        <v>3</v>
      </c>
      <c r="D500" s="28"/>
      <c r="E500" s="28"/>
      <c r="F500" s="25">
        <v>390</v>
      </c>
      <c r="G500">
        <f t="shared" si="35"/>
        <v>0</v>
      </c>
      <c r="H500">
        <f t="shared" si="36"/>
        <v>1</v>
      </c>
      <c r="I500">
        <f t="shared" si="37"/>
        <v>0</v>
      </c>
      <c r="J500">
        <f t="shared" si="38"/>
        <v>0</v>
      </c>
      <c r="K500">
        <f t="shared" si="39"/>
        <v>0</v>
      </c>
      <c r="L500" s="15" t="s">
        <v>42</v>
      </c>
    </row>
    <row r="501" spans="1:12" x14ac:dyDescent="0.2">
      <c r="A501" s="26" t="s">
        <v>246</v>
      </c>
      <c r="B501" s="27">
        <v>4</v>
      </c>
      <c r="C501" s="29"/>
      <c r="D501" s="27">
        <v>22</v>
      </c>
      <c r="E501" s="29"/>
      <c r="F501" s="27">
        <v>3500</v>
      </c>
      <c r="G501">
        <f t="shared" si="35"/>
        <v>1</v>
      </c>
      <c r="H501">
        <f t="shared" si="36"/>
        <v>0</v>
      </c>
      <c r="I501">
        <f t="shared" si="37"/>
        <v>1</v>
      </c>
      <c r="J501">
        <f t="shared" si="38"/>
        <v>0</v>
      </c>
      <c r="K501">
        <f t="shared" si="39"/>
        <v>0</v>
      </c>
      <c r="L501" s="15" t="s">
        <v>73</v>
      </c>
    </row>
    <row r="502" spans="1:12" x14ac:dyDescent="0.2">
      <c r="A502" s="24" t="s">
        <v>46</v>
      </c>
      <c r="B502" s="25">
        <v>9</v>
      </c>
      <c r="C502" s="28"/>
      <c r="D502" s="28"/>
      <c r="E502" s="28"/>
      <c r="F502" s="25">
        <v>1000</v>
      </c>
      <c r="G502">
        <f t="shared" si="35"/>
        <v>1</v>
      </c>
      <c r="H502">
        <f t="shared" si="36"/>
        <v>0</v>
      </c>
      <c r="I502">
        <f t="shared" si="37"/>
        <v>0</v>
      </c>
      <c r="J502">
        <f t="shared" si="38"/>
        <v>0</v>
      </c>
      <c r="K502">
        <f t="shared" si="39"/>
        <v>0</v>
      </c>
      <c r="L502" s="15" t="s">
        <v>73</v>
      </c>
    </row>
    <row r="503" spans="1:12" x14ac:dyDescent="0.2">
      <c r="A503" s="26" t="s">
        <v>431</v>
      </c>
      <c r="B503" s="29"/>
      <c r="C503" s="29"/>
      <c r="D503" s="27">
        <v>20</v>
      </c>
      <c r="E503" s="29"/>
      <c r="F503" s="27">
        <v>2100</v>
      </c>
      <c r="G503">
        <f t="shared" si="35"/>
        <v>0</v>
      </c>
      <c r="H503">
        <f t="shared" si="36"/>
        <v>0</v>
      </c>
      <c r="I503">
        <f t="shared" si="37"/>
        <v>1</v>
      </c>
      <c r="J503">
        <f t="shared" si="38"/>
        <v>0</v>
      </c>
      <c r="K503">
        <f t="shared" si="39"/>
        <v>0</v>
      </c>
      <c r="L503" s="15" t="s">
        <v>73</v>
      </c>
    </row>
    <row r="504" spans="1:12" x14ac:dyDescent="0.2">
      <c r="A504" s="24" t="s">
        <v>46</v>
      </c>
      <c r="B504" s="25">
        <v>9</v>
      </c>
      <c r="C504" s="28"/>
      <c r="D504" s="28"/>
      <c r="E504" s="28"/>
      <c r="F504" s="25">
        <v>1170</v>
      </c>
      <c r="G504">
        <f t="shared" si="35"/>
        <v>1</v>
      </c>
      <c r="H504">
        <f t="shared" si="36"/>
        <v>0</v>
      </c>
      <c r="I504">
        <f t="shared" si="37"/>
        <v>0</v>
      </c>
      <c r="J504">
        <f t="shared" si="38"/>
        <v>0</v>
      </c>
      <c r="K504">
        <f t="shared" si="39"/>
        <v>0</v>
      </c>
      <c r="L504" s="15" t="s">
        <v>73</v>
      </c>
    </row>
    <row r="505" spans="1:12" x14ac:dyDescent="0.2">
      <c r="A505" s="26" t="s">
        <v>431</v>
      </c>
      <c r="B505" s="29"/>
      <c r="C505" s="29"/>
      <c r="D505" s="27">
        <v>20</v>
      </c>
      <c r="E505" s="29"/>
      <c r="F505" s="27">
        <v>3200</v>
      </c>
      <c r="G505">
        <f t="shared" si="35"/>
        <v>0</v>
      </c>
      <c r="H505">
        <f t="shared" si="36"/>
        <v>0</v>
      </c>
      <c r="I505">
        <f t="shared" si="37"/>
        <v>1</v>
      </c>
      <c r="J505">
        <f t="shared" si="38"/>
        <v>0</v>
      </c>
      <c r="K505">
        <f t="shared" si="39"/>
        <v>0</v>
      </c>
      <c r="L505" s="15" t="s">
        <v>42</v>
      </c>
    </row>
    <row r="506" spans="1:12" x14ac:dyDescent="0.2">
      <c r="A506" s="24" t="s">
        <v>46</v>
      </c>
      <c r="B506" s="25">
        <v>11</v>
      </c>
      <c r="C506" s="28"/>
      <c r="D506" s="28"/>
      <c r="E506" s="28"/>
      <c r="F506" s="25">
        <v>1430</v>
      </c>
      <c r="G506">
        <f t="shared" si="35"/>
        <v>1</v>
      </c>
      <c r="H506">
        <f t="shared" si="36"/>
        <v>0</v>
      </c>
      <c r="I506">
        <f t="shared" si="37"/>
        <v>0</v>
      </c>
      <c r="J506">
        <f t="shared" si="38"/>
        <v>0</v>
      </c>
      <c r="K506">
        <f t="shared" si="39"/>
        <v>0</v>
      </c>
      <c r="L506" s="15" t="s">
        <v>42</v>
      </c>
    </row>
    <row r="507" spans="1:12" x14ac:dyDescent="0.2">
      <c r="A507" s="26" t="s">
        <v>290</v>
      </c>
      <c r="B507" s="27">
        <v>3</v>
      </c>
      <c r="C507" s="29"/>
      <c r="D507" s="29"/>
      <c r="E507" s="27">
        <v>75</v>
      </c>
      <c r="F507" s="27">
        <v>9300</v>
      </c>
      <c r="G507">
        <f t="shared" si="35"/>
        <v>1</v>
      </c>
      <c r="H507">
        <f t="shared" si="36"/>
        <v>0</v>
      </c>
      <c r="I507">
        <f t="shared" si="37"/>
        <v>0</v>
      </c>
      <c r="J507">
        <f t="shared" si="38"/>
        <v>1</v>
      </c>
      <c r="K507">
        <f t="shared" si="39"/>
        <v>0</v>
      </c>
      <c r="L507" s="15" t="s">
        <v>73</v>
      </c>
    </row>
    <row r="508" spans="1:12" x14ac:dyDescent="0.2">
      <c r="A508" s="24" t="s">
        <v>100</v>
      </c>
      <c r="B508" s="28"/>
      <c r="C508" s="25">
        <v>7</v>
      </c>
      <c r="D508" s="28"/>
      <c r="E508" s="28"/>
      <c r="F508" s="25">
        <v>780</v>
      </c>
      <c r="G508">
        <f t="shared" si="35"/>
        <v>0</v>
      </c>
      <c r="H508">
        <f t="shared" si="36"/>
        <v>1</v>
      </c>
      <c r="I508">
        <f t="shared" si="37"/>
        <v>0</v>
      </c>
      <c r="J508">
        <f t="shared" si="38"/>
        <v>0</v>
      </c>
      <c r="K508">
        <f t="shared" si="39"/>
        <v>0</v>
      </c>
      <c r="L508" s="15" t="s">
        <v>42</v>
      </c>
    </row>
    <row r="509" spans="1:12" x14ac:dyDescent="0.2">
      <c r="A509" s="26" t="s">
        <v>46</v>
      </c>
      <c r="B509" s="27">
        <v>6</v>
      </c>
      <c r="C509" s="29"/>
      <c r="D509" s="29"/>
      <c r="E509" s="29"/>
      <c r="F509" s="27">
        <v>780</v>
      </c>
      <c r="G509">
        <f t="shared" si="35"/>
        <v>1</v>
      </c>
      <c r="H509">
        <f t="shared" si="36"/>
        <v>0</v>
      </c>
      <c r="I509">
        <f t="shared" si="37"/>
        <v>0</v>
      </c>
      <c r="J509">
        <f t="shared" si="38"/>
        <v>0</v>
      </c>
      <c r="K509">
        <f t="shared" si="39"/>
        <v>0</v>
      </c>
      <c r="L509" s="15" t="s">
        <v>73</v>
      </c>
    </row>
    <row r="510" spans="1:12" x14ac:dyDescent="0.2">
      <c r="A510" s="24" t="s">
        <v>246</v>
      </c>
      <c r="B510" s="25">
        <v>5</v>
      </c>
      <c r="C510" s="28"/>
      <c r="D510" s="25">
        <v>22</v>
      </c>
      <c r="E510" s="28"/>
      <c r="F510" s="25">
        <v>3600</v>
      </c>
      <c r="G510">
        <f t="shared" si="35"/>
        <v>1</v>
      </c>
      <c r="H510">
        <f t="shared" si="36"/>
        <v>0</v>
      </c>
      <c r="I510">
        <f t="shared" si="37"/>
        <v>1</v>
      </c>
      <c r="J510">
        <f t="shared" si="38"/>
        <v>0</v>
      </c>
      <c r="K510">
        <f t="shared" si="39"/>
        <v>0</v>
      </c>
      <c r="L510" s="15" t="s">
        <v>73</v>
      </c>
    </row>
    <row r="511" spans="1:12" x14ac:dyDescent="0.2">
      <c r="A511" s="26" t="s">
        <v>431</v>
      </c>
      <c r="B511" s="29"/>
      <c r="C511" s="29"/>
      <c r="D511" s="27">
        <v>23</v>
      </c>
      <c r="E511" s="29"/>
      <c r="F511" s="27">
        <v>3600</v>
      </c>
      <c r="G511">
        <f t="shared" si="35"/>
        <v>0</v>
      </c>
      <c r="H511">
        <f t="shared" si="36"/>
        <v>0</v>
      </c>
      <c r="I511">
        <f t="shared" si="37"/>
        <v>1</v>
      </c>
      <c r="J511">
        <f t="shared" si="38"/>
        <v>0</v>
      </c>
      <c r="K511">
        <f t="shared" si="39"/>
        <v>0</v>
      </c>
      <c r="L511" s="15" t="s">
        <v>42</v>
      </c>
    </row>
    <row r="512" spans="1:12" x14ac:dyDescent="0.2">
      <c r="A512" s="24" t="s">
        <v>290</v>
      </c>
      <c r="B512" s="25">
        <v>5</v>
      </c>
      <c r="C512" s="28"/>
      <c r="D512" s="28"/>
      <c r="E512" s="25">
        <v>60</v>
      </c>
      <c r="F512" s="25">
        <v>7500</v>
      </c>
      <c r="G512">
        <f t="shared" si="35"/>
        <v>1</v>
      </c>
      <c r="H512">
        <f t="shared" si="36"/>
        <v>0</v>
      </c>
      <c r="I512">
        <f t="shared" si="37"/>
        <v>0</v>
      </c>
      <c r="J512">
        <f t="shared" si="38"/>
        <v>1</v>
      </c>
      <c r="K512">
        <f t="shared" si="39"/>
        <v>0</v>
      </c>
      <c r="L512" s="15" t="s">
        <v>73</v>
      </c>
    </row>
    <row r="513" spans="1:12" x14ac:dyDescent="0.2">
      <c r="A513" s="26" t="s">
        <v>1390</v>
      </c>
      <c r="B513" s="29"/>
      <c r="C513" s="29"/>
      <c r="D513" s="29"/>
      <c r="E513" s="29"/>
      <c r="F513" s="27">
        <v>1200</v>
      </c>
      <c r="G513">
        <f t="shared" si="35"/>
        <v>0</v>
      </c>
      <c r="H513">
        <f t="shared" si="36"/>
        <v>0</v>
      </c>
      <c r="I513">
        <f t="shared" si="37"/>
        <v>0</v>
      </c>
      <c r="J513">
        <f t="shared" si="38"/>
        <v>0</v>
      </c>
      <c r="K513">
        <f t="shared" si="39"/>
        <v>1</v>
      </c>
      <c r="L513" s="15" t="s">
        <v>73</v>
      </c>
    </row>
    <row r="514" spans="1:12" x14ac:dyDescent="0.2">
      <c r="A514" s="24" t="s">
        <v>100</v>
      </c>
      <c r="B514" s="28"/>
      <c r="C514" s="25">
        <v>4</v>
      </c>
      <c r="D514" s="28"/>
      <c r="E514" s="28"/>
      <c r="F514" s="25">
        <v>430</v>
      </c>
      <c r="G514">
        <f t="shared" si="35"/>
        <v>0</v>
      </c>
      <c r="H514">
        <f t="shared" si="36"/>
        <v>1</v>
      </c>
      <c r="I514">
        <f t="shared" si="37"/>
        <v>0</v>
      </c>
      <c r="J514">
        <f t="shared" si="38"/>
        <v>0</v>
      </c>
      <c r="K514">
        <f t="shared" si="39"/>
        <v>0</v>
      </c>
      <c r="L514" s="15" t="s">
        <v>42</v>
      </c>
    </row>
    <row r="515" spans="1:12" x14ac:dyDescent="0.2">
      <c r="A515" s="26" t="s">
        <v>46</v>
      </c>
      <c r="B515" s="27">
        <v>10</v>
      </c>
      <c r="C515" s="29"/>
      <c r="D515" s="29"/>
      <c r="E515" s="29"/>
      <c r="F515" s="27">
        <v>1000</v>
      </c>
      <c r="G515">
        <f t="shared" ref="G515:G568" si="40">IF(ISNUMBER(SEARCH("bike",A515)),1,0)</f>
        <v>1</v>
      </c>
      <c r="H515">
        <f t="shared" ref="H515:H568" si="41">IF(ISNUMBER(SEARCH("Scooty",A515)),1,0)</f>
        <v>0</v>
      </c>
      <c r="I515">
        <f t="shared" ref="I515:I568" si="42">IF(ISNUMBER(SEARCH("Car",A515)),1,0)</f>
        <v>0</v>
      </c>
      <c r="J515">
        <f t="shared" ref="J515:J568" si="43">IF(ISNUMBER(SEARCH("Commercial vehicle",A515)),1,0)</f>
        <v>0</v>
      </c>
      <c r="K515">
        <f t="shared" ref="K515:K568" si="44">IF(ISNUMBER(SEARCH("Electric Vehicle",A515)),1,0)</f>
        <v>0</v>
      </c>
      <c r="L515" s="15" t="s">
        <v>73</v>
      </c>
    </row>
    <row r="516" spans="1:12" x14ac:dyDescent="0.2">
      <c r="A516" s="24" t="s">
        <v>1390</v>
      </c>
      <c r="B516" s="28"/>
      <c r="C516" s="28"/>
      <c r="D516" s="28"/>
      <c r="E516" s="28"/>
      <c r="F516" s="25">
        <v>1100</v>
      </c>
      <c r="G516">
        <f t="shared" si="40"/>
        <v>0</v>
      </c>
      <c r="H516">
        <f t="shared" si="41"/>
        <v>0</v>
      </c>
      <c r="I516">
        <f t="shared" si="42"/>
        <v>0</v>
      </c>
      <c r="J516">
        <f t="shared" si="43"/>
        <v>0</v>
      </c>
      <c r="K516">
        <f t="shared" si="44"/>
        <v>1</v>
      </c>
      <c r="L516" s="15" t="s">
        <v>73</v>
      </c>
    </row>
    <row r="517" spans="1:12" x14ac:dyDescent="0.2">
      <c r="A517" s="26" t="s">
        <v>246</v>
      </c>
      <c r="B517" s="27">
        <v>3</v>
      </c>
      <c r="C517" s="29"/>
      <c r="D517" s="27">
        <v>18</v>
      </c>
      <c r="E517" s="29"/>
      <c r="F517" s="27">
        <v>3000</v>
      </c>
      <c r="G517">
        <f t="shared" si="40"/>
        <v>1</v>
      </c>
      <c r="H517">
        <f t="shared" si="41"/>
        <v>0</v>
      </c>
      <c r="I517">
        <f t="shared" si="42"/>
        <v>1</v>
      </c>
      <c r="J517">
        <f t="shared" si="43"/>
        <v>0</v>
      </c>
      <c r="K517">
        <f t="shared" si="44"/>
        <v>0</v>
      </c>
      <c r="L517" s="15" t="s">
        <v>73</v>
      </c>
    </row>
    <row r="518" spans="1:12" x14ac:dyDescent="0.2">
      <c r="A518" s="24" t="s">
        <v>46</v>
      </c>
      <c r="B518" s="25">
        <v>8</v>
      </c>
      <c r="C518" s="28"/>
      <c r="D518" s="28"/>
      <c r="E518" s="28"/>
      <c r="F518" s="25">
        <v>900</v>
      </c>
      <c r="G518">
        <f t="shared" si="40"/>
        <v>1</v>
      </c>
      <c r="H518">
        <f t="shared" si="41"/>
        <v>0</v>
      </c>
      <c r="I518">
        <f t="shared" si="42"/>
        <v>0</v>
      </c>
      <c r="J518">
        <f t="shared" si="43"/>
        <v>0</v>
      </c>
      <c r="K518">
        <f t="shared" si="44"/>
        <v>0</v>
      </c>
      <c r="L518" s="15" t="s">
        <v>42</v>
      </c>
    </row>
    <row r="519" spans="1:12" x14ac:dyDescent="0.2">
      <c r="A519" s="26" t="s">
        <v>431</v>
      </c>
      <c r="B519" s="29"/>
      <c r="C519" s="29"/>
      <c r="D519" s="27">
        <v>19</v>
      </c>
      <c r="E519" s="29"/>
      <c r="F519" s="27">
        <v>1900</v>
      </c>
      <c r="G519">
        <f t="shared" si="40"/>
        <v>0</v>
      </c>
      <c r="H519">
        <f t="shared" si="41"/>
        <v>0</v>
      </c>
      <c r="I519">
        <f t="shared" si="42"/>
        <v>1</v>
      </c>
      <c r="J519">
        <f t="shared" si="43"/>
        <v>0</v>
      </c>
      <c r="K519">
        <f t="shared" si="44"/>
        <v>0</v>
      </c>
      <c r="L519" s="15" t="s">
        <v>42</v>
      </c>
    </row>
    <row r="520" spans="1:12" x14ac:dyDescent="0.2">
      <c r="A520" s="24" t="s">
        <v>100</v>
      </c>
      <c r="B520" s="28"/>
      <c r="C520" s="25">
        <v>6</v>
      </c>
      <c r="D520" s="28"/>
      <c r="E520" s="28"/>
      <c r="F520" s="25">
        <v>650</v>
      </c>
      <c r="G520">
        <f t="shared" si="40"/>
        <v>0</v>
      </c>
      <c r="H520">
        <f t="shared" si="41"/>
        <v>1</v>
      </c>
      <c r="I520">
        <f t="shared" si="42"/>
        <v>0</v>
      </c>
      <c r="J520">
        <f t="shared" si="43"/>
        <v>0</v>
      </c>
      <c r="K520">
        <f t="shared" si="44"/>
        <v>0</v>
      </c>
      <c r="L520" s="15" t="s">
        <v>42</v>
      </c>
    </row>
    <row r="521" spans="1:12" x14ac:dyDescent="0.2">
      <c r="A521" s="26" t="s">
        <v>290</v>
      </c>
      <c r="B521" s="27">
        <v>4</v>
      </c>
      <c r="C521" s="29"/>
      <c r="D521" s="29"/>
      <c r="E521" s="27">
        <v>60</v>
      </c>
      <c r="F521" s="27">
        <v>8700</v>
      </c>
      <c r="G521">
        <f t="shared" si="40"/>
        <v>1</v>
      </c>
      <c r="H521">
        <f t="shared" si="41"/>
        <v>0</v>
      </c>
      <c r="I521">
        <f t="shared" si="42"/>
        <v>0</v>
      </c>
      <c r="J521">
        <f t="shared" si="43"/>
        <v>1</v>
      </c>
      <c r="K521">
        <f t="shared" si="44"/>
        <v>0</v>
      </c>
      <c r="L521" s="15" t="s">
        <v>73</v>
      </c>
    </row>
    <row r="522" spans="1:12" x14ac:dyDescent="0.2">
      <c r="A522" s="24" t="s">
        <v>431</v>
      </c>
      <c r="B522" s="28"/>
      <c r="C522" s="28"/>
      <c r="D522" s="25">
        <v>22</v>
      </c>
      <c r="E522" s="28"/>
      <c r="F522" s="25">
        <v>3000</v>
      </c>
      <c r="G522">
        <f t="shared" si="40"/>
        <v>0</v>
      </c>
      <c r="H522">
        <f t="shared" si="41"/>
        <v>0</v>
      </c>
      <c r="I522">
        <f t="shared" si="42"/>
        <v>1</v>
      </c>
      <c r="J522">
        <f t="shared" si="43"/>
        <v>0</v>
      </c>
      <c r="K522">
        <f t="shared" si="44"/>
        <v>0</v>
      </c>
      <c r="L522" s="15" t="s">
        <v>42</v>
      </c>
    </row>
    <row r="523" spans="1:12" x14ac:dyDescent="0.2">
      <c r="A523" s="26" t="s">
        <v>246</v>
      </c>
      <c r="B523" s="27">
        <v>5</v>
      </c>
      <c r="C523" s="29"/>
      <c r="D523" s="27">
        <v>21</v>
      </c>
      <c r="E523" s="29"/>
      <c r="F523" s="27">
        <v>3600</v>
      </c>
      <c r="G523">
        <f t="shared" si="40"/>
        <v>1</v>
      </c>
      <c r="H523">
        <f t="shared" si="41"/>
        <v>0</v>
      </c>
      <c r="I523">
        <f t="shared" si="42"/>
        <v>1</v>
      </c>
      <c r="J523">
        <f t="shared" si="43"/>
        <v>0</v>
      </c>
      <c r="K523">
        <f t="shared" si="44"/>
        <v>0</v>
      </c>
      <c r="L523" s="15" t="s">
        <v>73</v>
      </c>
    </row>
    <row r="524" spans="1:12" x14ac:dyDescent="0.2">
      <c r="A524" s="24" t="s">
        <v>100</v>
      </c>
      <c r="B524" s="28"/>
      <c r="C524" s="25">
        <v>6</v>
      </c>
      <c r="D524" s="28"/>
      <c r="E524" s="28"/>
      <c r="F524" s="25">
        <v>600</v>
      </c>
      <c r="G524">
        <f t="shared" si="40"/>
        <v>0</v>
      </c>
      <c r="H524">
        <f t="shared" si="41"/>
        <v>1</v>
      </c>
      <c r="I524">
        <f t="shared" si="42"/>
        <v>0</v>
      </c>
      <c r="J524">
        <f t="shared" si="43"/>
        <v>0</v>
      </c>
      <c r="K524">
        <f t="shared" si="44"/>
        <v>0</v>
      </c>
      <c r="L524" s="15" t="s">
        <v>42</v>
      </c>
    </row>
    <row r="525" spans="1:12" x14ac:dyDescent="0.2">
      <c r="A525" s="26" t="s">
        <v>46</v>
      </c>
      <c r="B525" s="27">
        <v>12</v>
      </c>
      <c r="C525" s="29"/>
      <c r="D525" s="29"/>
      <c r="E525" s="29"/>
      <c r="F525" s="27">
        <v>1300</v>
      </c>
      <c r="G525">
        <f t="shared" si="40"/>
        <v>1</v>
      </c>
      <c r="H525">
        <f t="shared" si="41"/>
        <v>0</v>
      </c>
      <c r="I525">
        <f t="shared" si="42"/>
        <v>0</v>
      </c>
      <c r="J525">
        <f t="shared" si="43"/>
        <v>0</v>
      </c>
      <c r="K525">
        <f t="shared" si="44"/>
        <v>0</v>
      </c>
      <c r="L525" s="15" t="s">
        <v>73</v>
      </c>
    </row>
    <row r="526" spans="1:12" x14ac:dyDescent="0.2">
      <c r="A526" s="24" t="s">
        <v>352</v>
      </c>
      <c r="B526" s="28"/>
      <c r="C526" s="28"/>
      <c r="D526" s="25">
        <v>19</v>
      </c>
      <c r="E526" s="28"/>
      <c r="F526" s="25">
        <v>3000</v>
      </c>
      <c r="G526">
        <f t="shared" si="40"/>
        <v>0</v>
      </c>
      <c r="H526">
        <f t="shared" si="41"/>
        <v>0</v>
      </c>
      <c r="I526">
        <f t="shared" si="42"/>
        <v>1</v>
      </c>
      <c r="J526">
        <f t="shared" si="43"/>
        <v>0</v>
      </c>
      <c r="K526">
        <f t="shared" si="44"/>
        <v>1</v>
      </c>
      <c r="L526" s="15" t="s">
        <v>73</v>
      </c>
    </row>
    <row r="527" spans="1:12" x14ac:dyDescent="0.2">
      <c r="A527" s="26" t="s">
        <v>46</v>
      </c>
      <c r="B527" s="27">
        <v>9</v>
      </c>
      <c r="C527" s="29"/>
      <c r="D527" s="29"/>
      <c r="E527" s="29"/>
      <c r="F527" s="27">
        <v>980</v>
      </c>
      <c r="G527">
        <f t="shared" si="40"/>
        <v>1</v>
      </c>
      <c r="H527">
        <f t="shared" si="41"/>
        <v>0</v>
      </c>
      <c r="I527">
        <f t="shared" si="42"/>
        <v>0</v>
      </c>
      <c r="J527">
        <f t="shared" si="43"/>
        <v>0</v>
      </c>
      <c r="K527">
        <f t="shared" si="44"/>
        <v>0</v>
      </c>
      <c r="L527" s="15" t="s">
        <v>73</v>
      </c>
    </row>
    <row r="528" spans="1:12" x14ac:dyDescent="0.2">
      <c r="A528" s="24" t="s">
        <v>46</v>
      </c>
      <c r="B528" s="25">
        <v>7</v>
      </c>
      <c r="C528" s="28"/>
      <c r="D528" s="28"/>
      <c r="E528" s="28"/>
      <c r="F528" s="25">
        <v>910</v>
      </c>
      <c r="G528">
        <f t="shared" si="40"/>
        <v>1</v>
      </c>
      <c r="H528">
        <f t="shared" si="41"/>
        <v>0</v>
      </c>
      <c r="I528">
        <f t="shared" si="42"/>
        <v>0</v>
      </c>
      <c r="J528">
        <f t="shared" si="43"/>
        <v>0</v>
      </c>
      <c r="K528">
        <f t="shared" si="44"/>
        <v>0</v>
      </c>
      <c r="L528" s="15" t="s">
        <v>73</v>
      </c>
    </row>
    <row r="529" spans="1:12" x14ac:dyDescent="0.2">
      <c r="A529" s="26" t="s">
        <v>431</v>
      </c>
      <c r="B529" s="29"/>
      <c r="C529" s="29"/>
      <c r="D529" s="27">
        <v>21</v>
      </c>
      <c r="E529" s="29"/>
      <c r="F529" s="27">
        <v>2300</v>
      </c>
      <c r="G529">
        <f t="shared" si="40"/>
        <v>0</v>
      </c>
      <c r="H529">
        <f t="shared" si="41"/>
        <v>0</v>
      </c>
      <c r="I529">
        <f t="shared" si="42"/>
        <v>1</v>
      </c>
      <c r="J529">
        <f t="shared" si="43"/>
        <v>0</v>
      </c>
      <c r="K529">
        <f t="shared" si="44"/>
        <v>0</v>
      </c>
      <c r="L529" s="15" t="s">
        <v>42</v>
      </c>
    </row>
    <row r="530" spans="1:12" x14ac:dyDescent="0.2">
      <c r="A530" s="24" t="s">
        <v>46</v>
      </c>
      <c r="B530" s="25">
        <v>22</v>
      </c>
      <c r="C530" s="28"/>
      <c r="D530" s="28"/>
      <c r="E530" s="28"/>
      <c r="F530" s="25">
        <v>2300</v>
      </c>
      <c r="G530">
        <f t="shared" si="40"/>
        <v>1</v>
      </c>
      <c r="H530">
        <f t="shared" si="41"/>
        <v>0</v>
      </c>
      <c r="I530">
        <f t="shared" si="42"/>
        <v>0</v>
      </c>
      <c r="J530">
        <f t="shared" si="43"/>
        <v>0</v>
      </c>
      <c r="K530">
        <f t="shared" si="44"/>
        <v>0</v>
      </c>
      <c r="L530" s="15" t="s">
        <v>73</v>
      </c>
    </row>
    <row r="531" spans="1:12" x14ac:dyDescent="0.2">
      <c r="A531" s="26" t="s">
        <v>100</v>
      </c>
      <c r="B531" s="29"/>
      <c r="C531" s="27">
        <v>6</v>
      </c>
      <c r="D531" s="29"/>
      <c r="E531" s="29"/>
      <c r="F531" s="27">
        <v>630</v>
      </c>
      <c r="G531">
        <f t="shared" si="40"/>
        <v>0</v>
      </c>
      <c r="H531">
        <f t="shared" si="41"/>
        <v>1</v>
      </c>
      <c r="I531">
        <f t="shared" si="42"/>
        <v>0</v>
      </c>
      <c r="J531">
        <f t="shared" si="43"/>
        <v>0</v>
      </c>
      <c r="K531">
        <f t="shared" si="44"/>
        <v>0</v>
      </c>
      <c r="L531" s="15" t="s">
        <v>42</v>
      </c>
    </row>
    <row r="532" spans="1:12" x14ac:dyDescent="0.2">
      <c r="A532" s="24" t="s">
        <v>46</v>
      </c>
      <c r="B532" s="25">
        <v>18</v>
      </c>
      <c r="C532" s="28"/>
      <c r="D532" s="28"/>
      <c r="E532" s="28"/>
      <c r="F532" s="25">
        <v>1820</v>
      </c>
      <c r="G532">
        <f t="shared" si="40"/>
        <v>1</v>
      </c>
      <c r="H532">
        <f t="shared" si="41"/>
        <v>0</v>
      </c>
      <c r="I532">
        <f t="shared" si="42"/>
        <v>0</v>
      </c>
      <c r="J532">
        <f t="shared" si="43"/>
        <v>0</v>
      </c>
      <c r="K532">
        <f t="shared" si="44"/>
        <v>0</v>
      </c>
      <c r="L532" s="15" t="s">
        <v>73</v>
      </c>
    </row>
    <row r="533" spans="1:12" x14ac:dyDescent="0.2">
      <c r="A533" s="26" t="s">
        <v>246</v>
      </c>
      <c r="B533" s="27">
        <v>5</v>
      </c>
      <c r="C533" s="29"/>
      <c r="D533" s="27">
        <v>23</v>
      </c>
      <c r="E533" s="29"/>
      <c r="F533" s="27">
        <v>3900</v>
      </c>
      <c r="G533">
        <f t="shared" si="40"/>
        <v>1</v>
      </c>
      <c r="H533">
        <f t="shared" si="41"/>
        <v>0</v>
      </c>
      <c r="I533">
        <f t="shared" si="42"/>
        <v>1</v>
      </c>
      <c r="J533">
        <f t="shared" si="43"/>
        <v>0</v>
      </c>
      <c r="K533">
        <f t="shared" si="44"/>
        <v>0</v>
      </c>
      <c r="L533" s="15" t="s">
        <v>73</v>
      </c>
    </row>
    <row r="534" spans="1:12" x14ac:dyDescent="0.2">
      <c r="A534" s="24" t="s">
        <v>100</v>
      </c>
      <c r="B534" s="28"/>
      <c r="C534" s="25">
        <v>7</v>
      </c>
      <c r="D534" s="28"/>
      <c r="E534" s="28"/>
      <c r="F534" s="25">
        <v>780</v>
      </c>
      <c r="G534">
        <f t="shared" si="40"/>
        <v>0</v>
      </c>
      <c r="H534">
        <f t="shared" si="41"/>
        <v>1</v>
      </c>
      <c r="I534">
        <f t="shared" si="42"/>
        <v>0</v>
      </c>
      <c r="J534">
        <f t="shared" si="43"/>
        <v>0</v>
      </c>
      <c r="K534">
        <f t="shared" si="44"/>
        <v>0</v>
      </c>
      <c r="L534" s="15" t="s">
        <v>42</v>
      </c>
    </row>
    <row r="535" spans="1:12" x14ac:dyDescent="0.2">
      <c r="A535" s="26" t="s">
        <v>246</v>
      </c>
      <c r="B535" s="27">
        <v>6</v>
      </c>
      <c r="C535" s="29"/>
      <c r="D535" s="27">
        <v>20</v>
      </c>
      <c r="E535" s="29"/>
      <c r="F535" s="27">
        <v>3200</v>
      </c>
      <c r="G535">
        <f t="shared" si="40"/>
        <v>1</v>
      </c>
      <c r="H535">
        <f t="shared" si="41"/>
        <v>0</v>
      </c>
      <c r="I535">
        <f t="shared" si="42"/>
        <v>1</v>
      </c>
      <c r="J535">
        <f t="shared" si="43"/>
        <v>0</v>
      </c>
      <c r="K535">
        <f t="shared" si="44"/>
        <v>0</v>
      </c>
      <c r="L535" s="15" t="s">
        <v>73</v>
      </c>
    </row>
    <row r="536" spans="1:12" x14ac:dyDescent="0.2">
      <c r="A536" s="24" t="s">
        <v>290</v>
      </c>
      <c r="B536" s="25">
        <v>5</v>
      </c>
      <c r="C536" s="28"/>
      <c r="D536" s="28"/>
      <c r="E536" s="25">
        <v>55</v>
      </c>
      <c r="F536" s="25">
        <v>6700</v>
      </c>
      <c r="G536">
        <f t="shared" si="40"/>
        <v>1</v>
      </c>
      <c r="H536">
        <f t="shared" si="41"/>
        <v>0</v>
      </c>
      <c r="I536">
        <f t="shared" si="42"/>
        <v>0</v>
      </c>
      <c r="J536">
        <f t="shared" si="43"/>
        <v>1</v>
      </c>
      <c r="K536">
        <f t="shared" si="44"/>
        <v>0</v>
      </c>
      <c r="L536" s="15" t="s">
        <v>73</v>
      </c>
    </row>
    <row r="537" spans="1:12" x14ac:dyDescent="0.2">
      <c r="A537" s="26" t="s">
        <v>100</v>
      </c>
      <c r="B537" s="29"/>
      <c r="C537" s="27">
        <v>6</v>
      </c>
      <c r="D537" s="29"/>
      <c r="E537" s="29"/>
      <c r="F537" s="27">
        <v>780</v>
      </c>
      <c r="G537">
        <f t="shared" si="40"/>
        <v>0</v>
      </c>
      <c r="H537">
        <f t="shared" si="41"/>
        <v>1</v>
      </c>
      <c r="I537">
        <f t="shared" si="42"/>
        <v>0</v>
      </c>
      <c r="J537">
        <f t="shared" si="43"/>
        <v>0</v>
      </c>
      <c r="K537">
        <f t="shared" si="44"/>
        <v>0</v>
      </c>
      <c r="L537" s="15" t="s">
        <v>42</v>
      </c>
    </row>
    <row r="538" spans="1:12" x14ac:dyDescent="0.2">
      <c r="A538" s="24" t="s">
        <v>246</v>
      </c>
      <c r="B538" s="28">
        <v>8</v>
      </c>
      <c r="C538" s="28"/>
      <c r="D538" s="25">
        <v>21</v>
      </c>
      <c r="E538" s="28"/>
      <c r="F538" s="25">
        <v>3900</v>
      </c>
      <c r="G538">
        <f t="shared" si="40"/>
        <v>1</v>
      </c>
      <c r="H538">
        <f t="shared" si="41"/>
        <v>0</v>
      </c>
      <c r="I538">
        <f t="shared" si="42"/>
        <v>1</v>
      </c>
      <c r="J538">
        <f t="shared" si="43"/>
        <v>0</v>
      </c>
      <c r="K538">
        <f t="shared" si="44"/>
        <v>0</v>
      </c>
      <c r="L538" s="15" t="s">
        <v>73</v>
      </c>
    </row>
    <row r="539" spans="1:12" x14ac:dyDescent="0.2">
      <c r="A539" s="26" t="s">
        <v>431</v>
      </c>
      <c r="B539" s="29"/>
      <c r="C539" s="29"/>
      <c r="D539" s="27">
        <v>22</v>
      </c>
      <c r="E539" s="29"/>
      <c r="F539" s="27">
        <v>3520</v>
      </c>
      <c r="G539">
        <f t="shared" si="40"/>
        <v>0</v>
      </c>
      <c r="H539">
        <f t="shared" si="41"/>
        <v>0</v>
      </c>
      <c r="I539">
        <f t="shared" si="42"/>
        <v>1</v>
      </c>
      <c r="J539">
        <f t="shared" si="43"/>
        <v>0</v>
      </c>
      <c r="K539">
        <f t="shared" si="44"/>
        <v>0</v>
      </c>
      <c r="L539" s="15" t="s">
        <v>42</v>
      </c>
    </row>
    <row r="540" spans="1:12" x14ac:dyDescent="0.2">
      <c r="A540" s="24" t="s">
        <v>46</v>
      </c>
      <c r="B540" s="25">
        <v>8</v>
      </c>
      <c r="C540" s="28"/>
      <c r="D540" s="28"/>
      <c r="E540" s="28"/>
      <c r="F540" s="25">
        <v>1049</v>
      </c>
      <c r="G540">
        <f t="shared" si="40"/>
        <v>1</v>
      </c>
      <c r="H540">
        <f t="shared" si="41"/>
        <v>0</v>
      </c>
      <c r="I540">
        <f t="shared" si="42"/>
        <v>0</v>
      </c>
      <c r="J540">
        <f t="shared" si="43"/>
        <v>0</v>
      </c>
      <c r="K540">
        <f t="shared" si="44"/>
        <v>0</v>
      </c>
      <c r="L540" s="15" t="s">
        <v>73</v>
      </c>
    </row>
    <row r="541" spans="1:12" x14ac:dyDescent="0.2">
      <c r="A541" s="26" t="s">
        <v>100</v>
      </c>
      <c r="B541" s="29"/>
      <c r="C541" s="27">
        <v>5</v>
      </c>
      <c r="D541" s="29"/>
      <c r="E541" s="29"/>
      <c r="F541" s="27">
        <v>530</v>
      </c>
      <c r="G541">
        <f t="shared" si="40"/>
        <v>0</v>
      </c>
      <c r="H541">
        <f t="shared" si="41"/>
        <v>1</v>
      </c>
      <c r="I541">
        <f t="shared" si="42"/>
        <v>0</v>
      </c>
      <c r="J541">
        <f t="shared" si="43"/>
        <v>0</v>
      </c>
      <c r="K541">
        <f t="shared" si="44"/>
        <v>0</v>
      </c>
      <c r="L541" s="15" t="s">
        <v>42</v>
      </c>
    </row>
    <row r="542" spans="1:12" x14ac:dyDescent="0.2">
      <c r="A542" s="24" t="s">
        <v>431</v>
      </c>
      <c r="B542" s="28"/>
      <c r="C542" s="28"/>
      <c r="D542" s="25">
        <v>29</v>
      </c>
      <c r="E542" s="28"/>
      <c r="F542" s="25">
        <v>4890</v>
      </c>
      <c r="G542">
        <f t="shared" si="40"/>
        <v>0</v>
      </c>
      <c r="H542">
        <f t="shared" si="41"/>
        <v>0</v>
      </c>
      <c r="I542">
        <f t="shared" si="42"/>
        <v>1</v>
      </c>
      <c r="J542">
        <f t="shared" si="43"/>
        <v>0</v>
      </c>
      <c r="K542">
        <f t="shared" si="44"/>
        <v>0</v>
      </c>
      <c r="L542" s="15" t="s">
        <v>73</v>
      </c>
    </row>
    <row r="543" spans="1:12" x14ac:dyDescent="0.2">
      <c r="A543" s="26" t="s">
        <v>46</v>
      </c>
      <c r="B543" s="27">
        <v>10</v>
      </c>
      <c r="C543" s="29"/>
      <c r="D543" s="29"/>
      <c r="E543" s="29"/>
      <c r="F543" s="27">
        <v>1180</v>
      </c>
      <c r="G543">
        <f t="shared" si="40"/>
        <v>1</v>
      </c>
      <c r="H543">
        <f t="shared" si="41"/>
        <v>0</v>
      </c>
      <c r="I543">
        <f t="shared" si="42"/>
        <v>0</v>
      </c>
      <c r="J543">
        <f t="shared" si="43"/>
        <v>0</v>
      </c>
      <c r="K543">
        <f t="shared" si="44"/>
        <v>0</v>
      </c>
      <c r="L543" s="15" t="s">
        <v>42</v>
      </c>
    </row>
    <row r="544" spans="1:12" x14ac:dyDescent="0.2">
      <c r="A544" s="24" t="s">
        <v>290</v>
      </c>
      <c r="B544" s="25">
        <v>4</v>
      </c>
      <c r="C544" s="28"/>
      <c r="D544" s="28"/>
      <c r="E544" s="25">
        <v>65</v>
      </c>
      <c r="F544" s="25">
        <v>8100</v>
      </c>
      <c r="G544">
        <f t="shared" si="40"/>
        <v>1</v>
      </c>
      <c r="H544">
        <f t="shared" si="41"/>
        <v>0</v>
      </c>
      <c r="I544">
        <f t="shared" si="42"/>
        <v>0</v>
      </c>
      <c r="J544">
        <f t="shared" si="43"/>
        <v>1</v>
      </c>
      <c r="K544">
        <f t="shared" si="44"/>
        <v>0</v>
      </c>
      <c r="L544" s="15" t="s">
        <v>73</v>
      </c>
    </row>
    <row r="545" spans="1:12" x14ac:dyDescent="0.2">
      <c r="A545" s="26" t="s">
        <v>352</v>
      </c>
      <c r="B545" s="29"/>
      <c r="C545" s="29"/>
      <c r="D545" s="27">
        <v>18</v>
      </c>
      <c r="E545" s="29"/>
      <c r="F545" s="27">
        <v>2600</v>
      </c>
      <c r="G545">
        <f t="shared" si="40"/>
        <v>0</v>
      </c>
      <c r="H545">
        <f t="shared" si="41"/>
        <v>0</v>
      </c>
      <c r="I545">
        <f t="shared" si="42"/>
        <v>1</v>
      </c>
      <c r="J545">
        <f t="shared" si="43"/>
        <v>0</v>
      </c>
      <c r="K545">
        <f t="shared" si="44"/>
        <v>1</v>
      </c>
      <c r="L545" s="15" t="s">
        <v>73</v>
      </c>
    </row>
    <row r="546" spans="1:12" x14ac:dyDescent="0.2">
      <c r="A546" s="24" t="s">
        <v>100</v>
      </c>
      <c r="B546" s="28"/>
      <c r="C546" s="25">
        <v>6</v>
      </c>
      <c r="D546" s="28"/>
      <c r="E546" s="28"/>
      <c r="F546" s="25">
        <v>3000</v>
      </c>
      <c r="G546">
        <f t="shared" si="40"/>
        <v>0</v>
      </c>
      <c r="H546">
        <f t="shared" si="41"/>
        <v>1</v>
      </c>
      <c r="I546">
        <f t="shared" si="42"/>
        <v>0</v>
      </c>
      <c r="J546">
        <f t="shared" si="43"/>
        <v>0</v>
      </c>
      <c r="K546">
        <f t="shared" si="44"/>
        <v>0</v>
      </c>
      <c r="L546" s="15" t="s">
        <v>42</v>
      </c>
    </row>
    <row r="547" spans="1:12" x14ac:dyDescent="0.2">
      <c r="A547" s="26" t="s">
        <v>100</v>
      </c>
      <c r="B547" s="29"/>
      <c r="C547" s="27">
        <v>30</v>
      </c>
      <c r="D547" s="29"/>
      <c r="E547" s="29"/>
      <c r="F547" s="29">
        <v>555</v>
      </c>
      <c r="G547">
        <f t="shared" si="40"/>
        <v>0</v>
      </c>
      <c r="H547">
        <f t="shared" si="41"/>
        <v>1</v>
      </c>
      <c r="I547">
        <f t="shared" si="42"/>
        <v>0</v>
      </c>
      <c r="J547">
        <f t="shared" si="43"/>
        <v>0</v>
      </c>
      <c r="K547">
        <f t="shared" si="44"/>
        <v>0</v>
      </c>
      <c r="L547" s="15" t="s">
        <v>42</v>
      </c>
    </row>
    <row r="548" spans="1:12" x14ac:dyDescent="0.2">
      <c r="A548" s="24" t="s">
        <v>46</v>
      </c>
      <c r="B548" s="25">
        <v>22</v>
      </c>
      <c r="C548" s="28"/>
      <c r="D548" s="28"/>
      <c r="E548" s="28"/>
      <c r="F548" s="28">
        <v>650</v>
      </c>
      <c r="G548">
        <f t="shared" si="40"/>
        <v>1</v>
      </c>
      <c r="H548">
        <f t="shared" si="41"/>
        <v>0</v>
      </c>
      <c r="I548">
        <f t="shared" si="42"/>
        <v>0</v>
      </c>
      <c r="J548">
        <f t="shared" si="43"/>
        <v>0</v>
      </c>
      <c r="K548">
        <f t="shared" si="44"/>
        <v>0</v>
      </c>
      <c r="L548" s="15" t="s">
        <v>42</v>
      </c>
    </row>
    <row r="549" spans="1:12" x14ac:dyDescent="0.2">
      <c r="A549" s="26" t="s">
        <v>46</v>
      </c>
      <c r="B549" s="27">
        <v>22</v>
      </c>
      <c r="C549" s="29"/>
      <c r="D549" s="29"/>
      <c r="E549" s="29"/>
      <c r="F549" s="29">
        <v>750</v>
      </c>
      <c r="G549">
        <f t="shared" si="40"/>
        <v>1</v>
      </c>
      <c r="H549">
        <f t="shared" si="41"/>
        <v>0</v>
      </c>
      <c r="I549">
        <f t="shared" si="42"/>
        <v>0</v>
      </c>
      <c r="J549">
        <f t="shared" si="43"/>
        <v>0</v>
      </c>
      <c r="K549">
        <f t="shared" si="44"/>
        <v>0</v>
      </c>
      <c r="L549" s="15" t="s">
        <v>42</v>
      </c>
    </row>
    <row r="550" spans="1:12" x14ac:dyDescent="0.2">
      <c r="A550" s="24" t="s">
        <v>46</v>
      </c>
      <c r="B550" s="25">
        <v>22</v>
      </c>
      <c r="C550" s="28"/>
      <c r="D550" s="28"/>
      <c r="E550" s="28"/>
      <c r="F550" s="28">
        <v>950</v>
      </c>
      <c r="G550">
        <f t="shared" si="40"/>
        <v>1</v>
      </c>
      <c r="H550">
        <f t="shared" si="41"/>
        <v>0</v>
      </c>
      <c r="I550">
        <f t="shared" si="42"/>
        <v>0</v>
      </c>
      <c r="J550">
        <f t="shared" si="43"/>
        <v>0</v>
      </c>
      <c r="K550">
        <f t="shared" si="44"/>
        <v>0</v>
      </c>
      <c r="L550" s="15" t="s">
        <v>42</v>
      </c>
    </row>
    <row r="551" spans="1:12" x14ac:dyDescent="0.2">
      <c r="A551" s="26" t="s">
        <v>100</v>
      </c>
      <c r="B551" s="29"/>
      <c r="C551" s="27">
        <v>7</v>
      </c>
      <c r="D551" s="29"/>
      <c r="E551" s="29"/>
      <c r="F551" s="29">
        <v>1000</v>
      </c>
      <c r="G551">
        <f t="shared" si="40"/>
        <v>0</v>
      </c>
      <c r="H551">
        <f t="shared" si="41"/>
        <v>1</v>
      </c>
      <c r="I551">
        <f t="shared" si="42"/>
        <v>0</v>
      </c>
      <c r="J551">
        <f t="shared" si="43"/>
        <v>0</v>
      </c>
      <c r="K551">
        <f t="shared" si="44"/>
        <v>0</v>
      </c>
      <c r="L551" s="15" t="s">
        <v>42</v>
      </c>
    </row>
    <row r="552" spans="1:12" x14ac:dyDescent="0.2">
      <c r="A552" s="24" t="s">
        <v>100</v>
      </c>
      <c r="B552" s="28"/>
      <c r="C552" s="25">
        <v>30</v>
      </c>
      <c r="D552" s="28"/>
      <c r="E552" s="28"/>
      <c r="F552" s="25">
        <v>3000</v>
      </c>
      <c r="G552">
        <f t="shared" si="40"/>
        <v>0</v>
      </c>
      <c r="H552">
        <f t="shared" si="41"/>
        <v>1</v>
      </c>
      <c r="I552">
        <f t="shared" si="42"/>
        <v>0</v>
      </c>
      <c r="J552">
        <f t="shared" si="43"/>
        <v>0</v>
      </c>
      <c r="K552">
        <f t="shared" si="44"/>
        <v>0</v>
      </c>
      <c r="L552" s="15" t="s">
        <v>42</v>
      </c>
    </row>
    <row r="553" spans="1:12" x14ac:dyDescent="0.2">
      <c r="A553" s="26" t="s">
        <v>100</v>
      </c>
      <c r="B553" s="29"/>
      <c r="C553" s="27">
        <v>25</v>
      </c>
      <c r="D553" s="29"/>
      <c r="E553" s="29"/>
      <c r="F553" s="29">
        <v>1000</v>
      </c>
      <c r="G553">
        <f t="shared" si="40"/>
        <v>0</v>
      </c>
      <c r="H553">
        <f t="shared" si="41"/>
        <v>1</v>
      </c>
      <c r="I553">
        <f t="shared" si="42"/>
        <v>0</v>
      </c>
      <c r="J553">
        <f t="shared" si="43"/>
        <v>0</v>
      </c>
      <c r="K553">
        <f t="shared" si="44"/>
        <v>0</v>
      </c>
      <c r="L553" s="15" t="s">
        <v>42</v>
      </c>
    </row>
    <row r="554" spans="1:12" x14ac:dyDescent="0.2">
      <c r="A554" s="24" t="s">
        <v>46</v>
      </c>
      <c r="B554" s="25">
        <v>35</v>
      </c>
      <c r="C554" s="28"/>
      <c r="D554" s="28"/>
      <c r="E554" s="28"/>
      <c r="F554" s="28">
        <v>750</v>
      </c>
      <c r="G554">
        <f t="shared" si="40"/>
        <v>1</v>
      </c>
      <c r="H554">
        <f t="shared" si="41"/>
        <v>0</v>
      </c>
      <c r="I554">
        <f t="shared" si="42"/>
        <v>0</v>
      </c>
      <c r="J554">
        <f t="shared" si="43"/>
        <v>0</v>
      </c>
      <c r="K554">
        <f t="shared" si="44"/>
        <v>0</v>
      </c>
      <c r="L554" s="15" t="s">
        <v>73</v>
      </c>
    </row>
    <row r="555" spans="1:12" x14ac:dyDescent="0.2">
      <c r="A555" s="26" t="s">
        <v>46</v>
      </c>
      <c r="B555" s="27">
        <v>22</v>
      </c>
      <c r="C555" s="29"/>
      <c r="D555" s="29"/>
      <c r="E555" s="29"/>
      <c r="F555" s="29">
        <v>950</v>
      </c>
      <c r="G555">
        <f t="shared" si="40"/>
        <v>1</v>
      </c>
      <c r="H555">
        <f t="shared" si="41"/>
        <v>0</v>
      </c>
      <c r="I555">
        <f t="shared" si="42"/>
        <v>0</v>
      </c>
      <c r="J555">
        <f t="shared" si="43"/>
        <v>0</v>
      </c>
      <c r="K555">
        <f t="shared" si="44"/>
        <v>0</v>
      </c>
      <c r="L555" s="15" t="s">
        <v>73</v>
      </c>
    </row>
    <row r="556" spans="1:12" x14ac:dyDescent="0.2">
      <c r="A556" s="24" t="s">
        <v>352</v>
      </c>
      <c r="B556" s="28"/>
      <c r="C556" s="28"/>
      <c r="D556" s="25">
        <v>18</v>
      </c>
      <c r="E556" s="28"/>
      <c r="F556" s="25">
        <v>2600</v>
      </c>
      <c r="G556">
        <f t="shared" si="40"/>
        <v>0</v>
      </c>
      <c r="H556">
        <f t="shared" si="41"/>
        <v>0</v>
      </c>
      <c r="I556">
        <f t="shared" si="42"/>
        <v>1</v>
      </c>
      <c r="J556">
        <f t="shared" si="43"/>
        <v>0</v>
      </c>
      <c r="K556">
        <f t="shared" si="44"/>
        <v>1</v>
      </c>
      <c r="L556" s="15" t="s">
        <v>73</v>
      </c>
    </row>
    <row r="557" spans="1:12" x14ac:dyDescent="0.2">
      <c r="A557" s="26" t="s">
        <v>290</v>
      </c>
      <c r="B557" s="27">
        <v>4</v>
      </c>
      <c r="C557" s="29"/>
      <c r="D557" s="29"/>
      <c r="E557" s="27">
        <v>65</v>
      </c>
      <c r="F557" s="27">
        <v>8100</v>
      </c>
      <c r="G557">
        <f t="shared" si="40"/>
        <v>1</v>
      </c>
      <c r="H557">
        <f t="shared" si="41"/>
        <v>0</v>
      </c>
      <c r="I557">
        <f t="shared" si="42"/>
        <v>0</v>
      </c>
      <c r="J557">
        <f t="shared" si="43"/>
        <v>1</v>
      </c>
      <c r="K557">
        <f t="shared" si="44"/>
        <v>0</v>
      </c>
      <c r="L557" s="15" t="s">
        <v>73</v>
      </c>
    </row>
    <row r="558" spans="1:12" x14ac:dyDescent="0.2">
      <c r="A558" s="24" t="s">
        <v>46</v>
      </c>
      <c r="B558" s="25">
        <v>9</v>
      </c>
      <c r="C558" s="28"/>
      <c r="D558" s="28"/>
      <c r="E558" s="28"/>
      <c r="F558" s="25">
        <v>1170</v>
      </c>
      <c r="G558">
        <f t="shared" si="40"/>
        <v>1</v>
      </c>
      <c r="H558">
        <f t="shared" si="41"/>
        <v>0</v>
      </c>
      <c r="I558">
        <f t="shared" si="42"/>
        <v>0</v>
      </c>
      <c r="J558">
        <f t="shared" si="43"/>
        <v>0</v>
      </c>
      <c r="K558">
        <f t="shared" si="44"/>
        <v>0</v>
      </c>
      <c r="L558" s="15" t="s">
        <v>42</v>
      </c>
    </row>
    <row r="559" spans="1:12" x14ac:dyDescent="0.2">
      <c r="A559" s="26" t="s">
        <v>431</v>
      </c>
      <c r="B559" s="29"/>
      <c r="C559" s="29"/>
      <c r="D559" s="27">
        <v>28</v>
      </c>
      <c r="E559" s="29"/>
      <c r="F559" s="27">
        <v>4480</v>
      </c>
      <c r="G559">
        <f t="shared" si="40"/>
        <v>0</v>
      </c>
      <c r="H559">
        <f t="shared" si="41"/>
        <v>0</v>
      </c>
      <c r="I559">
        <f t="shared" si="42"/>
        <v>1</v>
      </c>
      <c r="J559">
        <f t="shared" si="43"/>
        <v>0</v>
      </c>
      <c r="K559">
        <f t="shared" si="44"/>
        <v>0</v>
      </c>
      <c r="L559" s="15" t="s">
        <v>73</v>
      </c>
    </row>
    <row r="560" spans="1:12" x14ac:dyDescent="0.2">
      <c r="A560" s="24" t="s">
        <v>246</v>
      </c>
      <c r="B560" s="25">
        <v>6</v>
      </c>
      <c r="C560" s="28"/>
      <c r="D560" s="25">
        <v>21</v>
      </c>
      <c r="E560" s="28"/>
      <c r="F560" s="25">
        <v>3510</v>
      </c>
      <c r="G560">
        <f t="shared" si="40"/>
        <v>1</v>
      </c>
      <c r="H560">
        <f t="shared" si="41"/>
        <v>0</v>
      </c>
      <c r="I560">
        <f t="shared" si="42"/>
        <v>1</v>
      </c>
      <c r="J560">
        <f t="shared" si="43"/>
        <v>0</v>
      </c>
      <c r="K560">
        <f t="shared" si="44"/>
        <v>0</v>
      </c>
      <c r="L560" s="15" t="s">
        <v>73</v>
      </c>
    </row>
    <row r="561" spans="1:12" x14ac:dyDescent="0.2">
      <c r="A561" s="26" t="s">
        <v>100</v>
      </c>
      <c r="B561" s="29"/>
      <c r="C561" s="27">
        <v>6</v>
      </c>
      <c r="D561" s="29"/>
      <c r="E561" s="29"/>
      <c r="F561" s="27">
        <v>520</v>
      </c>
      <c r="G561">
        <f t="shared" si="40"/>
        <v>0</v>
      </c>
      <c r="H561">
        <f t="shared" si="41"/>
        <v>1</v>
      </c>
      <c r="I561">
        <f t="shared" si="42"/>
        <v>0</v>
      </c>
      <c r="J561">
        <f t="shared" si="43"/>
        <v>0</v>
      </c>
      <c r="K561">
        <f t="shared" si="44"/>
        <v>0</v>
      </c>
      <c r="L561" s="15" t="s">
        <v>42</v>
      </c>
    </row>
    <row r="562" spans="1:12" x14ac:dyDescent="0.2">
      <c r="A562" s="24" t="s">
        <v>290</v>
      </c>
      <c r="B562" s="25">
        <v>4</v>
      </c>
      <c r="C562" s="28"/>
      <c r="D562" s="28"/>
      <c r="E562" s="25">
        <v>85</v>
      </c>
      <c r="F562" s="25">
        <v>7200</v>
      </c>
      <c r="G562">
        <f t="shared" si="40"/>
        <v>1</v>
      </c>
      <c r="H562">
        <f t="shared" si="41"/>
        <v>0</v>
      </c>
      <c r="I562">
        <f t="shared" si="42"/>
        <v>0</v>
      </c>
      <c r="J562">
        <f t="shared" si="43"/>
        <v>1</v>
      </c>
      <c r="K562">
        <f t="shared" si="44"/>
        <v>0</v>
      </c>
      <c r="L562" s="15" t="s">
        <v>73</v>
      </c>
    </row>
    <row r="563" spans="1:12" x14ac:dyDescent="0.2">
      <c r="A563" s="26" t="s">
        <v>46</v>
      </c>
      <c r="B563" s="27">
        <v>12</v>
      </c>
      <c r="C563" s="29"/>
      <c r="D563" s="29"/>
      <c r="E563" s="29"/>
      <c r="F563" s="27">
        <v>1560</v>
      </c>
      <c r="G563">
        <f t="shared" si="40"/>
        <v>1</v>
      </c>
      <c r="H563">
        <f t="shared" si="41"/>
        <v>0</v>
      </c>
      <c r="I563">
        <f t="shared" si="42"/>
        <v>0</v>
      </c>
      <c r="J563">
        <f t="shared" si="43"/>
        <v>0</v>
      </c>
      <c r="K563">
        <f t="shared" si="44"/>
        <v>0</v>
      </c>
      <c r="L563" s="15" t="s">
        <v>73</v>
      </c>
    </row>
    <row r="564" spans="1:12" x14ac:dyDescent="0.2">
      <c r="A564" s="24" t="s">
        <v>100</v>
      </c>
      <c r="B564" s="28"/>
      <c r="C564" s="25">
        <v>4</v>
      </c>
      <c r="D564" s="28"/>
      <c r="E564" s="28"/>
      <c r="F564" s="25">
        <v>520</v>
      </c>
      <c r="G564">
        <f t="shared" si="40"/>
        <v>0</v>
      </c>
      <c r="H564">
        <f t="shared" si="41"/>
        <v>1</v>
      </c>
      <c r="I564">
        <f t="shared" si="42"/>
        <v>0</v>
      </c>
      <c r="J564">
        <f t="shared" si="43"/>
        <v>0</v>
      </c>
      <c r="K564">
        <f t="shared" si="44"/>
        <v>0</v>
      </c>
      <c r="L564" s="15" t="s">
        <v>42</v>
      </c>
    </row>
    <row r="565" spans="1:12" x14ac:dyDescent="0.2">
      <c r="A565" s="26" t="s">
        <v>46</v>
      </c>
      <c r="B565" s="27">
        <v>11</v>
      </c>
      <c r="C565" s="29"/>
      <c r="D565" s="29"/>
      <c r="E565" s="29"/>
      <c r="F565" s="27">
        <v>1180</v>
      </c>
      <c r="G565">
        <f t="shared" si="40"/>
        <v>1</v>
      </c>
      <c r="H565">
        <f t="shared" si="41"/>
        <v>0</v>
      </c>
      <c r="I565">
        <f t="shared" si="42"/>
        <v>0</v>
      </c>
      <c r="J565">
        <f t="shared" si="43"/>
        <v>0</v>
      </c>
      <c r="K565">
        <f t="shared" si="44"/>
        <v>0</v>
      </c>
      <c r="L565" s="15" t="s">
        <v>73</v>
      </c>
    </row>
    <row r="566" spans="1:12" x14ac:dyDescent="0.2">
      <c r="A566" s="24" t="s">
        <v>290</v>
      </c>
      <c r="B566" s="25">
        <v>4</v>
      </c>
      <c r="C566" s="28"/>
      <c r="D566" s="28"/>
      <c r="E566" s="25">
        <v>52</v>
      </c>
      <c r="F566" s="25">
        <v>6600</v>
      </c>
      <c r="G566">
        <f t="shared" si="40"/>
        <v>1</v>
      </c>
      <c r="H566">
        <f t="shared" si="41"/>
        <v>0</v>
      </c>
      <c r="I566">
        <f t="shared" si="42"/>
        <v>0</v>
      </c>
      <c r="J566">
        <f t="shared" si="43"/>
        <v>1</v>
      </c>
      <c r="K566">
        <f t="shared" si="44"/>
        <v>0</v>
      </c>
      <c r="L566" s="15" t="s">
        <v>73</v>
      </c>
    </row>
    <row r="567" spans="1:12" x14ac:dyDescent="0.2">
      <c r="A567" s="26" t="s">
        <v>100</v>
      </c>
      <c r="B567" s="29"/>
      <c r="C567" s="27">
        <v>6</v>
      </c>
      <c r="D567" s="29"/>
      <c r="E567" s="29"/>
      <c r="F567" s="27">
        <v>680</v>
      </c>
      <c r="G567">
        <f t="shared" si="40"/>
        <v>0</v>
      </c>
      <c r="H567">
        <f t="shared" si="41"/>
        <v>1</v>
      </c>
      <c r="I567">
        <f t="shared" si="42"/>
        <v>0</v>
      </c>
      <c r="J567">
        <f t="shared" si="43"/>
        <v>0</v>
      </c>
      <c r="K567">
        <f t="shared" si="44"/>
        <v>0</v>
      </c>
      <c r="L567" s="15" t="s">
        <v>42</v>
      </c>
    </row>
    <row r="568" spans="1:12" x14ac:dyDescent="0.2">
      <c r="A568" s="24" t="s">
        <v>431</v>
      </c>
      <c r="B568" s="28"/>
      <c r="C568" s="28"/>
      <c r="D568" s="25">
        <v>19</v>
      </c>
      <c r="E568" s="28"/>
      <c r="F568" s="25">
        <v>2000</v>
      </c>
      <c r="G568">
        <f t="shared" si="40"/>
        <v>0</v>
      </c>
      <c r="H568">
        <f t="shared" si="41"/>
        <v>0</v>
      </c>
      <c r="I568">
        <f t="shared" si="42"/>
        <v>1</v>
      </c>
      <c r="J568">
        <f t="shared" si="43"/>
        <v>0</v>
      </c>
      <c r="K568">
        <f t="shared" si="44"/>
        <v>0</v>
      </c>
      <c r="L568" s="15" t="s">
        <v>42</v>
      </c>
    </row>
    <row r="569" spans="1:12" x14ac:dyDescent="0.2">
      <c r="F569" s="100"/>
    </row>
  </sheetData>
  <conditionalFormatting sqref="A1:A568">
    <cfRule type="containsBlanks" dxfId="64" priority="7">
      <formula>LEN(TRIM(A1))=0</formula>
    </cfRule>
  </conditionalFormatting>
  <conditionalFormatting sqref="F1:F568">
    <cfRule type="containsBlanks" dxfId="63" priority="2">
      <formula>LEN(TRIM(F1))=0</formula>
    </cfRule>
  </conditionalFormatting>
  <conditionalFormatting sqref="G1:K1">
    <cfRule type="containsBlanks" dxfId="62" priority="1">
      <formula>LEN(TRIM(G1))=0</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F31"/>
  <sheetViews>
    <sheetView workbookViewId="0">
      <selection activeCell="H11" sqref="H11"/>
    </sheetView>
  </sheetViews>
  <sheetFormatPr defaultRowHeight="12.75" x14ac:dyDescent="0.2"/>
  <cols>
    <col min="1" max="1" width="30.140625" customWidth="1"/>
    <col min="2" max="2" width="16.85546875" customWidth="1"/>
    <col min="3" max="3" width="20.140625" customWidth="1"/>
    <col min="4" max="4" width="19" customWidth="1"/>
    <col min="5" max="5" width="21.140625" customWidth="1"/>
    <col min="6" max="6" width="26.42578125" customWidth="1"/>
    <col min="8" max="8" width="27.42578125" customWidth="1"/>
    <col min="9" max="9" width="11.5703125" customWidth="1"/>
  </cols>
  <sheetData>
    <row r="1" spans="1:6" x14ac:dyDescent="0.2">
      <c r="A1" s="19" t="s">
        <v>1514</v>
      </c>
    </row>
    <row r="3" spans="1:6" ht="38.25" x14ac:dyDescent="0.2">
      <c r="A3" s="62" t="s">
        <v>1503</v>
      </c>
      <c r="B3" s="52" t="s">
        <v>1505</v>
      </c>
      <c r="C3" s="52" t="s">
        <v>1506</v>
      </c>
      <c r="D3" s="52" t="s">
        <v>1507</v>
      </c>
      <c r="E3" s="52" t="s">
        <v>1508</v>
      </c>
      <c r="F3" s="52" t="s">
        <v>1521</v>
      </c>
    </row>
    <row r="4" spans="1:6" x14ac:dyDescent="0.2">
      <c r="A4" s="63" t="s">
        <v>1498</v>
      </c>
      <c r="B4" s="64">
        <v>5.5</v>
      </c>
      <c r="C4" s="64"/>
      <c r="D4" s="64"/>
      <c r="E4" s="64"/>
      <c r="F4" s="64">
        <v>690</v>
      </c>
    </row>
    <row r="5" spans="1:6" x14ac:dyDescent="0.2">
      <c r="A5" s="63" t="s">
        <v>1501</v>
      </c>
      <c r="B5" s="64">
        <v>7</v>
      </c>
      <c r="C5" s="64"/>
      <c r="D5" s="64"/>
      <c r="E5" s="64">
        <v>70</v>
      </c>
      <c r="F5" s="64">
        <v>9000</v>
      </c>
    </row>
    <row r="6" spans="1:6" x14ac:dyDescent="0.2">
      <c r="A6" s="63" t="s">
        <v>46</v>
      </c>
      <c r="B6" s="64">
        <v>12.238372093023257</v>
      </c>
      <c r="C6" s="64"/>
      <c r="D6" s="64"/>
      <c r="E6" s="64"/>
      <c r="F6" s="64">
        <v>283069</v>
      </c>
    </row>
    <row r="7" spans="1:6" x14ac:dyDescent="0.2">
      <c r="A7" s="63" t="s">
        <v>246</v>
      </c>
      <c r="B7" s="64">
        <v>7.1956521739130439</v>
      </c>
      <c r="C7" s="64"/>
      <c r="D7" s="64">
        <v>26.304347826086957</v>
      </c>
      <c r="E7" s="64"/>
      <c r="F7" s="64">
        <v>298789</v>
      </c>
    </row>
    <row r="8" spans="1:6" x14ac:dyDescent="0.2">
      <c r="A8" s="63" t="s">
        <v>309</v>
      </c>
      <c r="B8" s="64">
        <v>6.9333333333333336</v>
      </c>
      <c r="C8" s="64"/>
      <c r="D8" s="64">
        <v>27.6</v>
      </c>
      <c r="E8" s="64">
        <v>62.06666666666667</v>
      </c>
      <c r="F8" s="64">
        <v>177300</v>
      </c>
    </row>
    <row r="9" spans="1:6" x14ac:dyDescent="0.2">
      <c r="A9" s="63" t="s">
        <v>435</v>
      </c>
      <c r="B9" s="64">
        <v>7.3571428571428568</v>
      </c>
      <c r="C9" s="64"/>
      <c r="D9" s="64">
        <v>37.285714285714285</v>
      </c>
      <c r="E9" s="64"/>
      <c r="F9" s="64">
        <v>56100</v>
      </c>
    </row>
    <row r="10" spans="1:6" x14ac:dyDescent="0.2">
      <c r="A10" s="63" t="s">
        <v>290</v>
      </c>
      <c r="B10" s="64">
        <v>8.0666666666666664</v>
      </c>
      <c r="C10" s="64"/>
      <c r="D10" s="64"/>
      <c r="E10" s="64">
        <v>68.61666666666666</v>
      </c>
      <c r="F10" s="64">
        <v>513400</v>
      </c>
    </row>
    <row r="11" spans="1:6" x14ac:dyDescent="0.2">
      <c r="A11" s="63" t="s">
        <v>423</v>
      </c>
      <c r="B11" s="64">
        <v>10</v>
      </c>
      <c r="C11" s="64"/>
      <c r="D11" s="64"/>
      <c r="E11" s="64">
        <v>80</v>
      </c>
      <c r="F11" s="64">
        <v>11100</v>
      </c>
    </row>
    <row r="12" spans="1:6" x14ac:dyDescent="0.2">
      <c r="A12" s="63" t="s">
        <v>1102</v>
      </c>
      <c r="B12" s="64">
        <v>5.5</v>
      </c>
      <c r="C12" s="64"/>
      <c r="D12" s="64"/>
      <c r="E12" s="64"/>
      <c r="F12" s="64">
        <v>3800</v>
      </c>
    </row>
    <row r="13" spans="1:6" x14ac:dyDescent="0.2">
      <c r="A13" s="63" t="s">
        <v>61</v>
      </c>
      <c r="B13" s="64">
        <v>16.666666666666668</v>
      </c>
      <c r="C13" s="64">
        <v>9.7222222222222214</v>
      </c>
      <c r="D13" s="64"/>
      <c r="E13" s="64"/>
      <c r="F13" s="64">
        <v>46380</v>
      </c>
    </row>
    <row r="14" spans="1:6" x14ac:dyDescent="0.2">
      <c r="A14" s="63" t="s">
        <v>390</v>
      </c>
      <c r="B14" s="64">
        <v>18.625</v>
      </c>
      <c r="C14" s="64">
        <v>15.375</v>
      </c>
      <c r="D14" s="64">
        <v>37.375</v>
      </c>
      <c r="E14" s="64"/>
      <c r="F14" s="64">
        <v>61900</v>
      </c>
    </row>
    <row r="15" spans="1:6" x14ac:dyDescent="0.2">
      <c r="A15" s="63" t="s">
        <v>431</v>
      </c>
      <c r="B15" s="64"/>
      <c r="C15" s="64"/>
      <c r="D15" s="64">
        <v>25.333333333333332</v>
      </c>
      <c r="E15" s="64"/>
      <c r="F15" s="64">
        <v>198640</v>
      </c>
    </row>
    <row r="16" spans="1:6" x14ac:dyDescent="0.2">
      <c r="A16" s="63" t="s">
        <v>668</v>
      </c>
      <c r="B16" s="64"/>
      <c r="C16" s="64"/>
      <c r="D16" s="64">
        <v>37.5</v>
      </c>
      <c r="E16" s="64">
        <v>72.5</v>
      </c>
      <c r="F16" s="64">
        <v>24000</v>
      </c>
    </row>
    <row r="17" spans="1:6" x14ac:dyDescent="0.2">
      <c r="A17" s="63" t="s">
        <v>352</v>
      </c>
      <c r="B17" s="64"/>
      <c r="C17" s="64"/>
      <c r="D17" s="64">
        <v>29</v>
      </c>
      <c r="E17" s="64"/>
      <c r="F17" s="64">
        <v>20900</v>
      </c>
    </row>
    <row r="18" spans="1:6" x14ac:dyDescent="0.2">
      <c r="A18" s="63" t="s">
        <v>988</v>
      </c>
      <c r="B18" s="64"/>
      <c r="C18" s="64"/>
      <c r="D18" s="64"/>
      <c r="E18" s="64">
        <v>85.714285714285708</v>
      </c>
      <c r="F18" s="64">
        <v>59500</v>
      </c>
    </row>
    <row r="19" spans="1:6" x14ac:dyDescent="0.2">
      <c r="A19" s="63" t="s">
        <v>1390</v>
      </c>
      <c r="B19" s="64"/>
      <c r="C19" s="64"/>
      <c r="D19" s="64"/>
      <c r="E19" s="64"/>
      <c r="F19" s="64">
        <v>2300</v>
      </c>
    </row>
    <row r="20" spans="1:6" x14ac:dyDescent="0.2">
      <c r="A20" s="63" t="s">
        <v>100</v>
      </c>
      <c r="B20" s="64"/>
      <c r="C20" s="64">
        <v>6.3533834586466167</v>
      </c>
      <c r="D20" s="64"/>
      <c r="E20" s="64"/>
      <c r="F20" s="64">
        <v>97695</v>
      </c>
    </row>
    <row r="21" spans="1:6" x14ac:dyDescent="0.2">
      <c r="A21" s="63" t="s">
        <v>269</v>
      </c>
      <c r="B21" s="64"/>
      <c r="C21" s="64">
        <v>5.833333333333333</v>
      </c>
      <c r="D21" s="64">
        <v>24</v>
      </c>
      <c r="E21" s="64"/>
      <c r="F21" s="64">
        <v>27200</v>
      </c>
    </row>
    <row r="22" spans="1:6" x14ac:dyDescent="0.2">
      <c r="A22" s="63" t="s">
        <v>1504</v>
      </c>
      <c r="B22" s="64">
        <v>10.504225352112677</v>
      </c>
      <c r="C22" s="64">
        <v>7.1393939393939396</v>
      </c>
      <c r="D22" s="64">
        <v>27.201183431952664</v>
      </c>
      <c r="E22" s="64">
        <v>69.104651162790702</v>
      </c>
      <c r="F22" s="64">
        <v>1891763</v>
      </c>
    </row>
    <row r="25" spans="1:6" x14ac:dyDescent="0.2">
      <c r="A25" s="68" t="s">
        <v>1523</v>
      </c>
    </row>
    <row r="26" spans="1:6" ht="17.25" customHeight="1" x14ac:dyDescent="0.2">
      <c r="A26" s="56" t="s">
        <v>1520</v>
      </c>
      <c r="B26" s="57" t="s">
        <v>1519</v>
      </c>
    </row>
    <row r="27" spans="1:6" ht="14.25" x14ac:dyDescent="0.2">
      <c r="A27" s="58" t="s">
        <v>1515</v>
      </c>
      <c r="B27" s="59">
        <f>AVERAGEIF('Fuel_Data_Used_Avg_Fuel(l)'!$G$2:$G$569, 1, 'Fuel_Data_Used_Avg_Fuel(l)'!$B$2:$B$569)</f>
        <v>10.504225352112677</v>
      </c>
    </row>
    <row r="28" spans="1:6" ht="14.25" x14ac:dyDescent="0.2">
      <c r="A28" s="58" t="s">
        <v>1518</v>
      </c>
      <c r="B28" s="59">
        <f>AVERAGEIF('Fuel_Data_Used_Avg_Fuel(l)'!$H$2:$H$569, 1, 'Fuel_Data_Used_Avg_Fuel(l)'!$C$2:$C$569)</f>
        <v>7.1393939393939396</v>
      </c>
    </row>
    <row r="29" spans="1:6" ht="14.25" x14ac:dyDescent="0.2">
      <c r="A29" s="58" t="s">
        <v>1516</v>
      </c>
      <c r="B29" s="59">
        <f>AVERAGEIF('Fuel_Data_Used_Avg_Fuel(l)'!$I$2:$I$569, 1, 'Fuel_Data_Used_Avg_Fuel(l)'!$D$2:$D$569)</f>
        <v>27.201183431952664</v>
      </c>
    </row>
    <row r="30" spans="1:6" ht="14.25" x14ac:dyDescent="0.2">
      <c r="A30" s="60" t="s">
        <v>1517</v>
      </c>
      <c r="B30" s="61">
        <f>AVERAGEIF('Fuel_Data_Used_Avg_Fuel(l)'!$J$2:$J$569, 1, 'Fuel_Data_Used_Avg_Fuel(l)'!$E$2:$E$569)</f>
        <v>69.104651162790702</v>
      </c>
    </row>
    <row r="31" spans="1:6" x14ac:dyDescent="0.2">
      <c r="A31" s="19"/>
    </row>
  </sheetData>
  <pageMargins left="0.7" right="0.7" top="0.75" bottom="0.75" header="0.3" footer="0.3"/>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B5"/>
  <sheetViews>
    <sheetView workbookViewId="0">
      <selection activeCell="H6" sqref="H6"/>
    </sheetView>
  </sheetViews>
  <sheetFormatPr defaultRowHeight="12.75" x14ac:dyDescent="0.2"/>
  <cols>
    <col min="1" max="1" width="27.42578125" customWidth="1"/>
    <col min="2" max="2" width="15.7109375" customWidth="1"/>
  </cols>
  <sheetData>
    <row r="1" spans="1:2" ht="25.5" x14ac:dyDescent="0.2">
      <c r="A1" s="118" t="s">
        <v>1520</v>
      </c>
      <c r="B1" s="120" t="s">
        <v>1620</v>
      </c>
    </row>
    <row r="2" spans="1:2" ht="14.25" x14ac:dyDescent="0.2">
      <c r="A2" s="119" t="s">
        <v>1515</v>
      </c>
      <c r="B2" s="55">
        <f>AVERAGEIF('Fuel_Data_Used_Avg_Fuel(l)'!G2:G568,1,'Fuel_Data_Used_Avg_Fuel(l)'!F2:F568)</f>
        <v>4116.9802816901411</v>
      </c>
    </row>
    <row r="3" spans="1:2" ht="14.25" x14ac:dyDescent="0.2">
      <c r="A3" s="119" t="s">
        <v>1518</v>
      </c>
      <c r="B3" s="55">
        <f>AVERAGEIF('Fuel_Data_Used_Avg_Fuel(l)'!H2:H568,1,'Fuel_Data_Used_Avg_Fuel(l)'!F2:F568)</f>
        <v>1413.1818181818182</v>
      </c>
    </row>
    <row r="4" spans="1:2" ht="14.25" x14ac:dyDescent="0.2">
      <c r="A4" s="119" t="s">
        <v>1516</v>
      </c>
      <c r="B4" s="55">
        <f>AVERAGEIF('Fuel_Data_Used_Avg_Fuel(l)'!I2:I568,1,'Fuel_Data_Used_Avg_Fuel(l)'!F2:F568)</f>
        <v>5117.3313609467459</v>
      </c>
    </row>
    <row r="5" spans="1:2" ht="14.25" x14ac:dyDescent="0.2">
      <c r="A5" s="119" t="s">
        <v>1517</v>
      </c>
      <c r="B5" s="55">
        <f>AVERAGEIF('Fuel_Data_Used_Avg_Fuel(l)'!J2:J568,1,'Fuel_Data_Used_Avg_Fuel(l)'!F2:F568)</f>
        <v>9236.0465116279065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J568"/>
  <sheetViews>
    <sheetView topLeftCell="C1" workbookViewId="0">
      <selection activeCell="I27" sqref="I27"/>
    </sheetView>
  </sheetViews>
  <sheetFormatPr defaultRowHeight="12.75" x14ac:dyDescent="0.2"/>
  <cols>
    <col min="1" max="1" width="14.140625" customWidth="1"/>
    <col min="2" max="2" width="11.85546875" customWidth="1"/>
    <col min="3" max="3" width="10.85546875" customWidth="1"/>
    <col min="5" max="5" width="18.140625" customWidth="1"/>
    <col min="8" max="8" width="26" customWidth="1"/>
  </cols>
  <sheetData>
    <row r="1" spans="1:9" ht="51.75" thickBot="1" x14ac:dyDescent="0.25">
      <c r="A1" s="66" t="s">
        <v>1477</v>
      </c>
      <c r="B1" s="66" t="s">
        <v>1462</v>
      </c>
      <c r="C1" s="66" t="s">
        <v>1580</v>
      </c>
      <c r="D1" s="14" t="s">
        <v>1459</v>
      </c>
      <c r="E1" s="11" t="s">
        <v>1461</v>
      </c>
      <c r="F1" s="19" t="s">
        <v>1538</v>
      </c>
      <c r="H1" s="54" t="s">
        <v>1523</v>
      </c>
      <c r="I1" s="67"/>
    </row>
    <row r="2" spans="1:9" ht="13.5" thickTop="1" x14ac:dyDescent="0.2">
      <c r="A2" s="25">
        <v>3000</v>
      </c>
      <c r="B2" s="51">
        <v>4</v>
      </c>
      <c r="C2" s="55">
        <f>A2/B2</f>
        <v>750</v>
      </c>
      <c r="D2" s="24" t="s">
        <v>42</v>
      </c>
      <c r="E2" s="69" t="s">
        <v>182</v>
      </c>
      <c r="F2">
        <v>500</v>
      </c>
      <c r="H2" s="53" t="s">
        <v>1524</v>
      </c>
      <c r="I2" s="53" t="s">
        <v>1525</v>
      </c>
    </row>
    <row r="3" spans="1:9" x14ac:dyDescent="0.2">
      <c r="A3" s="27">
        <v>9200</v>
      </c>
      <c r="B3" s="65">
        <v>4</v>
      </c>
      <c r="C3" s="55">
        <f t="shared" ref="C3:C66" si="0">A3/B3</f>
        <v>2300</v>
      </c>
      <c r="D3" s="26" t="s">
        <v>73</v>
      </c>
      <c r="E3" s="70" t="s">
        <v>89</v>
      </c>
      <c r="F3">
        <v>1000</v>
      </c>
      <c r="H3" s="19" t="s">
        <v>1526</v>
      </c>
      <c r="I3">
        <f>AVERAGE(C2:C568)</f>
        <v>750.05726043503853</v>
      </c>
    </row>
    <row r="4" spans="1:9" x14ac:dyDescent="0.2">
      <c r="A4" s="25">
        <v>1000</v>
      </c>
      <c r="B4" s="51">
        <v>6</v>
      </c>
      <c r="C4" s="55">
        <f t="shared" si="0"/>
        <v>166.66666666666666</v>
      </c>
      <c r="D4" s="24" t="s">
        <v>42</v>
      </c>
      <c r="E4" s="48" t="s">
        <v>89</v>
      </c>
      <c r="F4">
        <v>1500</v>
      </c>
      <c r="H4" s="19" t="s">
        <v>1527</v>
      </c>
      <c r="I4">
        <f>MEDIAN(C2:C568)</f>
        <v>400</v>
      </c>
    </row>
    <row r="5" spans="1:9" x14ac:dyDescent="0.2">
      <c r="A5" s="27">
        <v>1000</v>
      </c>
      <c r="B5" s="65">
        <v>5</v>
      </c>
      <c r="C5" s="55">
        <f t="shared" si="0"/>
        <v>200</v>
      </c>
      <c r="D5" s="26" t="s">
        <v>73</v>
      </c>
      <c r="E5" s="49" t="s">
        <v>89</v>
      </c>
      <c r="F5">
        <v>2000</v>
      </c>
      <c r="H5" s="19" t="s">
        <v>1528</v>
      </c>
      <c r="I5">
        <f>MIN(C2:C568)</f>
        <v>40</v>
      </c>
    </row>
    <row r="6" spans="1:9" x14ac:dyDescent="0.2">
      <c r="A6" s="25">
        <v>10000</v>
      </c>
      <c r="B6" s="51">
        <v>5</v>
      </c>
      <c r="C6" s="55">
        <f t="shared" si="0"/>
        <v>2000</v>
      </c>
      <c r="D6" s="24" t="s">
        <v>73</v>
      </c>
      <c r="E6" s="69" t="s">
        <v>45</v>
      </c>
      <c r="F6">
        <v>2500</v>
      </c>
      <c r="H6" s="19" t="s">
        <v>1529</v>
      </c>
      <c r="I6">
        <f>MAX(C2:C568)</f>
        <v>5000</v>
      </c>
    </row>
    <row r="7" spans="1:9" x14ac:dyDescent="0.2">
      <c r="A7" s="27">
        <v>1200</v>
      </c>
      <c r="B7" s="65">
        <v>3</v>
      </c>
      <c r="C7" s="55">
        <f t="shared" si="0"/>
        <v>400</v>
      </c>
      <c r="D7" s="26" t="s">
        <v>42</v>
      </c>
      <c r="E7" s="49" t="s">
        <v>182</v>
      </c>
      <c r="F7">
        <v>3000</v>
      </c>
      <c r="H7" s="19" t="s">
        <v>1530</v>
      </c>
      <c r="I7">
        <f>STDEV(C2:C568)</f>
        <v>763.28502865777705</v>
      </c>
    </row>
    <row r="8" spans="1:9" x14ac:dyDescent="0.2">
      <c r="A8" s="25">
        <v>1000</v>
      </c>
      <c r="B8" s="51">
        <v>2</v>
      </c>
      <c r="C8" s="55">
        <f t="shared" si="0"/>
        <v>500</v>
      </c>
      <c r="D8" s="24" t="s">
        <v>42</v>
      </c>
      <c r="E8" s="48" t="s">
        <v>45</v>
      </c>
      <c r="F8">
        <v>3500</v>
      </c>
      <c r="H8" s="19" t="s">
        <v>1531</v>
      </c>
      <c r="I8">
        <f>COUNT(C2:C568)</f>
        <v>567</v>
      </c>
    </row>
    <row r="9" spans="1:9" x14ac:dyDescent="0.2">
      <c r="A9" s="27">
        <v>3000</v>
      </c>
      <c r="B9" s="65">
        <v>6</v>
      </c>
      <c r="C9" s="55">
        <f t="shared" si="0"/>
        <v>500</v>
      </c>
      <c r="D9" s="26" t="s">
        <v>73</v>
      </c>
      <c r="E9" s="49" t="s">
        <v>89</v>
      </c>
      <c r="F9">
        <v>4000</v>
      </c>
    </row>
    <row r="10" spans="1:9" x14ac:dyDescent="0.2">
      <c r="A10" s="25">
        <v>1500</v>
      </c>
      <c r="B10" s="51">
        <v>3</v>
      </c>
      <c r="C10" s="55">
        <f t="shared" si="0"/>
        <v>500</v>
      </c>
      <c r="D10" s="24" t="s">
        <v>42</v>
      </c>
      <c r="E10" s="48" t="s">
        <v>45</v>
      </c>
      <c r="H10" s="53" t="s">
        <v>1534</v>
      </c>
    </row>
    <row r="11" spans="1:9" x14ac:dyDescent="0.2">
      <c r="A11" s="27">
        <v>9500</v>
      </c>
      <c r="B11" s="65">
        <v>4</v>
      </c>
      <c r="C11" s="55">
        <f t="shared" si="0"/>
        <v>2375</v>
      </c>
      <c r="D11" s="26" t="s">
        <v>73</v>
      </c>
      <c r="E11" s="70" t="s">
        <v>155</v>
      </c>
      <c r="H11" t="s">
        <v>1532</v>
      </c>
      <c r="I11">
        <f>AVERAGEIF($D$2:$D$568, "Male", $C$2:$C$568)</f>
        <v>1023.5884375000003</v>
      </c>
    </row>
    <row r="12" spans="1:9" x14ac:dyDescent="0.2">
      <c r="A12" s="25">
        <v>1500</v>
      </c>
      <c r="B12" s="51">
        <v>3</v>
      </c>
      <c r="C12" s="55">
        <f t="shared" si="0"/>
        <v>500</v>
      </c>
      <c r="D12" s="24" t="s">
        <v>73</v>
      </c>
      <c r="E12" s="48" t="s">
        <v>182</v>
      </c>
      <c r="H12" t="s">
        <v>1533</v>
      </c>
      <c r="I12">
        <f>AVERAGEIF($D$2:$D$568, "Female", $C$2:$C$568)</f>
        <v>395.68488529014849</v>
      </c>
    </row>
    <row r="13" spans="1:9" x14ac:dyDescent="0.2">
      <c r="A13" s="27">
        <v>8000</v>
      </c>
      <c r="B13" s="65">
        <v>5</v>
      </c>
      <c r="C13" s="55">
        <f t="shared" si="0"/>
        <v>1600</v>
      </c>
      <c r="D13" s="26" t="s">
        <v>73</v>
      </c>
      <c r="E13" s="49" t="s">
        <v>45</v>
      </c>
    </row>
    <row r="14" spans="1:9" x14ac:dyDescent="0.2">
      <c r="A14" s="25">
        <v>6800</v>
      </c>
      <c r="B14" s="51">
        <v>4</v>
      </c>
      <c r="C14" s="55">
        <f t="shared" si="0"/>
        <v>1700</v>
      </c>
      <c r="D14" s="24" t="s">
        <v>42</v>
      </c>
      <c r="E14" s="69" t="s">
        <v>60</v>
      </c>
    </row>
    <row r="15" spans="1:9" x14ac:dyDescent="0.2">
      <c r="A15" s="27">
        <v>9000</v>
      </c>
      <c r="B15" s="65">
        <v>4</v>
      </c>
      <c r="C15" s="55">
        <f t="shared" si="0"/>
        <v>2250</v>
      </c>
      <c r="D15" s="26" t="s">
        <v>73</v>
      </c>
      <c r="E15" s="49" t="s">
        <v>60</v>
      </c>
      <c r="H15" s="53" t="s">
        <v>1535</v>
      </c>
    </row>
    <row r="16" spans="1:9" x14ac:dyDescent="0.2">
      <c r="A16" s="25">
        <v>9000</v>
      </c>
      <c r="B16" s="51">
        <v>5</v>
      </c>
      <c r="C16" s="55">
        <f t="shared" si="0"/>
        <v>1800</v>
      </c>
      <c r="D16" s="24" t="s">
        <v>73</v>
      </c>
      <c r="E16" s="48" t="s">
        <v>45</v>
      </c>
      <c r="H16" s="53"/>
      <c r="I16" s="53"/>
    </row>
    <row r="17" spans="1:10" x14ac:dyDescent="0.2">
      <c r="A17" s="27">
        <v>900</v>
      </c>
      <c r="B17" s="65">
        <v>4</v>
      </c>
      <c r="C17" s="55">
        <f t="shared" si="0"/>
        <v>225</v>
      </c>
      <c r="D17" s="26" t="s">
        <v>42</v>
      </c>
      <c r="E17" s="49" t="s">
        <v>182</v>
      </c>
      <c r="H17" s="71" t="s">
        <v>1536</v>
      </c>
      <c r="I17" s="72" t="s">
        <v>1525</v>
      </c>
      <c r="J17" s="76" t="s">
        <v>1500</v>
      </c>
    </row>
    <row r="18" spans="1:10" x14ac:dyDescent="0.2">
      <c r="A18" s="25">
        <v>2000</v>
      </c>
      <c r="B18" s="51">
        <v>5</v>
      </c>
      <c r="C18" s="55">
        <f t="shared" si="0"/>
        <v>400</v>
      </c>
      <c r="D18" s="24" t="s">
        <v>73</v>
      </c>
      <c r="E18" s="48" t="s">
        <v>182</v>
      </c>
      <c r="H18" s="75" t="s">
        <v>182</v>
      </c>
      <c r="I18" s="75">
        <f>AVERAGEIF($E$2:$E$568, "below 10,000", $C$2:$C$568)</f>
        <v>319.39466666666658</v>
      </c>
      <c r="J18" s="75">
        <f>COUNTIF($E$2:$E$568,"below 10,000")</f>
        <v>125</v>
      </c>
    </row>
    <row r="19" spans="1:10" x14ac:dyDescent="0.2">
      <c r="A19" s="27">
        <v>2300</v>
      </c>
      <c r="B19" s="65">
        <v>3</v>
      </c>
      <c r="C19" s="55">
        <f t="shared" si="0"/>
        <v>766.66666666666663</v>
      </c>
      <c r="D19" s="26" t="s">
        <v>73</v>
      </c>
      <c r="E19" s="49" t="s">
        <v>45</v>
      </c>
      <c r="H19" s="75" t="s">
        <v>89</v>
      </c>
      <c r="I19" s="75">
        <f>AVERAGEIF($E$2:$E$568, "10,000-30,000", $C$2:$C$568)</f>
        <v>418.69660537482315</v>
      </c>
      <c r="J19" s="75">
        <f>COUNTIF($E$2:$E$568,"10,000-30,000")</f>
        <v>101</v>
      </c>
    </row>
    <row r="20" spans="1:10" x14ac:dyDescent="0.2">
      <c r="A20" s="25">
        <v>1200</v>
      </c>
      <c r="B20" s="51">
        <v>4</v>
      </c>
      <c r="C20" s="55">
        <f t="shared" si="0"/>
        <v>300</v>
      </c>
      <c r="D20" s="24" t="s">
        <v>42</v>
      </c>
      <c r="E20" s="48" t="s">
        <v>182</v>
      </c>
      <c r="H20" s="75" t="s">
        <v>45</v>
      </c>
      <c r="I20" s="75">
        <f>AVERAGEIF($E$2:$E$568, "30,000-50,000", $C$2:$C$568)</f>
        <v>803.53026038001371</v>
      </c>
      <c r="J20" s="75">
        <f>COUNTIF($E$2:$E$568,"30,000-50,000")</f>
        <v>203</v>
      </c>
    </row>
    <row r="21" spans="1:10" x14ac:dyDescent="0.2">
      <c r="A21" s="27">
        <v>11100</v>
      </c>
      <c r="B21" s="65">
        <v>6</v>
      </c>
      <c r="C21" s="55">
        <f t="shared" si="0"/>
        <v>1850</v>
      </c>
      <c r="D21" s="26" t="s">
        <v>73</v>
      </c>
      <c r="E21" s="49" t="s">
        <v>45</v>
      </c>
      <c r="H21" s="75" t="s">
        <v>60</v>
      </c>
      <c r="I21" s="75">
        <f>AVERAGEIF($E$2:$E$568, "50,000-70,000", $C$2:$C$568)</f>
        <v>1075.3976190476189</v>
      </c>
      <c r="J21" s="75">
        <f>COUNTIF($E$2:$E$568,"50,000-70,000")</f>
        <v>98</v>
      </c>
    </row>
    <row r="22" spans="1:10" x14ac:dyDescent="0.2">
      <c r="A22" s="25">
        <v>6000</v>
      </c>
      <c r="B22" s="51">
        <v>3</v>
      </c>
      <c r="C22" s="55">
        <f t="shared" si="0"/>
        <v>2000</v>
      </c>
      <c r="D22" s="24" t="s">
        <v>42</v>
      </c>
      <c r="E22" s="48" t="s">
        <v>45</v>
      </c>
      <c r="H22" s="75" t="s">
        <v>109</v>
      </c>
      <c r="I22" s="75">
        <f>AVERAGEIF($E$2:$E$568, "70,000-1,00,000", $C$2:$C$568)</f>
        <v>1446.8478260869565</v>
      </c>
      <c r="J22" s="75">
        <f>COUNTIF($E$2:$E$568,"70,000-1,00,000")</f>
        <v>23</v>
      </c>
    </row>
    <row r="23" spans="1:10" x14ac:dyDescent="0.2">
      <c r="A23" s="27">
        <v>8800</v>
      </c>
      <c r="B23" s="65">
        <v>5</v>
      </c>
      <c r="C23" s="55">
        <f t="shared" si="0"/>
        <v>1760</v>
      </c>
      <c r="D23" s="26" t="s">
        <v>73</v>
      </c>
      <c r="E23" s="70" t="s">
        <v>109</v>
      </c>
      <c r="H23" s="75" t="s">
        <v>155</v>
      </c>
      <c r="I23" s="75">
        <f>AVERAGEIF($E$2:$E$568, "above 1,00,000", $C$2:$C$568)</f>
        <v>2428.627450980392</v>
      </c>
      <c r="J23" s="75">
        <f>COUNTIF($E$2:$E$568,"above 1,00,000")</f>
        <v>17</v>
      </c>
    </row>
    <row r="24" spans="1:10" ht="14.25" x14ac:dyDescent="0.2">
      <c r="A24" s="25">
        <v>2700</v>
      </c>
      <c r="B24" s="51">
        <v>4</v>
      </c>
      <c r="C24" s="55">
        <f t="shared" si="0"/>
        <v>675</v>
      </c>
      <c r="D24" s="24" t="s">
        <v>73</v>
      </c>
      <c r="E24" s="48" t="s">
        <v>182</v>
      </c>
      <c r="H24" s="73" t="s">
        <v>1537</v>
      </c>
      <c r="I24" s="74">
        <f>AVERAGE($C$2:$C$568)</f>
        <v>750.05726043503853</v>
      </c>
      <c r="J24" s="77">
        <f>COUNTA(E2:E568)</f>
        <v>567</v>
      </c>
    </row>
    <row r="25" spans="1:10" x14ac:dyDescent="0.2">
      <c r="A25" s="27">
        <v>3000</v>
      </c>
      <c r="B25" s="65">
        <v>6</v>
      </c>
      <c r="C25" s="55">
        <f t="shared" si="0"/>
        <v>500</v>
      </c>
      <c r="D25" s="26" t="s">
        <v>42</v>
      </c>
      <c r="E25" s="49" t="s">
        <v>89</v>
      </c>
    </row>
    <row r="26" spans="1:10" x14ac:dyDescent="0.2">
      <c r="A26" s="25">
        <v>5200</v>
      </c>
      <c r="B26" s="51">
        <v>5</v>
      </c>
      <c r="C26" s="55">
        <f t="shared" si="0"/>
        <v>1040</v>
      </c>
      <c r="D26" s="24" t="s">
        <v>42</v>
      </c>
      <c r="E26" s="48" t="s">
        <v>89</v>
      </c>
    </row>
    <row r="27" spans="1:10" x14ac:dyDescent="0.2">
      <c r="A27" s="27">
        <v>9700</v>
      </c>
      <c r="B27" s="65">
        <v>4</v>
      </c>
      <c r="C27" s="55">
        <f t="shared" si="0"/>
        <v>2425</v>
      </c>
      <c r="D27" s="26" t="s">
        <v>73</v>
      </c>
      <c r="E27" s="49" t="s">
        <v>60</v>
      </c>
    </row>
    <row r="28" spans="1:10" x14ac:dyDescent="0.2">
      <c r="A28" s="25">
        <v>8200</v>
      </c>
      <c r="B28" s="51">
        <v>5</v>
      </c>
      <c r="C28" s="55">
        <f t="shared" si="0"/>
        <v>1640</v>
      </c>
      <c r="D28" s="24" t="s">
        <v>42</v>
      </c>
      <c r="E28" s="48" t="s">
        <v>45</v>
      </c>
    </row>
    <row r="29" spans="1:10" x14ac:dyDescent="0.2">
      <c r="A29" s="27">
        <v>2400</v>
      </c>
      <c r="B29" s="65">
        <v>3</v>
      </c>
      <c r="C29" s="55">
        <f t="shared" si="0"/>
        <v>800</v>
      </c>
      <c r="D29" s="26" t="s">
        <v>73</v>
      </c>
      <c r="E29" s="49" t="s">
        <v>89</v>
      </c>
    </row>
    <row r="30" spans="1:10" x14ac:dyDescent="0.2">
      <c r="A30" s="25">
        <v>2900</v>
      </c>
      <c r="B30" s="51">
        <v>4</v>
      </c>
      <c r="C30" s="55">
        <f t="shared" si="0"/>
        <v>725</v>
      </c>
      <c r="D30" s="24" t="s">
        <v>73</v>
      </c>
      <c r="E30" s="48" t="s">
        <v>182</v>
      </c>
    </row>
    <row r="31" spans="1:10" x14ac:dyDescent="0.2">
      <c r="A31" s="27">
        <v>9500</v>
      </c>
      <c r="B31" s="65">
        <v>6</v>
      </c>
      <c r="C31" s="55">
        <f t="shared" si="0"/>
        <v>1583.3333333333333</v>
      </c>
      <c r="D31" s="26" t="s">
        <v>73</v>
      </c>
      <c r="E31" s="49" t="s">
        <v>60</v>
      </c>
    </row>
    <row r="32" spans="1:10" x14ac:dyDescent="0.2">
      <c r="A32" s="25">
        <v>5200</v>
      </c>
      <c r="B32" s="51">
        <v>3</v>
      </c>
      <c r="C32" s="55">
        <f t="shared" si="0"/>
        <v>1733.3333333333333</v>
      </c>
      <c r="D32" s="24" t="s">
        <v>42</v>
      </c>
      <c r="E32" s="48" t="s">
        <v>45</v>
      </c>
    </row>
    <row r="33" spans="1:5" x14ac:dyDescent="0.2">
      <c r="A33" s="27">
        <v>8500</v>
      </c>
      <c r="B33" s="65">
        <v>4</v>
      </c>
      <c r="C33" s="55">
        <f t="shared" si="0"/>
        <v>2125</v>
      </c>
      <c r="D33" s="26" t="s">
        <v>73</v>
      </c>
      <c r="E33" s="49" t="s">
        <v>109</v>
      </c>
    </row>
    <row r="34" spans="1:5" x14ac:dyDescent="0.2">
      <c r="A34" s="25">
        <v>7000</v>
      </c>
      <c r="B34" s="51">
        <v>5</v>
      </c>
      <c r="C34" s="55">
        <f t="shared" si="0"/>
        <v>1400</v>
      </c>
      <c r="D34" s="24" t="s">
        <v>73</v>
      </c>
      <c r="E34" s="48" t="s">
        <v>89</v>
      </c>
    </row>
    <row r="35" spans="1:5" x14ac:dyDescent="0.2">
      <c r="A35" s="27">
        <v>5500</v>
      </c>
      <c r="B35" s="65">
        <v>5</v>
      </c>
      <c r="C35" s="55">
        <f t="shared" si="0"/>
        <v>1100</v>
      </c>
      <c r="D35" s="26" t="s">
        <v>73</v>
      </c>
      <c r="E35" s="49" t="s">
        <v>60</v>
      </c>
    </row>
    <row r="36" spans="1:5" x14ac:dyDescent="0.2">
      <c r="A36" s="25">
        <v>900</v>
      </c>
      <c r="B36" s="51">
        <v>3</v>
      </c>
      <c r="C36" s="55">
        <f t="shared" si="0"/>
        <v>300</v>
      </c>
      <c r="D36" s="24" t="s">
        <v>42</v>
      </c>
      <c r="E36" s="48" t="s">
        <v>45</v>
      </c>
    </row>
    <row r="37" spans="1:5" x14ac:dyDescent="0.2">
      <c r="A37" s="27">
        <v>5200</v>
      </c>
      <c r="B37" s="65">
        <v>6</v>
      </c>
      <c r="C37" s="55">
        <f t="shared" si="0"/>
        <v>866.66666666666663</v>
      </c>
      <c r="D37" s="26" t="s">
        <v>73</v>
      </c>
      <c r="E37" s="49" t="s">
        <v>89</v>
      </c>
    </row>
    <row r="38" spans="1:5" x14ac:dyDescent="0.2">
      <c r="A38" s="25">
        <v>650</v>
      </c>
      <c r="B38" s="51">
        <v>4</v>
      </c>
      <c r="C38" s="55">
        <f t="shared" si="0"/>
        <v>162.5</v>
      </c>
      <c r="D38" s="24" t="s">
        <v>42</v>
      </c>
      <c r="E38" s="48" t="s">
        <v>182</v>
      </c>
    </row>
    <row r="39" spans="1:5" x14ac:dyDescent="0.2">
      <c r="A39" s="27">
        <v>12000</v>
      </c>
      <c r="B39" s="65">
        <v>5</v>
      </c>
      <c r="C39" s="55">
        <f t="shared" si="0"/>
        <v>2400</v>
      </c>
      <c r="D39" s="26" t="s">
        <v>73</v>
      </c>
      <c r="E39" s="49" t="s">
        <v>109</v>
      </c>
    </row>
    <row r="40" spans="1:5" x14ac:dyDescent="0.2">
      <c r="A40" s="25">
        <v>2400</v>
      </c>
      <c r="B40" s="51">
        <v>4</v>
      </c>
      <c r="C40" s="55">
        <f t="shared" si="0"/>
        <v>600</v>
      </c>
      <c r="D40" s="24" t="s">
        <v>42</v>
      </c>
      <c r="E40" s="48" t="s">
        <v>60</v>
      </c>
    </row>
    <row r="41" spans="1:5" x14ac:dyDescent="0.2">
      <c r="A41" s="27">
        <v>1500</v>
      </c>
      <c r="B41" s="65">
        <v>3</v>
      </c>
      <c r="C41" s="55">
        <f t="shared" si="0"/>
        <v>500</v>
      </c>
      <c r="D41" s="26" t="s">
        <v>73</v>
      </c>
      <c r="E41" s="49" t="s">
        <v>89</v>
      </c>
    </row>
    <row r="42" spans="1:5" x14ac:dyDescent="0.2">
      <c r="A42" s="25">
        <v>500</v>
      </c>
      <c r="B42" s="51">
        <v>4</v>
      </c>
      <c r="C42" s="55">
        <f t="shared" si="0"/>
        <v>125</v>
      </c>
      <c r="D42" s="24" t="s">
        <v>42</v>
      </c>
      <c r="E42" s="48" t="s">
        <v>182</v>
      </c>
    </row>
    <row r="43" spans="1:5" x14ac:dyDescent="0.2">
      <c r="A43" s="27">
        <v>5800</v>
      </c>
      <c r="B43" s="65">
        <v>4</v>
      </c>
      <c r="C43" s="55">
        <f t="shared" si="0"/>
        <v>1450</v>
      </c>
      <c r="D43" s="26" t="s">
        <v>73</v>
      </c>
      <c r="E43" s="49" t="s">
        <v>155</v>
      </c>
    </row>
    <row r="44" spans="1:5" x14ac:dyDescent="0.2">
      <c r="A44" s="25">
        <v>850</v>
      </c>
      <c r="B44" s="51">
        <v>5</v>
      </c>
      <c r="C44" s="55">
        <f t="shared" si="0"/>
        <v>170</v>
      </c>
      <c r="D44" s="24" t="s">
        <v>42</v>
      </c>
      <c r="E44" s="48" t="s">
        <v>182</v>
      </c>
    </row>
    <row r="45" spans="1:5" x14ac:dyDescent="0.2">
      <c r="A45" s="27">
        <v>1400</v>
      </c>
      <c r="B45" s="65">
        <v>4</v>
      </c>
      <c r="C45" s="55">
        <f t="shared" si="0"/>
        <v>350</v>
      </c>
      <c r="D45" s="26" t="s">
        <v>73</v>
      </c>
      <c r="E45" s="49" t="s">
        <v>89</v>
      </c>
    </row>
    <row r="46" spans="1:5" x14ac:dyDescent="0.2">
      <c r="A46" s="25">
        <v>3200</v>
      </c>
      <c r="B46" s="51">
        <v>3</v>
      </c>
      <c r="C46" s="55">
        <f t="shared" si="0"/>
        <v>1066.6666666666667</v>
      </c>
      <c r="D46" s="24" t="s">
        <v>42</v>
      </c>
      <c r="E46" s="48" t="s">
        <v>45</v>
      </c>
    </row>
    <row r="47" spans="1:5" x14ac:dyDescent="0.2">
      <c r="A47" s="27">
        <v>6800</v>
      </c>
      <c r="B47" s="65">
        <v>5</v>
      </c>
      <c r="C47" s="55">
        <f t="shared" si="0"/>
        <v>1360</v>
      </c>
      <c r="D47" s="26" t="s">
        <v>73</v>
      </c>
      <c r="E47" s="49" t="s">
        <v>45</v>
      </c>
    </row>
    <row r="48" spans="1:5" x14ac:dyDescent="0.2">
      <c r="A48" s="25">
        <v>700</v>
      </c>
      <c r="B48" s="51">
        <v>4</v>
      </c>
      <c r="C48" s="55">
        <f t="shared" si="0"/>
        <v>175</v>
      </c>
      <c r="D48" s="24" t="s">
        <v>42</v>
      </c>
      <c r="E48" s="48" t="s">
        <v>89</v>
      </c>
    </row>
    <row r="49" spans="1:5" x14ac:dyDescent="0.2">
      <c r="A49" s="27">
        <v>11000</v>
      </c>
      <c r="B49" s="65">
        <v>5</v>
      </c>
      <c r="C49" s="55">
        <f t="shared" si="0"/>
        <v>2200</v>
      </c>
      <c r="D49" s="26" t="s">
        <v>73</v>
      </c>
      <c r="E49" s="49" t="s">
        <v>109</v>
      </c>
    </row>
    <row r="50" spans="1:5" x14ac:dyDescent="0.2">
      <c r="A50" s="25">
        <v>850</v>
      </c>
      <c r="B50" s="51">
        <v>3</v>
      </c>
      <c r="C50" s="55">
        <f t="shared" si="0"/>
        <v>283.33333333333331</v>
      </c>
      <c r="D50" s="24" t="s">
        <v>42</v>
      </c>
      <c r="E50" s="48" t="s">
        <v>182</v>
      </c>
    </row>
    <row r="51" spans="1:5" x14ac:dyDescent="0.2">
      <c r="A51" s="27">
        <v>4500</v>
      </c>
      <c r="B51" s="65">
        <v>4</v>
      </c>
      <c r="C51" s="55">
        <f t="shared" si="0"/>
        <v>1125</v>
      </c>
      <c r="D51" s="26" t="s">
        <v>73</v>
      </c>
      <c r="E51" s="49" t="s">
        <v>60</v>
      </c>
    </row>
    <row r="52" spans="1:5" x14ac:dyDescent="0.2">
      <c r="A52" s="25">
        <v>200</v>
      </c>
      <c r="B52" s="51">
        <v>5</v>
      </c>
      <c r="C52" s="55">
        <f t="shared" si="0"/>
        <v>40</v>
      </c>
      <c r="D52" s="24" t="s">
        <v>42</v>
      </c>
      <c r="E52" s="48" t="s">
        <v>182</v>
      </c>
    </row>
    <row r="53" spans="1:5" x14ac:dyDescent="0.2">
      <c r="A53" s="27">
        <v>2700</v>
      </c>
      <c r="B53" s="65">
        <v>3</v>
      </c>
      <c r="C53" s="55">
        <f t="shared" si="0"/>
        <v>900</v>
      </c>
      <c r="D53" s="26" t="s">
        <v>42</v>
      </c>
      <c r="E53" s="49" t="s">
        <v>45</v>
      </c>
    </row>
    <row r="54" spans="1:5" x14ac:dyDescent="0.2">
      <c r="A54" s="25">
        <v>5000</v>
      </c>
      <c r="B54" s="51">
        <v>6</v>
      </c>
      <c r="C54" s="55">
        <f t="shared" si="0"/>
        <v>833.33333333333337</v>
      </c>
      <c r="D54" s="24" t="s">
        <v>73</v>
      </c>
      <c r="E54" s="48" t="s">
        <v>89</v>
      </c>
    </row>
    <row r="55" spans="1:5" x14ac:dyDescent="0.2">
      <c r="A55" s="27">
        <v>750</v>
      </c>
      <c r="B55" s="65">
        <v>4</v>
      </c>
      <c r="C55" s="55">
        <f t="shared" si="0"/>
        <v>187.5</v>
      </c>
      <c r="D55" s="26" t="s">
        <v>42</v>
      </c>
      <c r="E55" s="49" t="s">
        <v>182</v>
      </c>
    </row>
    <row r="56" spans="1:5" x14ac:dyDescent="0.2">
      <c r="A56" s="25">
        <v>650</v>
      </c>
      <c r="B56" s="51">
        <v>5</v>
      </c>
      <c r="C56" s="55">
        <f t="shared" si="0"/>
        <v>130</v>
      </c>
      <c r="D56" s="24" t="s">
        <v>42</v>
      </c>
      <c r="E56" s="48" t="s">
        <v>182</v>
      </c>
    </row>
    <row r="57" spans="1:5" x14ac:dyDescent="0.2">
      <c r="A57" s="27">
        <v>4000</v>
      </c>
      <c r="B57" s="65">
        <v>4</v>
      </c>
      <c r="C57" s="55">
        <f t="shared" si="0"/>
        <v>1000</v>
      </c>
      <c r="D57" s="26" t="s">
        <v>73</v>
      </c>
      <c r="E57" s="49" t="s">
        <v>45</v>
      </c>
    </row>
    <row r="58" spans="1:5" x14ac:dyDescent="0.2">
      <c r="A58" s="25">
        <v>650</v>
      </c>
      <c r="B58" s="51">
        <v>5</v>
      </c>
      <c r="C58" s="55">
        <f t="shared" si="0"/>
        <v>130</v>
      </c>
      <c r="D58" s="24" t="s">
        <v>42</v>
      </c>
      <c r="E58" s="48" t="s">
        <v>182</v>
      </c>
    </row>
    <row r="59" spans="1:5" x14ac:dyDescent="0.2">
      <c r="A59" s="27">
        <v>650</v>
      </c>
      <c r="B59" s="65">
        <v>5</v>
      </c>
      <c r="C59" s="55">
        <f t="shared" si="0"/>
        <v>130</v>
      </c>
      <c r="D59" s="26" t="s">
        <v>73</v>
      </c>
      <c r="E59" s="49" t="s">
        <v>89</v>
      </c>
    </row>
    <row r="60" spans="1:5" x14ac:dyDescent="0.2">
      <c r="A60" s="25">
        <v>650</v>
      </c>
      <c r="B60" s="51">
        <v>6</v>
      </c>
      <c r="C60" s="55">
        <f t="shared" si="0"/>
        <v>108.33333333333333</v>
      </c>
      <c r="D60" s="24" t="s">
        <v>42</v>
      </c>
      <c r="E60" s="48" t="s">
        <v>89</v>
      </c>
    </row>
    <row r="61" spans="1:5" x14ac:dyDescent="0.2">
      <c r="A61" s="27">
        <v>1000</v>
      </c>
      <c r="B61" s="65">
        <v>5</v>
      </c>
      <c r="C61" s="55">
        <f t="shared" si="0"/>
        <v>200</v>
      </c>
      <c r="D61" s="26" t="s">
        <v>73</v>
      </c>
      <c r="E61" s="49" t="s">
        <v>182</v>
      </c>
    </row>
    <row r="62" spans="1:5" x14ac:dyDescent="0.2">
      <c r="A62" s="25">
        <v>1000</v>
      </c>
      <c r="B62" s="51">
        <v>3</v>
      </c>
      <c r="C62" s="55">
        <f t="shared" si="0"/>
        <v>333.33333333333331</v>
      </c>
      <c r="D62" s="24" t="s">
        <v>73</v>
      </c>
      <c r="E62" s="48" t="s">
        <v>182</v>
      </c>
    </row>
    <row r="63" spans="1:5" x14ac:dyDescent="0.2">
      <c r="A63" s="27">
        <v>7500</v>
      </c>
      <c r="B63" s="65">
        <v>6</v>
      </c>
      <c r="C63" s="55">
        <f t="shared" si="0"/>
        <v>1250</v>
      </c>
      <c r="D63" s="26" t="s">
        <v>73</v>
      </c>
      <c r="E63" s="49" t="s">
        <v>45</v>
      </c>
    </row>
    <row r="64" spans="1:5" x14ac:dyDescent="0.2">
      <c r="A64" s="25">
        <v>900</v>
      </c>
      <c r="B64" s="51">
        <v>3</v>
      </c>
      <c r="C64" s="55">
        <f t="shared" si="0"/>
        <v>300</v>
      </c>
      <c r="D64" s="24" t="s">
        <v>42</v>
      </c>
      <c r="E64" s="48" t="s">
        <v>89</v>
      </c>
    </row>
    <row r="65" spans="1:5" x14ac:dyDescent="0.2">
      <c r="A65" s="27">
        <v>5500</v>
      </c>
      <c r="B65" s="65">
        <v>4</v>
      </c>
      <c r="C65" s="55">
        <f t="shared" si="0"/>
        <v>1375</v>
      </c>
      <c r="D65" s="26" t="s">
        <v>73</v>
      </c>
      <c r="E65" s="49" t="s">
        <v>60</v>
      </c>
    </row>
    <row r="66" spans="1:5" x14ac:dyDescent="0.2">
      <c r="A66" s="25">
        <v>700</v>
      </c>
      <c r="B66" s="51">
        <v>5</v>
      </c>
      <c r="C66" s="55">
        <f t="shared" si="0"/>
        <v>140</v>
      </c>
      <c r="D66" s="24" t="s">
        <v>42</v>
      </c>
      <c r="E66" s="48" t="s">
        <v>182</v>
      </c>
    </row>
    <row r="67" spans="1:5" x14ac:dyDescent="0.2">
      <c r="A67" s="27">
        <v>1200</v>
      </c>
      <c r="B67" s="65">
        <v>6</v>
      </c>
      <c r="C67" s="55">
        <f t="shared" ref="C67:C130" si="1">A67/B67</f>
        <v>200</v>
      </c>
      <c r="D67" s="26" t="s">
        <v>73</v>
      </c>
      <c r="E67" s="49" t="s">
        <v>89</v>
      </c>
    </row>
    <row r="68" spans="1:5" x14ac:dyDescent="0.2">
      <c r="A68" s="25">
        <v>3200</v>
      </c>
      <c r="B68" s="51">
        <v>3</v>
      </c>
      <c r="C68" s="55">
        <f t="shared" si="1"/>
        <v>1066.6666666666667</v>
      </c>
      <c r="D68" s="24" t="s">
        <v>42</v>
      </c>
      <c r="E68" s="48" t="s">
        <v>109</v>
      </c>
    </row>
    <row r="69" spans="1:5" x14ac:dyDescent="0.2">
      <c r="A69" s="27">
        <v>4800</v>
      </c>
      <c r="B69" s="65">
        <v>4</v>
      </c>
      <c r="C69" s="55">
        <f t="shared" si="1"/>
        <v>1200</v>
      </c>
      <c r="D69" s="26" t="s">
        <v>73</v>
      </c>
      <c r="E69" s="49" t="s">
        <v>45</v>
      </c>
    </row>
    <row r="70" spans="1:5" x14ac:dyDescent="0.2">
      <c r="A70" s="25">
        <v>750</v>
      </c>
      <c r="B70" s="51">
        <v>4</v>
      </c>
      <c r="C70" s="55">
        <f t="shared" si="1"/>
        <v>187.5</v>
      </c>
      <c r="D70" s="24" t="s">
        <v>42</v>
      </c>
      <c r="E70" s="48" t="s">
        <v>182</v>
      </c>
    </row>
    <row r="71" spans="1:5" x14ac:dyDescent="0.2">
      <c r="A71" s="27">
        <v>10000</v>
      </c>
      <c r="B71" s="65">
        <v>5</v>
      </c>
      <c r="C71" s="55">
        <f t="shared" si="1"/>
        <v>2000</v>
      </c>
      <c r="D71" s="26" t="s">
        <v>73</v>
      </c>
      <c r="E71" s="49" t="s">
        <v>60</v>
      </c>
    </row>
    <row r="72" spans="1:5" x14ac:dyDescent="0.2">
      <c r="A72" s="25">
        <v>2300</v>
      </c>
      <c r="B72" s="51">
        <v>3</v>
      </c>
      <c r="C72" s="55">
        <f t="shared" si="1"/>
        <v>766.66666666666663</v>
      </c>
      <c r="D72" s="24" t="s">
        <v>42</v>
      </c>
      <c r="E72" s="48" t="s">
        <v>45</v>
      </c>
    </row>
    <row r="73" spans="1:5" x14ac:dyDescent="0.2">
      <c r="A73" s="27">
        <v>2000</v>
      </c>
      <c r="B73" s="65">
        <v>4</v>
      </c>
      <c r="C73" s="55">
        <f t="shared" si="1"/>
        <v>500</v>
      </c>
      <c r="D73" s="26" t="s">
        <v>73</v>
      </c>
      <c r="E73" s="49" t="s">
        <v>45</v>
      </c>
    </row>
    <row r="74" spans="1:5" x14ac:dyDescent="0.2">
      <c r="A74" s="25">
        <v>5000</v>
      </c>
      <c r="B74" s="51">
        <v>4</v>
      </c>
      <c r="C74" s="55">
        <f t="shared" si="1"/>
        <v>1250</v>
      </c>
      <c r="D74" s="24" t="s">
        <v>73</v>
      </c>
      <c r="E74" s="48" t="s">
        <v>45</v>
      </c>
    </row>
    <row r="75" spans="1:5" x14ac:dyDescent="0.2">
      <c r="A75" s="27">
        <v>1000</v>
      </c>
      <c r="B75" s="65">
        <v>5</v>
      </c>
      <c r="C75" s="55">
        <f t="shared" si="1"/>
        <v>200</v>
      </c>
      <c r="D75" s="26" t="s">
        <v>42</v>
      </c>
      <c r="E75" s="49" t="s">
        <v>182</v>
      </c>
    </row>
    <row r="76" spans="1:5" x14ac:dyDescent="0.2">
      <c r="A76" s="25">
        <v>9500</v>
      </c>
      <c r="B76" s="51">
        <v>6</v>
      </c>
      <c r="C76" s="55">
        <f t="shared" si="1"/>
        <v>1583.3333333333333</v>
      </c>
      <c r="D76" s="24" t="s">
        <v>73</v>
      </c>
      <c r="E76" s="48" t="s">
        <v>89</v>
      </c>
    </row>
    <row r="77" spans="1:5" x14ac:dyDescent="0.2">
      <c r="A77" s="27">
        <v>4800</v>
      </c>
      <c r="B77" s="65">
        <v>3</v>
      </c>
      <c r="C77" s="55">
        <f t="shared" si="1"/>
        <v>1600</v>
      </c>
      <c r="D77" s="26" t="s">
        <v>42</v>
      </c>
      <c r="E77" s="49" t="s">
        <v>60</v>
      </c>
    </row>
    <row r="78" spans="1:5" x14ac:dyDescent="0.2">
      <c r="A78" s="25">
        <v>14000</v>
      </c>
      <c r="B78" s="51">
        <v>4</v>
      </c>
      <c r="C78" s="55">
        <f t="shared" si="1"/>
        <v>3500</v>
      </c>
      <c r="D78" s="24" t="s">
        <v>73</v>
      </c>
      <c r="E78" s="48" t="s">
        <v>155</v>
      </c>
    </row>
    <row r="79" spans="1:5" x14ac:dyDescent="0.2">
      <c r="A79" s="27">
        <v>1500</v>
      </c>
      <c r="B79" s="65">
        <v>5</v>
      </c>
      <c r="C79" s="55">
        <f t="shared" si="1"/>
        <v>300</v>
      </c>
      <c r="D79" s="26" t="s">
        <v>42</v>
      </c>
      <c r="E79" s="49" t="s">
        <v>89</v>
      </c>
    </row>
    <row r="80" spans="1:5" x14ac:dyDescent="0.2">
      <c r="A80" s="25">
        <v>2000</v>
      </c>
      <c r="B80" s="51">
        <v>3</v>
      </c>
      <c r="C80" s="55">
        <f t="shared" si="1"/>
        <v>666.66666666666663</v>
      </c>
      <c r="D80" s="24" t="s">
        <v>73</v>
      </c>
      <c r="E80" s="48" t="s">
        <v>182</v>
      </c>
    </row>
    <row r="81" spans="1:5" x14ac:dyDescent="0.2">
      <c r="A81" s="27">
        <v>1200</v>
      </c>
      <c r="B81" s="65">
        <v>4</v>
      </c>
      <c r="C81" s="55">
        <f t="shared" si="1"/>
        <v>300</v>
      </c>
      <c r="D81" s="26" t="s">
        <v>73</v>
      </c>
      <c r="E81" s="49" t="s">
        <v>182</v>
      </c>
    </row>
    <row r="82" spans="1:5" x14ac:dyDescent="0.2">
      <c r="A82" s="25">
        <v>3200</v>
      </c>
      <c r="B82" s="51">
        <v>3</v>
      </c>
      <c r="C82" s="55">
        <f t="shared" si="1"/>
        <v>1066.6666666666667</v>
      </c>
      <c r="D82" s="24" t="s">
        <v>73</v>
      </c>
      <c r="E82" s="48" t="s">
        <v>60</v>
      </c>
    </row>
    <row r="83" spans="1:5" x14ac:dyDescent="0.2">
      <c r="A83" s="27">
        <v>900</v>
      </c>
      <c r="B83" s="65">
        <v>6</v>
      </c>
      <c r="C83" s="55">
        <f t="shared" si="1"/>
        <v>150</v>
      </c>
      <c r="D83" s="26" t="s">
        <v>42</v>
      </c>
      <c r="E83" s="49" t="s">
        <v>89</v>
      </c>
    </row>
    <row r="84" spans="1:5" x14ac:dyDescent="0.2">
      <c r="A84" s="25">
        <v>12000</v>
      </c>
      <c r="B84" s="51">
        <v>6</v>
      </c>
      <c r="C84" s="55">
        <f t="shared" si="1"/>
        <v>2000</v>
      </c>
      <c r="D84" s="24" t="s">
        <v>73</v>
      </c>
      <c r="E84" s="48" t="s">
        <v>45</v>
      </c>
    </row>
    <row r="85" spans="1:5" x14ac:dyDescent="0.2">
      <c r="A85" s="27">
        <v>650</v>
      </c>
      <c r="B85" s="65">
        <v>6</v>
      </c>
      <c r="C85" s="55">
        <f t="shared" si="1"/>
        <v>108.33333333333333</v>
      </c>
      <c r="D85" s="26" t="s">
        <v>42</v>
      </c>
      <c r="E85" s="49" t="s">
        <v>60</v>
      </c>
    </row>
    <row r="86" spans="1:5" x14ac:dyDescent="0.2">
      <c r="A86" s="25">
        <v>4200</v>
      </c>
      <c r="B86" s="51">
        <v>5</v>
      </c>
      <c r="C86" s="55">
        <f t="shared" si="1"/>
        <v>840</v>
      </c>
      <c r="D86" s="24" t="s">
        <v>73</v>
      </c>
      <c r="E86" s="48" t="s">
        <v>45</v>
      </c>
    </row>
    <row r="87" spans="1:5" x14ac:dyDescent="0.2">
      <c r="A87" s="27">
        <v>2600</v>
      </c>
      <c r="B87" s="65">
        <v>3</v>
      </c>
      <c r="C87" s="55">
        <f t="shared" si="1"/>
        <v>866.66666666666663</v>
      </c>
      <c r="D87" s="26" t="s">
        <v>42</v>
      </c>
      <c r="E87" s="49" t="s">
        <v>60</v>
      </c>
    </row>
    <row r="88" spans="1:5" x14ac:dyDescent="0.2">
      <c r="A88" s="25">
        <v>1100</v>
      </c>
      <c r="B88" s="51">
        <v>6</v>
      </c>
      <c r="C88" s="55">
        <f t="shared" si="1"/>
        <v>183.33333333333334</v>
      </c>
      <c r="D88" s="24" t="s">
        <v>73</v>
      </c>
      <c r="E88" s="48" t="s">
        <v>89</v>
      </c>
    </row>
    <row r="89" spans="1:5" x14ac:dyDescent="0.2">
      <c r="A89" s="27">
        <v>650</v>
      </c>
      <c r="B89" s="65">
        <v>4</v>
      </c>
      <c r="C89" s="55">
        <f t="shared" si="1"/>
        <v>162.5</v>
      </c>
      <c r="D89" s="26" t="s">
        <v>42</v>
      </c>
      <c r="E89" s="49" t="s">
        <v>182</v>
      </c>
    </row>
    <row r="90" spans="1:5" x14ac:dyDescent="0.2">
      <c r="A90" s="25">
        <v>3600</v>
      </c>
      <c r="B90" s="51">
        <v>3</v>
      </c>
      <c r="C90" s="55">
        <f t="shared" si="1"/>
        <v>1200</v>
      </c>
      <c r="D90" s="24" t="s">
        <v>73</v>
      </c>
      <c r="E90" s="48" t="s">
        <v>45</v>
      </c>
    </row>
    <row r="91" spans="1:5" x14ac:dyDescent="0.2">
      <c r="A91" s="27">
        <v>1300</v>
      </c>
      <c r="B91" s="65">
        <v>5</v>
      </c>
      <c r="C91" s="55">
        <f t="shared" si="1"/>
        <v>260</v>
      </c>
      <c r="D91" s="26" t="s">
        <v>73</v>
      </c>
      <c r="E91" s="49" t="s">
        <v>89</v>
      </c>
    </row>
    <row r="92" spans="1:5" x14ac:dyDescent="0.2">
      <c r="A92" s="25">
        <v>650</v>
      </c>
      <c r="B92" s="51">
        <v>4</v>
      </c>
      <c r="C92" s="55">
        <f t="shared" si="1"/>
        <v>162.5</v>
      </c>
      <c r="D92" s="24" t="s">
        <v>42</v>
      </c>
      <c r="E92" s="48" t="s">
        <v>89</v>
      </c>
    </row>
    <row r="93" spans="1:5" x14ac:dyDescent="0.2">
      <c r="A93" s="27">
        <v>3800</v>
      </c>
      <c r="B93" s="65">
        <v>3</v>
      </c>
      <c r="C93" s="55">
        <f t="shared" si="1"/>
        <v>1266.6666666666667</v>
      </c>
      <c r="D93" s="26" t="s">
        <v>73</v>
      </c>
      <c r="E93" s="49" t="s">
        <v>45</v>
      </c>
    </row>
    <row r="94" spans="1:5" x14ac:dyDescent="0.2">
      <c r="A94" s="25">
        <v>720</v>
      </c>
      <c r="B94" s="51">
        <v>4</v>
      </c>
      <c r="C94" s="55">
        <f t="shared" si="1"/>
        <v>180</v>
      </c>
      <c r="D94" s="24" t="s">
        <v>42</v>
      </c>
      <c r="E94" s="48" t="s">
        <v>89</v>
      </c>
    </row>
    <row r="95" spans="1:5" x14ac:dyDescent="0.2">
      <c r="A95" s="27">
        <v>2300</v>
      </c>
      <c r="B95" s="65">
        <v>3</v>
      </c>
      <c r="C95" s="55">
        <f t="shared" si="1"/>
        <v>766.66666666666663</v>
      </c>
      <c r="D95" s="26" t="s">
        <v>42</v>
      </c>
      <c r="E95" s="49" t="s">
        <v>45</v>
      </c>
    </row>
    <row r="96" spans="1:5" x14ac:dyDescent="0.2">
      <c r="A96" s="25">
        <v>1200</v>
      </c>
      <c r="B96" s="51">
        <v>5</v>
      </c>
      <c r="C96" s="55">
        <f t="shared" si="1"/>
        <v>240</v>
      </c>
      <c r="D96" s="24" t="s">
        <v>73</v>
      </c>
      <c r="E96" s="48" t="s">
        <v>89</v>
      </c>
    </row>
    <row r="97" spans="1:5" x14ac:dyDescent="0.2">
      <c r="A97" s="27">
        <v>600</v>
      </c>
      <c r="B97" s="65">
        <v>4</v>
      </c>
      <c r="C97" s="55">
        <f t="shared" si="1"/>
        <v>150</v>
      </c>
      <c r="D97" s="26" t="s">
        <v>42</v>
      </c>
      <c r="E97" s="49" t="s">
        <v>182</v>
      </c>
    </row>
    <row r="98" spans="1:5" x14ac:dyDescent="0.2">
      <c r="A98" s="25">
        <v>8200</v>
      </c>
      <c r="B98" s="51">
        <v>6</v>
      </c>
      <c r="C98" s="55">
        <f t="shared" si="1"/>
        <v>1366.6666666666667</v>
      </c>
      <c r="D98" s="24" t="s">
        <v>73</v>
      </c>
      <c r="E98" s="48" t="s">
        <v>45</v>
      </c>
    </row>
    <row r="99" spans="1:5" x14ac:dyDescent="0.2">
      <c r="A99" s="27">
        <v>9000</v>
      </c>
      <c r="B99" s="65">
        <v>6</v>
      </c>
      <c r="C99" s="55">
        <f t="shared" si="1"/>
        <v>1500</v>
      </c>
      <c r="D99" s="26" t="s">
        <v>73</v>
      </c>
      <c r="E99" s="49" t="s">
        <v>60</v>
      </c>
    </row>
    <row r="100" spans="1:5" x14ac:dyDescent="0.2">
      <c r="A100" s="25">
        <v>2400</v>
      </c>
      <c r="B100" s="51">
        <v>3</v>
      </c>
      <c r="C100" s="55">
        <f t="shared" si="1"/>
        <v>800</v>
      </c>
      <c r="D100" s="24" t="s">
        <v>42</v>
      </c>
      <c r="E100" s="48" t="s">
        <v>45</v>
      </c>
    </row>
    <row r="101" spans="1:5" x14ac:dyDescent="0.2">
      <c r="A101" s="27">
        <v>7000</v>
      </c>
      <c r="B101" s="65">
        <v>6</v>
      </c>
      <c r="C101" s="55">
        <f t="shared" si="1"/>
        <v>1166.6666666666667</v>
      </c>
      <c r="D101" s="26" t="s">
        <v>73</v>
      </c>
      <c r="E101" s="49" t="s">
        <v>89</v>
      </c>
    </row>
    <row r="102" spans="1:5" x14ac:dyDescent="0.2">
      <c r="A102" s="25">
        <v>700</v>
      </c>
      <c r="B102" s="51">
        <v>4</v>
      </c>
      <c r="C102" s="55">
        <f t="shared" si="1"/>
        <v>175</v>
      </c>
      <c r="D102" s="24" t="s">
        <v>42</v>
      </c>
      <c r="E102" s="48" t="s">
        <v>182</v>
      </c>
    </row>
    <row r="103" spans="1:5" x14ac:dyDescent="0.2">
      <c r="A103" s="27">
        <v>4300</v>
      </c>
      <c r="B103" s="65">
        <v>3</v>
      </c>
      <c r="C103" s="55">
        <f t="shared" si="1"/>
        <v>1433.3333333333333</v>
      </c>
      <c r="D103" s="26" t="s">
        <v>73</v>
      </c>
      <c r="E103" s="49" t="s">
        <v>45</v>
      </c>
    </row>
    <row r="104" spans="1:5" x14ac:dyDescent="0.2">
      <c r="A104" s="25">
        <v>3400</v>
      </c>
      <c r="B104" s="51">
        <v>5</v>
      </c>
      <c r="C104" s="55">
        <f t="shared" si="1"/>
        <v>680</v>
      </c>
      <c r="D104" s="24" t="s">
        <v>73</v>
      </c>
      <c r="E104" s="48" t="s">
        <v>45</v>
      </c>
    </row>
    <row r="105" spans="1:5" x14ac:dyDescent="0.2">
      <c r="A105" s="27">
        <v>600</v>
      </c>
      <c r="B105" s="65">
        <v>4</v>
      </c>
      <c r="C105" s="55">
        <f t="shared" si="1"/>
        <v>150</v>
      </c>
      <c r="D105" s="26" t="s">
        <v>42</v>
      </c>
      <c r="E105" s="49" t="s">
        <v>89</v>
      </c>
    </row>
    <row r="106" spans="1:5" x14ac:dyDescent="0.2">
      <c r="A106" s="25">
        <v>4800</v>
      </c>
      <c r="B106" s="51">
        <v>5</v>
      </c>
      <c r="C106" s="55">
        <f t="shared" si="1"/>
        <v>960</v>
      </c>
      <c r="D106" s="24" t="s">
        <v>73</v>
      </c>
      <c r="E106" s="48" t="s">
        <v>45</v>
      </c>
    </row>
    <row r="107" spans="1:5" x14ac:dyDescent="0.2">
      <c r="A107" s="27">
        <v>5800</v>
      </c>
      <c r="B107" s="65">
        <v>5</v>
      </c>
      <c r="C107" s="55">
        <f t="shared" si="1"/>
        <v>1160</v>
      </c>
      <c r="D107" s="26" t="s">
        <v>73</v>
      </c>
      <c r="E107" s="49" t="s">
        <v>89</v>
      </c>
    </row>
    <row r="108" spans="1:5" x14ac:dyDescent="0.2">
      <c r="A108" s="25">
        <v>750</v>
      </c>
      <c r="B108" s="51">
        <v>4</v>
      </c>
      <c r="C108" s="55">
        <f t="shared" si="1"/>
        <v>187.5</v>
      </c>
      <c r="D108" s="24" t="s">
        <v>42</v>
      </c>
      <c r="E108" s="48" t="s">
        <v>45</v>
      </c>
    </row>
    <row r="109" spans="1:5" x14ac:dyDescent="0.2">
      <c r="A109" s="27">
        <v>1100</v>
      </c>
      <c r="B109" s="65">
        <v>3</v>
      </c>
      <c r="C109" s="55">
        <f t="shared" si="1"/>
        <v>366.66666666666669</v>
      </c>
      <c r="D109" s="26" t="s">
        <v>42</v>
      </c>
      <c r="E109" s="49" t="s">
        <v>45</v>
      </c>
    </row>
    <row r="110" spans="1:5" x14ac:dyDescent="0.2">
      <c r="A110" s="25">
        <v>8500</v>
      </c>
      <c r="B110" s="51">
        <v>6</v>
      </c>
      <c r="C110" s="55">
        <f t="shared" si="1"/>
        <v>1416.6666666666667</v>
      </c>
      <c r="D110" s="24" t="s">
        <v>73</v>
      </c>
      <c r="E110" s="48" t="s">
        <v>89</v>
      </c>
    </row>
    <row r="111" spans="1:5" x14ac:dyDescent="0.2">
      <c r="A111" s="27">
        <v>9500</v>
      </c>
      <c r="B111" s="65">
        <v>6</v>
      </c>
      <c r="C111" s="55">
        <f t="shared" si="1"/>
        <v>1583.3333333333333</v>
      </c>
      <c r="D111" s="26" t="s">
        <v>73</v>
      </c>
      <c r="E111" s="49" t="s">
        <v>60</v>
      </c>
    </row>
    <row r="112" spans="1:5" x14ac:dyDescent="0.2">
      <c r="A112" s="25">
        <v>2500</v>
      </c>
      <c r="B112" s="51">
        <v>3</v>
      </c>
      <c r="C112" s="55">
        <f t="shared" si="1"/>
        <v>833.33333333333337</v>
      </c>
      <c r="D112" s="24" t="s">
        <v>42</v>
      </c>
      <c r="E112" s="48" t="s">
        <v>45</v>
      </c>
    </row>
    <row r="113" spans="1:5" x14ac:dyDescent="0.2">
      <c r="A113" s="27">
        <v>700</v>
      </c>
      <c r="B113" s="65">
        <v>4</v>
      </c>
      <c r="C113" s="55">
        <f t="shared" si="1"/>
        <v>175</v>
      </c>
      <c r="D113" s="26" t="s">
        <v>42</v>
      </c>
      <c r="E113" s="49" t="s">
        <v>182</v>
      </c>
    </row>
    <row r="114" spans="1:5" x14ac:dyDescent="0.2">
      <c r="A114" s="25">
        <v>5500</v>
      </c>
      <c r="B114" s="51">
        <v>4</v>
      </c>
      <c r="C114" s="55">
        <f t="shared" si="1"/>
        <v>1375</v>
      </c>
      <c r="D114" s="24" t="s">
        <v>73</v>
      </c>
      <c r="E114" s="48" t="s">
        <v>60</v>
      </c>
    </row>
    <row r="115" spans="1:5" x14ac:dyDescent="0.2">
      <c r="A115" s="27">
        <v>650</v>
      </c>
      <c r="B115" s="65">
        <v>3</v>
      </c>
      <c r="C115" s="55">
        <f t="shared" si="1"/>
        <v>216.66666666666666</v>
      </c>
      <c r="D115" s="26" t="s">
        <v>42</v>
      </c>
      <c r="E115" s="49" t="s">
        <v>89</v>
      </c>
    </row>
    <row r="116" spans="1:5" x14ac:dyDescent="0.2">
      <c r="A116" s="25">
        <v>5200</v>
      </c>
      <c r="B116" s="51">
        <v>5</v>
      </c>
      <c r="C116" s="55">
        <f t="shared" si="1"/>
        <v>1040</v>
      </c>
      <c r="D116" s="24" t="s">
        <v>73</v>
      </c>
      <c r="E116" s="48" t="s">
        <v>109</v>
      </c>
    </row>
    <row r="117" spans="1:5" x14ac:dyDescent="0.2">
      <c r="A117" s="27">
        <v>650</v>
      </c>
      <c r="B117" s="65">
        <v>6</v>
      </c>
      <c r="C117" s="55">
        <f t="shared" si="1"/>
        <v>108.33333333333333</v>
      </c>
      <c r="D117" s="26" t="s">
        <v>42</v>
      </c>
      <c r="E117" s="49" t="s">
        <v>89</v>
      </c>
    </row>
    <row r="118" spans="1:5" x14ac:dyDescent="0.2">
      <c r="A118" s="25">
        <v>8200</v>
      </c>
      <c r="B118" s="51">
        <v>4</v>
      </c>
      <c r="C118" s="55">
        <f t="shared" si="1"/>
        <v>2050</v>
      </c>
      <c r="D118" s="24" t="s">
        <v>73</v>
      </c>
      <c r="E118" s="48" t="s">
        <v>155</v>
      </c>
    </row>
    <row r="119" spans="1:5" x14ac:dyDescent="0.2">
      <c r="A119" s="27">
        <v>1400</v>
      </c>
      <c r="B119" s="65">
        <v>3</v>
      </c>
      <c r="C119" s="55">
        <f t="shared" si="1"/>
        <v>466.66666666666669</v>
      </c>
      <c r="D119" s="26" t="s">
        <v>73</v>
      </c>
      <c r="E119" s="49" t="s">
        <v>45</v>
      </c>
    </row>
    <row r="120" spans="1:5" x14ac:dyDescent="0.2">
      <c r="A120" s="25">
        <v>600</v>
      </c>
      <c r="B120" s="51">
        <v>4</v>
      </c>
      <c r="C120" s="55">
        <f t="shared" si="1"/>
        <v>150</v>
      </c>
      <c r="D120" s="24" t="s">
        <v>42</v>
      </c>
      <c r="E120" s="48" t="s">
        <v>89</v>
      </c>
    </row>
    <row r="121" spans="1:5" x14ac:dyDescent="0.2">
      <c r="A121" s="27">
        <v>750</v>
      </c>
      <c r="B121" s="65">
        <v>5</v>
      </c>
      <c r="C121" s="55">
        <f t="shared" si="1"/>
        <v>150</v>
      </c>
      <c r="D121" s="26" t="s">
        <v>42</v>
      </c>
      <c r="E121" s="49" t="s">
        <v>89</v>
      </c>
    </row>
    <row r="122" spans="1:5" x14ac:dyDescent="0.2">
      <c r="A122" s="25">
        <v>20000</v>
      </c>
      <c r="B122" s="51">
        <v>5</v>
      </c>
      <c r="C122" s="55">
        <f t="shared" si="1"/>
        <v>4000</v>
      </c>
      <c r="D122" s="24" t="s">
        <v>73</v>
      </c>
      <c r="E122" s="48" t="s">
        <v>89</v>
      </c>
    </row>
    <row r="123" spans="1:5" x14ac:dyDescent="0.2">
      <c r="A123" s="27">
        <v>3000</v>
      </c>
      <c r="B123" s="65">
        <v>4</v>
      </c>
      <c r="C123" s="55">
        <f t="shared" si="1"/>
        <v>750</v>
      </c>
      <c r="D123" s="26" t="s">
        <v>73</v>
      </c>
      <c r="E123" s="49" t="s">
        <v>182</v>
      </c>
    </row>
    <row r="124" spans="1:5" x14ac:dyDescent="0.2">
      <c r="A124" s="28">
        <v>950</v>
      </c>
      <c r="B124" s="51">
        <v>4</v>
      </c>
      <c r="C124" s="55">
        <f t="shared" si="1"/>
        <v>237.5</v>
      </c>
      <c r="D124" s="24" t="s">
        <v>73</v>
      </c>
      <c r="E124" s="48" t="s">
        <v>89</v>
      </c>
    </row>
    <row r="125" spans="1:5" x14ac:dyDescent="0.2">
      <c r="A125" s="27">
        <v>5600</v>
      </c>
      <c r="B125" s="65">
        <v>6</v>
      </c>
      <c r="C125" s="55">
        <f t="shared" si="1"/>
        <v>933.33333333333337</v>
      </c>
      <c r="D125" s="26" t="s">
        <v>73</v>
      </c>
      <c r="E125" s="49" t="s">
        <v>45</v>
      </c>
    </row>
    <row r="126" spans="1:5" x14ac:dyDescent="0.2">
      <c r="A126" s="25">
        <v>580</v>
      </c>
      <c r="B126" s="51">
        <v>3</v>
      </c>
      <c r="C126" s="55">
        <f t="shared" si="1"/>
        <v>193.33333333333334</v>
      </c>
      <c r="D126" s="24" t="s">
        <v>42</v>
      </c>
      <c r="E126" s="48" t="s">
        <v>182</v>
      </c>
    </row>
    <row r="127" spans="1:5" x14ac:dyDescent="0.2">
      <c r="A127" s="27">
        <v>7100</v>
      </c>
      <c r="B127" s="65">
        <v>4</v>
      </c>
      <c r="C127" s="55">
        <f t="shared" si="1"/>
        <v>1775</v>
      </c>
      <c r="D127" s="26" t="s">
        <v>73</v>
      </c>
      <c r="E127" s="49" t="s">
        <v>60</v>
      </c>
    </row>
    <row r="128" spans="1:5" x14ac:dyDescent="0.2">
      <c r="A128" s="25">
        <v>650</v>
      </c>
      <c r="B128" s="51">
        <v>5</v>
      </c>
      <c r="C128" s="55">
        <f t="shared" si="1"/>
        <v>130</v>
      </c>
      <c r="D128" s="24" t="s">
        <v>42</v>
      </c>
      <c r="E128" s="48" t="s">
        <v>89</v>
      </c>
    </row>
    <row r="129" spans="1:5" x14ac:dyDescent="0.2">
      <c r="A129" s="27">
        <v>5200</v>
      </c>
      <c r="B129" s="65">
        <v>7</v>
      </c>
      <c r="C129" s="55">
        <f t="shared" si="1"/>
        <v>742.85714285714289</v>
      </c>
      <c r="D129" s="26" t="s">
        <v>73</v>
      </c>
      <c r="E129" s="49" t="s">
        <v>89</v>
      </c>
    </row>
    <row r="130" spans="1:5" x14ac:dyDescent="0.2">
      <c r="A130" s="25">
        <v>500</v>
      </c>
      <c r="B130" s="51">
        <v>4</v>
      </c>
      <c r="C130" s="55">
        <f t="shared" si="1"/>
        <v>125</v>
      </c>
      <c r="D130" s="24" t="s">
        <v>42</v>
      </c>
      <c r="E130" s="48" t="s">
        <v>182</v>
      </c>
    </row>
    <row r="131" spans="1:5" x14ac:dyDescent="0.2">
      <c r="A131" s="27">
        <v>10200</v>
      </c>
      <c r="B131" s="65">
        <v>3</v>
      </c>
      <c r="C131" s="55">
        <f t="shared" ref="C131:C194" si="2">A131/B131</f>
        <v>3400</v>
      </c>
      <c r="D131" s="26" t="s">
        <v>73</v>
      </c>
      <c r="E131" s="49" t="s">
        <v>155</v>
      </c>
    </row>
    <row r="132" spans="1:5" x14ac:dyDescent="0.2">
      <c r="A132" s="25">
        <v>720</v>
      </c>
      <c r="B132" s="51">
        <v>5</v>
      </c>
      <c r="C132" s="55">
        <f t="shared" si="2"/>
        <v>144</v>
      </c>
      <c r="D132" s="24" t="s">
        <v>42</v>
      </c>
      <c r="E132" s="48" t="s">
        <v>182</v>
      </c>
    </row>
    <row r="133" spans="1:5" x14ac:dyDescent="0.2">
      <c r="A133" s="27">
        <v>900</v>
      </c>
      <c r="B133" s="65">
        <v>6</v>
      </c>
      <c r="C133" s="55">
        <f t="shared" si="2"/>
        <v>150</v>
      </c>
      <c r="D133" s="26" t="s">
        <v>73</v>
      </c>
      <c r="E133" s="49" t="s">
        <v>89</v>
      </c>
    </row>
    <row r="134" spans="1:5" x14ac:dyDescent="0.2">
      <c r="A134" s="25">
        <v>780</v>
      </c>
      <c r="B134" s="51">
        <v>4</v>
      </c>
      <c r="C134" s="55">
        <f t="shared" si="2"/>
        <v>195</v>
      </c>
      <c r="D134" s="24" t="s">
        <v>42</v>
      </c>
      <c r="E134" s="48" t="s">
        <v>45</v>
      </c>
    </row>
    <row r="135" spans="1:5" x14ac:dyDescent="0.2">
      <c r="A135" s="27">
        <v>4800</v>
      </c>
      <c r="B135" s="65">
        <v>5</v>
      </c>
      <c r="C135" s="55">
        <f t="shared" si="2"/>
        <v>960</v>
      </c>
      <c r="D135" s="26" t="s">
        <v>73</v>
      </c>
      <c r="E135" s="49" t="s">
        <v>45</v>
      </c>
    </row>
    <row r="136" spans="1:5" x14ac:dyDescent="0.2">
      <c r="A136" s="25">
        <v>850</v>
      </c>
      <c r="B136" s="51">
        <v>4</v>
      </c>
      <c r="C136" s="55">
        <f t="shared" si="2"/>
        <v>212.5</v>
      </c>
      <c r="D136" s="24" t="s">
        <v>42</v>
      </c>
      <c r="E136" s="48" t="s">
        <v>182</v>
      </c>
    </row>
    <row r="137" spans="1:5" x14ac:dyDescent="0.2">
      <c r="A137" s="27">
        <v>6400</v>
      </c>
      <c r="B137" s="65">
        <v>6</v>
      </c>
      <c r="C137" s="55">
        <f t="shared" si="2"/>
        <v>1066.6666666666667</v>
      </c>
      <c r="D137" s="26" t="s">
        <v>73</v>
      </c>
      <c r="E137" s="49" t="s">
        <v>45</v>
      </c>
    </row>
    <row r="138" spans="1:5" x14ac:dyDescent="0.2">
      <c r="A138" s="25">
        <v>800</v>
      </c>
      <c r="B138" s="51">
        <v>3</v>
      </c>
      <c r="C138" s="55">
        <f t="shared" si="2"/>
        <v>266.66666666666669</v>
      </c>
      <c r="D138" s="24" t="s">
        <v>42</v>
      </c>
      <c r="E138" s="48" t="s">
        <v>89</v>
      </c>
    </row>
    <row r="139" spans="1:5" x14ac:dyDescent="0.2">
      <c r="A139" s="27">
        <v>4900</v>
      </c>
      <c r="B139" s="65">
        <v>5</v>
      </c>
      <c r="C139" s="55">
        <f t="shared" si="2"/>
        <v>980</v>
      </c>
      <c r="D139" s="26" t="s">
        <v>73</v>
      </c>
      <c r="E139" s="49" t="s">
        <v>60</v>
      </c>
    </row>
    <row r="140" spans="1:5" x14ac:dyDescent="0.2">
      <c r="A140" s="25">
        <v>720</v>
      </c>
      <c r="B140" s="51">
        <v>6</v>
      </c>
      <c r="C140" s="55">
        <f t="shared" si="2"/>
        <v>120</v>
      </c>
      <c r="D140" s="24" t="s">
        <v>42</v>
      </c>
      <c r="E140" s="48" t="s">
        <v>182</v>
      </c>
    </row>
    <row r="141" spans="1:5" x14ac:dyDescent="0.2">
      <c r="A141" s="27">
        <v>9900</v>
      </c>
      <c r="B141" s="65">
        <v>4</v>
      </c>
      <c r="C141" s="55">
        <f t="shared" si="2"/>
        <v>2475</v>
      </c>
      <c r="D141" s="26" t="s">
        <v>73</v>
      </c>
      <c r="E141" s="49" t="s">
        <v>155</v>
      </c>
    </row>
    <row r="142" spans="1:5" x14ac:dyDescent="0.2">
      <c r="A142" s="25">
        <v>650</v>
      </c>
      <c r="B142" s="51">
        <v>3</v>
      </c>
      <c r="C142" s="55">
        <f t="shared" si="2"/>
        <v>216.66666666666666</v>
      </c>
      <c r="D142" s="24" t="s">
        <v>42</v>
      </c>
      <c r="E142" s="48" t="s">
        <v>182</v>
      </c>
    </row>
    <row r="143" spans="1:5" x14ac:dyDescent="0.2">
      <c r="A143" s="27">
        <v>990</v>
      </c>
      <c r="B143" s="65">
        <v>5</v>
      </c>
      <c r="C143" s="55">
        <f t="shared" si="2"/>
        <v>198</v>
      </c>
      <c r="D143" s="26" t="s">
        <v>73</v>
      </c>
      <c r="E143" s="49" t="s">
        <v>45</v>
      </c>
    </row>
    <row r="144" spans="1:5" x14ac:dyDescent="0.2">
      <c r="A144" s="25">
        <v>600</v>
      </c>
      <c r="B144" s="51">
        <v>4</v>
      </c>
      <c r="C144" s="55">
        <f t="shared" si="2"/>
        <v>150</v>
      </c>
      <c r="D144" s="24" t="s">
        <v>42</v>
      </c>
      <c r="E144" s="48" t="s">
        <v>89</v>
      </c>
    </row>
    <row r="145" spans="1:5" x14ac:dyDescent="0.2">
      <c r="A145" s="27">
        <v>5000</v>
      </c>
      <c r="B145" s="65">
        <v>4</v>
      </c>
      <c r="C145" s="55">
        <f t="shared" si="2"/>
        <v>1250</v>
      </c>
      <c r="D145" s="26" t="s">
        <v>42</v>
      </c>
      <c r="E145" s="49" t="s">
        <v>45</v>
      </c>
    </row>
    <row r="146" spans="1:5" x14ac:dyDescent="0.2">
      <c r="A146" s="25">
        <v>1000</v>
      </c>
      <c r="B146" s="51">
        <v>4</v>
      </c>
      <c r="C146" s="55">
        <f t="shared" si="2"/>
        <v>250</v>
      </c>
      <c r="D146" s="24" t="s">
        <v>42</v>
      </c>
      <c r="E146" s="48" t="s">
        <v>89</v>
      </c>
    </row>
    <row r="147" spans="1:5" x14ac:dyDescent="0.2">
      <c r="A147" s="27">
        <v>1000</v>
      </c>
      <c r="B147" s="65">
        <v>6</v>
      </c>
      <c r="C147" s="55">
        <f t="shared" si="2"/>
        <v>166.66666666666666</v>
      </c>
      <c r="D147" s="26" t="s">
        <v>42</v>
      </c>
      <c r="E147" s="49" t="s">
        <v>89</v>
      </c>
    </row>
    <row r="148" spans="1:5" x14ac:dyDescent="0.2">
      <c r="A148" s="25">
        <v>15000</v>
      </c>
      <c r="B148" s="51">
        <v>4</v>
      </c>
      <c r="C148" s="55">
        <f t="shared" si="2"/>
        <v>3750</v>
      </c>
      <c r="D148" s="24" t="s">
        <v>42</v>
      </c>
      <c r="E148" s="48" t="s">
        <v>89</v>
      </c>
    </row>
    <row r="149" spans="1:5" x14ac:dyDescent="0.2">
      <c r="A149" s="27">
        <v>4200</v>
      </c>
      <c r="B149" s="65">
        <v>4</v>
      </c>
      <c r="C149" s="55">
        <f t="shared" si="2"/>
        <v>1050</v>
      </c>
      <c r="D149" s="26" t="s">
        <v>73</v>
      </c>
      <c r="E149" s="49" t="s">
        <v>89</v>
      </c>
    </row>
    <row r="150" spans="1:5" x14ac:dyDescent="0.2">
      <c r="A150" s="25">
        <v>700</v>
      </c>
      <c r="B150" s="51">
        <v>3</v>
      </c>
      <c r="C150" s="55">
        <f t="shared" si="2"/>
        <v>233.33333333333334</v>
      </c>
      <c r="D150" s="24" t="s">
        <v>42</v>
      </c>
      <c r="E150" s="48" t="s">
        <v>182</v>
      </c>
    </row>
    <row r="151" spans="1:5" x14ac:dyDescent="0.2">
      <c r="A151" s="27">
        <v>4200</v>
      </c>
      <c r="B151" s="65">
        <v>5</v>
      </c>
      <c r="C151" s="55">
        <f t="shared" si="2"/>
        <v>840</v>
      </c>
      <c r="D151" s="26" t="s">
        <v>73</v>
      </c>
      <c r="E151" s="49" t="s">
        <v>45</v>
      </c>
    </row>
    <row r="152" spans="1:5" x14ac:dyDescent="0.2">
      <c r="A152" s="25">
        <v>5200</v>
      </c>
      <c r="B152" s="51">
        <v>4</v>
      </c>
      <c r="C152" s="55">
        <f t="shared" si="2"/>
        <v>1300</v>
      </c>
      <c r="D152" s="24" t="s">
        <v>73</v>
      </c>
      <c r="E152" s="48" t="s">
        <v>60</v>
      </c>
    </row>
    <row r="153" spans="1:5" x14ac:dyDescent="0.2">
      <c r="A153" s="27">
        <v>600</v>
      </c>
      <c r="B153" s="65">
        <v>5</v>
      </c>
      <c r="C153" s="55">
        <f t="shared" si="2"/>
        <v>120</v>
      </c>
      <c r="D153" s="26" t="s">
        <v>42</v>
      </c>
      <c r="E153" s="49" t="s">
        <v>182</v>
      </c>
    </row>
    <row r="154" spans="1:5" x14ac:dyDescent="0.2">
      <c r="A154" s="25">
        <v>9500</v>
      </c>
      <c r="B154" s="51">
        <v>7</v>
      </c>
      <c r="C154" s="55">
        <f t="shared" si="2"/>
        <v>1357.1428571428571</v>
      </c>
      <c r="D154" s="24" t="s">
        <v>73</v>
      </c>
      <c r="E154" s="48" t="s">
        <v>45</v>
      </c>
    </row>
    <row r="155" spans="1:5" x14ac:dyDescent="0.2">
      <c r="A155" s="27">
        <v>600</v>
      </c>
      <c r="B155" s="65">
        <v>4</v>
      </c>
      <c r="C155" s="55">
        <f t="shared" si="2"/>
        <v>150</v>
      </c>
      <c r="D155" s="26" t="s">
        <v>42</v>
      </c>
      <c r="E155" s="49" t="s">
        <v>182</v>
      </c>
    </row>
    <row r="156" spans="1:5" x14ac:dyDescent="0.2">
      <c r="A156" s="25">
        <v>4900</v>
      </c>
      <c r="B156" s="51">
        <v>4</v>
      </c>
      <c r="C156" s="55">
        <f t="shared" si="2"/>
        <v>1225</v>
      </c>
      <c r="D156" s="24" t="s">
        <v>73</v>
      </c>
      <c r="E156" s="48" t="s">
        <v>109</v>
      </c>
    </row>
    <row r="157" spans="1:5" x14ac:dyDescent="0.2">
      <c r="A157" s="27">
        <v>650</v>
      </c>
      <c r="B157" s="65">
        <v>5</v>
      </c>
      <c r="C157" s="55">
        <f t="shared" si="2"/>
        <v>130</v>
      </c>
      <c r="D157" s="26" t="s">
        <v>73</v>
      </c>
      <c r="E157" s="49" t="s">
        <v>89</v>
      </c>
    </row>
    <row r="158" spans="1:5" x14ac:dyDescent="0.2">
      <c r="A158" s="25">
        <v>1700</v>
      </c>
      <c r="B158" s="51">
        <v>3</v>
      </c>
      <c r="C158" s="55">
        <f t="shared" si="2"/>
        <v>566.66666666666663</v>
      </c>
      <c r="D158" s="24" t="s">
        <v>73</v>
      </c>
      <c r="E158" s="48" t="s">
        <v>45</v>
      </c>
    </row>
    <row r="159" spans="1:5" x14ac:dyDescent="0.2">
      <c r="A159" s="27">
        <v>3800</v>
      </c>
      <c r="B159" s="65">
        <v>4</v>
      </c>
      <c r="C159" s="55">
        <f t="shared" si="2"/>
        <v>950</v>
      </c>
      <c r="D159" s="26" t="s">
        <v>42</v>
      </c>
      <c r="E159" s="49" t="s">
        <v>45</v>
      </c>
    </row>
    <row r="160" spans="1:5" x14ac:dyDescent="0.2">
      <c r="A160" s="25">
        <v>8700</v>
      </c>
      <c r="B160" s="51">
        <v>6</v>
      </c>
      <c r="C160" s="55">
        <f t="shared" si="2"/>
        <v>1450</v>
      </c>
      <c r="D160" s="24" t="s">
        <v>73</v>
      </c>
      <c r="E160" s="48" t="s">
        <v>45</v>
      </c>
    </row>
    <row r="161" spans="1:5" x14ac:dyDescent="0.2">
      <c r="A161" s="27">
        <v>500</v>
      </c>
      <c r="B161" s="65">
        <v>4</v>
      </c>
      <c r="C161" s="55">
        <f t="shared" si="2"/>
        <v>125</v>
      </c>
      <c r="D161" s="26" t="s">
        <v>42</v>
      </c>
      <c r="E161" s="49" t="s">
        <v>182</v>
      </c>
    </row>
    <row r="162" spans="1:5" x14ac:dyDescent="0.2">
      <c r="A162" s="25">
        <v>4200</v>
      </c>
      <c r="B162" s="51">
        <v>4</v>
      </c>
      <c r="C162" s="55">
        <f t="shared" si="2"/>
        <v>1050</v>
      </c>
      <c r="D162" s="24" t="s">
        <v>73</v>
      </c>
      <c r="E162" s="48" t="s">
        <v>89</v>
      </c>
    </row>
    <row r="163" spans="1:5" x14ac:dyDescent="0.2">
      <c r="A163" s="27">
        <v>1000</v>
      </c>
      <c r="B163" s="65">
        <v>3</v>
      </c>
      <c r="C163" s="55">
        <f t="shared" si="2"/>
        <v>333.33333333333331</v>
      </c>
      <c r="D163" s="26" t="s">
        <v>42</v>
      </c>
      <c r="E163" s="49" t="s">
        <v>182</v>
      </c>
    </row>
    <row r="164" spans="1:5" x14ac:dyDescent="0.2">
      <c r="A164" s="25">
        <v>4800</v>
      </c>
      <c r="B164" s="51">
        <v>5</v>
      </c>
      <c r="C164" s="55">
        <f t="shared" si="2"/>
        <v>960</v>
      </c>
      <c r="D164" s="24" t="s">
        <v>73</v>
      </c>
      <c r="E164" s="48" t="s">
        <v>45</v>
      </c>
    </row>
    <row r="165" spans="1:5" x14ac:dyDescent="0.2">
      <c r="A165" s="27">
        <v>900</v>
      </c>
      <c r="B165" s="65">
        <v>4</v>
      </c>
      <c r="C165" s="55">
        <f t="shared" si="2"/>
        <v>225</v>
      </c>
      <c r="D165" s="26" t="s">
        <v>42</v>
      </c>
      <c r="E165" s="49" t="s">
        <v>182</v>
      </c>
    </row>
    <row r="166" spans="1:5" x14ac:dyDescent="0.2">
      <c r="A166" s="25">
        <v>9200</v>
      </c>
      <c r="B166" s="51">
        <v>6</v>
      </c>
      <c r="C166" s="55">
        <f t="shared" si="2"/>
        <v>1533.3333333333333</v>
      </c>
      <c r="D166" s="24" t="s">
        <v>73</v>
      </c>
      <c r="E166" s="48" t="s">
        <v>60</v>
      </c>
    </row>
    <row r="167" spans="1:5" x14ac:dyDescent="0.2">
      <c r="A167" s="27">
        <v>3500</v>
      </c>
      <c r="B167" s="65">
        <v>4</v>
      </c>
      <c r="C167" s="55">
        <f t="shared" si="2"/>
        <v>875</v>
      </c>
      <c r="D167" s="26" t="s">
        <v>42</v>
      </c>
      <c r="E167" s="49" t="s">
        <v>45</v>
      </c>
    </row>
    <row r="168" spans="1:5" x14ac:dyDescent="0.2">
      <c r="A168" s="25">
        <v>4000</v>
      </c>
      <c r="B168" s="51">
        <v>5</v>
      </c>
      <c r="C168" s="55">
        <f t="shared" si="2"/>
        <v>800</v>
      </c>
      <c r="D168" s="24" t="s">
        <v>73</v>
      </c>
      <c r="E168" s="48" t="s">
        <v>45</v>
      </c>
    </row>
    <row r="169" spans="1:5" x14ac:dyDescent="0.2">
      <c r="A169" s="27">
        <v>1600</v>
      </c>
      <c r="B169" s="65">
        <v>4</v>
      </c>
      <c r="C169" s="55">
        <f t="shared" si="2"/>
        <v>400</v>
      </c>
      <c r="D169" s="26" t="s">
        <v>42</v>
      </c>
      <c r="E169" s="49" t="s">
        <v>45</v>
      </c>
    </row>
    <row r="170" spans="1:5" x14ac:dyDescent="0.2">
      <c r="A170" s="25">
        <v>12000</v>
      </c>
      <c r="B170" s="51">
        <v>6</v>
      </c>
      <c r="C170" s="55">
        <f t="shared" si="2"/>
        <v>2000</v>
      </c>
      <c r="D170" s="24" t="s">
        <v>73</v>
      </c>
      <c r="E170" s="48" t="s">
        <v>109</v>
      </c>
    </row>
    <row r="171" spans="1:5" x14ac:dyDescent="0.2">
      <c r="A171" s="27">
        <v>850</v>
      </c>
      <c r="B171" s="65">
        <v>4</v>
      </c>
      <c r="C171" s="55">
        <f t="shared" si="2"/>
        <v>212.5</v>
      </c>
      <c r="D171" s="26" t="s">
        <v>42</v>
      </c>
      <c r="E171" s="49" t="s">
        <v>182</v>
      </c>
    </row>
    <row r="172" spans="1:5" x14ac:dyDescent="0.2">
      <c r="A172" s="25">
        <v>6000</v>
      </c>
      <c r="B172" s="51">
        <v>4</v>
      </c>
      <c r="C172" s="55">
        <f t="shared" si="2"/>
        <v>1500</v>
      </c>
      <c r="D172" s="24" t="s">
        <v>73</v>
      </c>
      <c r="E172" s="48" t="s">
        <v>60</v>
      </c>
    </row>
    <row r="173" spans="1:5" x14ac:dyDescent="0.2">
      <c r="A173" s="27">
        <v>550</v>
      </c>
      <c r="B173" s="65">
        <v>6</v>
      </c>
      <c r="C173" s="55">
        <f t="shared" si="2"/>
        <v>91.666666666666671</v>
      </c>
      <c r="D173" s="26" t="s">
        <v>42</v>
      </c>
      <c r="E173" s="49" t="s">
        <v>45</v>
      </c>
    </row>
    <row r="174" spans="1:5" x14ac:dyDescent="0.2">
      <c r="A174" s="25">
        <v>9000</v>
      </c>
      <c r="B174" s="51">
        <v>4</v>
      </c>
      <c r="C174" s="55">
        <f t="shared" si="2"/>
        <v>2250</v>
      </c>
      <c r="D174" s="24" t="s">
        <v>73</v>
      </c>
      <c r="E174" s="48" t="s">
        <v>155</v>
      </c>
    </row>
    <row r="175" spans="1:5" x14ac:dyDescent="0.2">
      <c r="A175" s="27">
        <v>5000</v>
      </c>
      <c r="B175" s="65">
        <v>3</v>
      </c>
      <c r="C175" s="55">
        <f t="shared" si="2"/>
        <v>1666.6666666666667</v>
      </c>
      <c r="D175" s="26" t="s">
        <v>42</v>
      </c>
      <c r="E175" s="49" t="s">
        <v>109</v>
      </c>
    </row>
    <row r="176" spans="1:5" x14ac:dyDescent="0.2">
      <c r="A176" s="25">
        <v>1500</v>
      </c>
      <c r="B176" s="51">
        <v>4</v>
      </c>
      <c r="C176" s="55">
        <f t="shared" si="2"/>
        <v>375</v>
      </c>
      <c r="D176" s="24" t="s">
        <v>73</v>
      </c>
      <c r="E176" s="48" t="s">
        <v>89</v>
      </c>
    </row>
    <row r="177" spans="1:5" x14ac:dyDescent="0.2">
      <c r="A177" s="27">
        <v>550</v>
      </c>
      <c r="B177" s="65">
        <v>3</v>
      </c>
      <c r="C177" s="55">
        <f t="shared" si="2"/>
        <v>183.33333333333334</v>
      </c>
      <c r="D177" s="26" t="s">
        <v>42</v>
      </c>
      <c r="E177" s="49" t="s">
        <v>182</v>
      </c>
    </row>
    <row r="178" spans="1:5" x14ac:dyDescent="0.2">
      <c r="A178" s="25">
        <v>7000</v>
      </c>
      <c r="B178" s="51">
        <v>5</v>
      </c>
      <c r="C178" s="55">
        <f t="shared" si="2"/>
        <v>1400</v>
      </c>
      <c r="D178" s="24" t="s">
        <v>73</v>
      </c>
      <c r="E178" s="48" t="s">
        <v>60</v>
      </c>
    </row>
    <row r="179" spans="1:5" x14ac:dyDescent="0.2">
      <c r="A179" s="27">
        <v>1600</v>
      </c>
      <c r="B179" s="65">
        <v>4</v>
      </c>
      <c r="C179" s="55">
        <f t="shared" si="2"/>
        <v>400</v>
      </c>
      <c r="D179" s="26" t="s">
        <v>73</v>
      </c>
      <c r="E179" s="49" t="s">
        <v>45</v>
      </c>
    </row>
    <row r="180" spans="1:5" x14ac:dyDescent="0.2">
      <c r="A180" s="25">
        <v>600</v>
      </c>
      <c r="B180" s="51">
        <v>5</v>
      </c>
      <c r="C180" s="55">
        <f t="shared" si="2"/>
        <v>120</v>
      </c>
      <c r="D180" s="24" t="s">
        <v>42</v>
      </c>
      <c r="E180" s="48" t="s">
        <v>182</v>
      </c>
    </row>
    <row r="181" spans="1:5" x14ac:dyDescent="0.2">
      <c r="A181" s="27">
        <v>9000</v>
      </c>
      <c r="B181" s="65">
        <v>6</v>
      </c>
      <c r="C181" s="55">
        <f t="shared" si="2"/>
        <v>1500</v>
      </c>
      <c r="D181" s="26" t="s">
        <v>73</v>
      </c>
      <c r="E181" s="49" t="s">
        <v>45</v>
      </c>
    </row>
    <row r="182" spans="1:5" x14ac:dyDescent="0.2">
      <c r="A182" s="25">
        <v>5200</v>
      </c>
      <c r="B182" s="51">
        <v>3</v>
      </c>
      <c r="C182" s="55">
        <f t="shared" si="2"/>
        <v>1733.3333333333333</v>
      </c>
      <c r="D182" s="24" t="s">
        <v>42</v>
      </c>
      <c r="E182" s="48" t="s">
        <v>109</v>
      </c>
    </row>
    <row r="183" spans="1:5" x14ac:dyDescent="0.2">
      <c r="A183" s="27">
        <v>1800</v>
      </c>
      <c r="B183" s="65">
        <v>4</v>
      </c>
      <c r="C183" s="55">
        <f t="shared" si="2"/>
        <v>450</v>
      </c>
      <c r="D183" s="26" t="s">
        <v>73</v>
      </c>
      <c r="E183" s="49" t="s">
        <v>60</v>
      </c>
    </row>
    <row r="184" spans="1:5" x14ac:dyDescent="0.2">
      <c r="A184" s="25">
        <v>14000</v>
      </c>
      <c r="B184" s="51">
        <v>6</v>
      </c>
      <c r="C184" s="55">
        <f t="shared" si="2"/>
        <v>2333.3333333333335</v>
      </c>
      <c r="D184" s="24" t="s">
        <v>73</v>
      </c>
      <c r="E184" s="48" t="s">
        <v>89</v>
      </c>
    </row>
    <row r="185" spans="1:5" x14ac:dyDescent="0.2">
      <c r="A185" s="27">
        <v>500</v>
      </c>
      <c r="B185" s="65">
        <v>3</v>
      </c>
      <c r="C185" s="55">
        <f t="shared" si="2"/>
        <v>166.66666666666666</v>
      </c>
      <c r="D185" s="26" t="s">
        <v>42</v>
      </c>
      <c r="E185" s="49" t="s">
        <v>182</v>
      </c>
    </row>
    <row r="186" spans="1:5" x14ac:dyDescent="0.2">
      <c r="A186" s="25">
        <v>850</v>
      </c>
      <c r="B186" s="51">
        <v>5</v>
      </c>
      <c r="C186" s="55">
        <f t="shared" si="2"/>
        <v>170</v>
      </c>
      <c r="D186" s="24" t="s">
        <v>73</v>
      </c>
      <c r="E186" s="48" t="s">
        <v>182</v>
      </c>
    </row>
    <row r="187" spans="1:5" x14ac:dyDescent="0.2">
      <c r="A187" s="27">
        <v>450</v>
      </c>
      <c r="B187" s="65">
        <v>4</v>
      </c>
      <c r="C187" s="55">
        <f t="shared" si="2"/>
        <v>112.5</v>
      </c>
      <c r="D187" s="26" t="s">
        <v>42</v>
      </c>
      <c r="E187" s="49" t="s">
        <v>182</v>
      </c>
    </row>
    <row r="188" spans="1:5" x14ac:dyDescent="0.2">
      <c r="A188" s="25">
        <v>750</v>
      </c>
      <c r="B188" s="51">
        <v>4</v>
      </c>
      <c r="C188" s="55">
        <f t="shared" si="2"/>
        <v>187.5</v>
      </c>
      <c r="D188" s="24" t="s">
        <v>42</v>
      </c>
      <c r="E188" s="48" t="s">
        <v>89</v>
      </c>
    </row>
    <row r="189" spans="1:5" x14ac:dyDescent="0.2">
      <c r="A189" s="27">
        <v>8200</v>
      </c>
      <c r="B189" s="65">
        <v>6</v>
      </c>
      <c r="C189" s="55">
        <f t="shared" si="2"/>
        <v>1366.6666666666667</v>
      </c>
      <c r="D189" s="26" t="s">
        <v>73</v>
      </c>
      <c r="E189" s="49" t="s">
        <v>45</v>
      </c>
    </row>
    <row r="190" spans="1:5" x14ac:dyDescent="0.2">
      <c r="A190" s="25">
        <v>1500</v>
      </c>
      <c r="B190" s="51">
        <v>6</v>
      </c>
      <c r="C190" s="55">
        <f t="shared" si="2"/>
        <v>250</v>
      </c>
      <c r="D190" s="24" t="s">
        <v>42</v>
      </c>
      <c r="E190" s="48" t="s">
        <v>182</v>
      </c>
    </row>
    <row r="191" spans="1:5" x14ac:dyDescent="0.2">
      <c r="A191" s="27">
        <v>3000</v>
      </c>
      <c r="B191" s="65">
        <v>4</v>
      </c>
      <c r="C191" s="55">
        <f t="shared" si="2"/>
        <v>750</v>
      </c>
      <c r="D191" s="26" t="s">
        <v>73</v>
      </c>
      <c r="E191" s="49" t="s">
        <v>182</v>
      </c>
    </row>
    <row r="192" spans="1:5" x14ac:dyDescent="0.2">
      <c r="A192" s="25">
        <v>500</v>
      </c>
      <c r="B192" s="51">
        <v>5</v>
      </c>
      <c r="C192" s="55">
        <f t="shared" si="2"/>
        <v>100</v>
      </c>
      <c r="D192" s="24" t="s">
        <v>42</v>
      </c>
      <c r="E192" s="48" t="s">
        <v>89</v>
      </c>
    </row>
    <row r="193" spans="1:5" x14ac:dyDescent="0.2">
      <c r="A193" s="27">
        <v>20000</v>
      </c>
      <c r="B193" s="65">
        <v>4</v>
      </c>
      <c r="C193" s="55">
        <f t="shared" si="2"/>
        <v>5000</v>
      </c>
      <c r="D193" s="26" t="s">
        <v>42</v>
      </c>
      <c r="E193" s="49" t="s">
        <v>182</v>
      </c>
    </row>
    <row r="194" spans="1:5" x14ac:dyDescent="0.2">
      <c r="A194" s="28">
        <v>850</v>
      </c>
      <c r="B194" s="51">
        <v>4</v>
      </c>
      <c r="C194" s="55">
        <f t="shared" si="2"/>
        <v>212.5</v>
      </c>
      <c r="D194" s="24" t="s">
        <v>42</v>
      </c>
      <c r="E194" s="48" t="s">
        <v>182</v>
      </c>
    </row>
    <row r="195" spans="1:5" x14ac:dyDescent="0.2">
      <c r="A195" s="29">
        <v>1000</v>
      </c>
      <c r="B195" s="65">
        <v>5</v>
      </c>
      <c r="C195" s="55">
        <f t="shared" ref="C195:C258" si="3">A195/B195</f>
        <v>200</v>
      </c>
      <c r="D195" s="26" t="s">
        <v>42</v>
      </c>
      <c r="E195" s="49" t="s">
        <v>89</v>
      </c>
    </row>
    <row r="196" spans="1:5" x14ac:dyDescent="0.2">
      <c r="A196" s="25">
        <v>10000</v>
      </c>
      <c r="B196" s="51">
        <v>4</v>
      </c>
      <c r="C196" s="55">
        <f t="shared" si="3"/>
        <v>2500</v>
      </c>
      <c r="D196" s="24" t="s">
        <v>42</v>
      </c>
      <c r="E196" s="48" t="s">
        <v>155</v>
      </c>
    </row>
    <row r="197" spans="1:5" x14ac:dyDescent="0.2">
      <c r="A197" s="27">
        <v>1000</v>
      </c>
      <c r="B197" s="65">
        <v>4</v>
      </c>
      <c r="C197" s="55">
        <f t="shared" si="3"/>
        <v>250</v>
      </c>
      <c r="D197" s="26" t="s">
        <v>42</v>
      </c>
      <c r="E197" s="49" t="s">
        <v>182</v>
      </c>
    </row>
    <row r="198" spans="1:5" x14ac:dyDescent="0.2">
      <c r="A198" s="25">
        <v>5500</v>
      </c>
      <c r="B198" s="51">
        <v>5</v>
      </c>
      <c r="C198" s="55">
        <f t="shared" si="3"/>
        <v>1100</v>
      </c>
      <c r="D198" s="24" t="s">
        <v>73</v>
      </c>
      <c r="E198" s="48" t="s">
        <v>182</v>
      </c>
    </row>
    <row r="199" spans="1:5" x14ac:dyDescent="0.2">
      <c r="A199" s="27">
        <v>400</v>
      </c>
      <c r="B199" s="65">
        <v>3</v>
      </c>
      <c r="C199" s="55">
        <f t="shared" si="3"/>
        <v>133.33333333333334</v>
      </c>
      <c r="D199" s="26" t="s">
        <v>42</v>
      </c>
      <c r="E199" s="49" t="s">
        <v>182</v>
      </c>
    </row>
    <row r="200" spans="1:5" x14ac:dyDescent="0.2">
      <c r="A200" s="25">
        <v>7000</v>
      </c>
      <c r="B200" s="51">
        <v>3</v>
      </c>
      <c r="C200" s="55">
        <f t="shared" si="3"/>
        <v>2333.3333333333335</v>
      </c>
      <c r="D200" s="24" t="s">
        <v>42</v>
      </c>
      <c r="E200" s="48" t="s">
        <v>182</v>
      </c>
    </row>
    <row r="201" spans="1:5" x14ac:dyDescent="0.2">
      <c r="A201" s="29">
        <v>850</v>
      </c>
      <c r="B201" s="65">
        <v>6</v>
      </c>
      <c r="C201" s="55">
        <f t="shared" si="3"/>
        <v>141.66666666666666</v>
      </c>
      <c r="D201" s="26" t="s">
        <v>42</v>
      </c>
      <c r="E201" s="49" t="s">
        <v>182</v>
      </c>
    </row>
    <row r="202" spans="1:5" x14ac:dyDescent="0.2">
      <c r="A202" s="25">
        <v>7500</v>
      </c>
      <c r="B202" s="51">
        <v>4</v>
      </c>
      <c r="C202" s="55">
        <f t="shared" si="3"/>
        <v>1875</v>
      </c>
      <c r="D202" s="24" t="s">
        <v>73</v>
      </c>
      <c r="E202" s="48" t="s">
        <v>182</v>
      </c>
    </row>
    <row r="203" spans="1:5" x14ac:dyDescent="0.2">
      <c r="A203" s="29">
        <v>750</v>
      </c>
      <c r="B203" s="65">
        <v>5</v>
      </c>
      <c r="C203" s="55">
        <f t="shared" si="3"/>
        <v>150</v>
      </c>
      <c r="D203" s="26" t="s">
        <v>73</v>
      </c>
      <c r="E203" s="49" t="s">
        <v>60</v>
      </c>
    </row>
    <row r="204" spans="1:5" x14ac:dyDescent="0.2">
      <c r="A204" s="25">
        <v>2000</v>
      </c>
      <c r="B204" s="51">
        <v>5</v>
      </c>
      <c r="C204" s="55">
        <f t="shared" si="3"/>
        <v>400</v>
      </c>
      <c r="D204" s="24" t="s">
        <v>42</v>
      </c>
      <c r="E204" s="48" t="s">
        <v>89</v>
      </c>
    </row>
    <row r="205" spans="1:5" x14ac:dyDescent="0.2">
      <c r="A205" s="27">
        <v>4000</v>
      </c>
      <c r="B205" s="65">
        <v>4</v>
      </c>
      <c r="C205" s="55">
        <f t="shared" si="3"/>
        <v>1000</v>
      </c>
      <c r="D205" s="26" t="s">
        <v>42</v>
      </c>
      <c r="E205" s="49" t="s">
        <v>89</v>
      </c>
    </row>
    <row r="206" spans="1:5" x14ac:dyDescent="0.2">
      <c r="A206" s="28">
        <v>1000</v>
      </c>
      <c r="B206" s="51">
        <v>5</v>
      </c>
      <c r="C206" s="55">
        <f t="shared" si="3"/>
        <v>200</v>
      </c>
      <c r="D206" s="24" t="s">
        <v>73</v>
      </c>
      <c r="E206" s="48" t="s">
        <v>109</v>
      </c>
    </row>
    <row r="207" spans="1:5" x14ac:dyDescent="0.2">
      <c r="A207" s="29">
        <v>1000</v>
      </c>
      <c r="B207" s="65">
        <v>4</v>
      </c>
      <c r="C207" s="55">
        <f t="shared" si="3"/>
        <v>250</v>
      </c>
      <c r="D207" s="26" t="s">
        <v>42</v>
      </c>
      <c r="E207" s="49" t="s">
        <v>45</v>
      </c>
    </row>
    <row r="208" spans="1:5" x14ac:dyDescent="0.2">
      <c r="A208" s="28">
        <v>1000</v>
      </c>
      <c r="B208" s="51">
        <v>5</v>
      </c>
      <c r="C208" s="55">
        <f t="shared" si="3"/>
        <v>200</v>
      </c>
      <c r="D208" s="24" t="s">
        <v>42</v>
      </c>
      <c r="E208" s="48" t="s">
        <v>45</v>
      </c>
    </row>
    <row r="209" spans="1:5" x14ac:dyDescent="0.2">
      <c r="A209" s="29">
        <v>1500</v>
      </c>
      <c r="B209" s="65">
        <v>10</v>
      </c>
      <c r="C209" s="55">
        <f t="shared" si="3"/>
        <v>150</v>
      </c>
      <c r="D209" s="26" t="s">
        <v>42</v>
      </c>
      <c r="E209" s="49" t="s">
        <v>89</v>
      </c>
    </row>
    <row r="210" spans="1:5" x14ac:dyDescent="0.2">
      <c r="A210" s="25">
        <v>5000</v>
      </c>
      <c r="B210" s="51">
        <v>5</v>
      </c>
      <c r="C210" s="55">
        <f t="shared" si="3"/>
        <v>1000</v>
      </c>
      <c r="D210" s="24" t="s">
        <v>42</v>
      </c>
      <c r="E210" s="48" t="s">
        <v>182</v>
      </c>
    </row>
    <row r="211" spans="1:5" x14ac:dyDescent="0.2">
      <c r="A211" s="27">
        <v>1000</v>
      </c>
      <c r="B211" s="65">
        <v>4</v>
      </c>
      <c r="C211" s="55">
        <f t="shared" si="3"/>
        <v>250</v>
      </c>
      <c r="D211" s="26" t="s">
        <v>42</v>
      </c>
      <c r="E211" s="49" t="s">
        <v>182</v>
      </c>
    </row>
    <row r="212" spans="1:5" x14ac:dyDescent="0.2">
      <c r="A212" s="28">
        <v>1000</v>
      </c>
      <c r="B212" s="51">
        <v>4</v>
      </c>
      <c r="C212" s="55">
        <f t="shared" si="3"/>
        <v>250</v>
      </c>
      <c r="D212" s="24" t="s">
        <v>42</v>
      </c>
      <c r="E212" s="48" t="s">
        <v>182</v>
      </c>
    </row>
    <row r="213" spans="1:5" x14ac:dyDescent="0.2">
      <c r="A213" s="29">
        <v>1500</v>
      </c>
      <c r="B213" s="65">
        <v>6</v>
      </c>
      <c r="C213" s="55">
        <f t="shared" si="3"/>
        <v>250</v>
      </c>
      <c r="D213" s="26" t="s">
        <v>42</v>
      </c>
      <c r="E213" s="49" t="s">
        <v>182</v>
      </c>
    </row>
    <row r="214" spans="1:5" x14ac:dyDescent="0.2">
      <c r="A214" s="28">
        <v>550</v>
      </c>
      <c r="B214" s="51">
        <v>4</v>
      </c>
      <c r="C214" s="55">
        <f t="shared" si="3"/>
        <v>137.5</v>
      </c>
      <c r="D214" s="24" t="s">
        <v>42</v>
      </c>
      <c r="E214" s="48" t="s">
        <v>182</v>
      </c>
    </row>
    <row r="215" spans="1:5" x14ac:dyDescent="0.2">
      <c r="A215" s="29">
        <v>1000</v>
      </c>
      <c r="B215" s="65">
        <v>6</v>
      </c>
      <c r="C215" s="55">
        <f t="shared" si="3"/>
        <v>166.66666666666666</v>
      </c>
      <c r="D215" s="26" t="s">
        <v>73</v>
      </c>
      <c r="E215" s="49" t="s">
        <v>182</v>
      </c>
    </row>
    <row r="216" spans="1:5" x14ac:dyDescent="0.2">
      <c r="A216" s="28">
        <v>950</v>
      </c>
      <c r="B216" s="51">
        <v>4</v>
      </c>
      <c r="C216" s="55">
        <f t="shared" si="3"/>
        <v>237.5</v>
      </c>
      <c r="D216" s="24" t="s">
        <v>42</v>
      </c>
      <c r="E216" s="48" t="s">
        <v>45</v>
      </c>
    </row>
    <row r="217" spans="1:5" x14ac:dyDescent="0.2">
      <c r="A217" s="29">
        <v>550</v>
      </c>
      <c r="B217" s="65">
        <v>4</v>
      </c>
      <c r="C217" s="55">
        <f t="shared" si="3"/>
        <v>137.5</v>
      </c>
      <c r="D217" s="26" t="s">
        <v>42</v>
      </c>
      <c r="E217" s="49" t="s">
        <v>89</v>
      </c>
    </row>
    <row r="218" spans="1:5" x14ac:dyDescent="0.2">
      <c r="A218" s="25">
        <v>6000</v>
      </c>
      <c r="B218" s="51">
        <v>4</v>
      </c>
      <c r="C218" s="55">
        <f t="shared" si="3"/>
        <v>1500</v>
      </c>
      <c r="D218" s="24" t="s">
        <v>73</v>
      </c>
      <c r="E218" s="48" t="s">
        <v>45</v>
      </c>
    </row>
    <row r="219" spans="1:5" x14ac:dyDescent="0.2">
      <c r="A219" s="27">
        <v>1800</v>
      </c>
      <c r="B219" s="65">
        <v>5</v>
      </c>
      <c r="C219" s="55">
        <f t="shared" si="3"/>
        <v>360</v>
      </c>
      <c r="D219" s="26" t="s">
        <v>42</v>
      </c>
      <c r="E219" s="49" t="s">
        <v>60</v>
      </c>
    </row>
    <row r="220" spans="1:5" x14ac:dyDescent="0.2">
      <c r="A220" s="25">
        <v>400</v>
      </c>
      <c r="B220" s="51">
        <v>6</v>
      </c>
      <c r="C220" s="55">
        <f t="shared" si="3"/>
        <v>66.666666666666671</v>
      </c>
      <c r="D220" s="24" t="s">
        <v>73</v>
      </c>
      <c r="E220" s="48" t="s">
        <v>182</v>
      </c>
    </row>
    <row r="221" spans="1:5" x14ac:dyDescent="0.2">
      <c r="A221" s="27">
        <v>4500</v>
      </c>
      <c r="B221" s="65">
        <v>5</v>
      </c>
      <c r="C221" s="55">
        <f t="shared" si="3"/>
        <v>900</v>
      </c>
      <c r="D221" s="26" t="s">
        <v>42</v>
      </c>
      <c r="E221" s="49" t="s">
        <v>45</v>
      </c>
    </row>
    <row r="222" spans="1:5" x14ac:dyDescent="0.2">
      <c r="A222" s="25">
        <v>4500</v>
      </c>
      <c r="B222" s="51">
        <v>4</v>
      </c>
      <c r="C222" s="55">
        <f t="shared" si="3"/>
        <v>1125</v>
      </c>
      <c r="D222" s="24" t="s">
        <v>73</v>
      </c>
      <c r="E222" s="48" t="s">
        <v>45</v>
      </c>
    </row>
    <row r="223" spans="1:5" x14ac:dyDescent="0.2">
      <c r="A223" s="27">
        <v>900</v>
      </c>
      <c r="B223" s="65">
        <v>3</v>
      </c>
      <c r="C223" s="55">
        <f t="shared" si="3"/>
        <v>300</v>
      </c>
      <c r="D223" s="26" t="s">
        <v>42</v>
      </c>
      <c r="E223" s="49" t="s">
        <v>60</v>
      </c>
    </row>
    <row r="224" spans="1:5" x14ac:dyDescent="0.2">
      <c r="A224" s="25">
        <v>14000</v>
      </c>
      <c r="B224" s="51">
        <v>4</v>
      </c>
      <c r="C224" s="55">
        <f t="shared" si="3"/>
        <v>3500</v>
      </c>
      <c r="D224" s="24" t="s">
        <v>73</v>
      </c>
      <c r="E224" s="48" t="s">
        <v>155</v>
      </c>
    </row>
    <row r="225" spans="1:5" x14ac:dyDescent="0.2">
      <c r="A225" s="27">
        <v>750</v>
      </c>
      <c r="B225" s="65">
        <v>5</v>
      </c>
      <c r="C225" s="55">
        <f t="shared" si="3"/>
        <v>150</v>
      </c>
      <c r="D225" s="26" t="s">
        <v>42</v>
      </c>
      <c r="E225" s="49" t="s">
        <v>182</v>
      </c>
    </row>
    <row r="226" spans="1:5" x14ac:dyDescent="0.2">
      <c r="A226" s="25">
        <v>7000</v>
      </c>
      <c r="B226" s="51">
        <v>6</v>
      </c>
      <c r="C226" s="55">
        <f t="shared" si="3"/>
        <v>1166.6666666666667</v>
      </c>
      <c r="D226" s="24" t="s">
        <v>73</v>
      </c>
      <c r="E226" s="48" t="s">
        <v>60</v>
      </c>
    </row>
    <row r="227" spans="1:5" x14ac:dyDescent="0.2">
      <c r="A227" s="27">
        <v>1200</v>
      </c>
      <c r="B227" s="65">
        <v>3</v>
      </c>
      <c r="C227" s="55">
        <f t="shared" si="3"/>
        <v>400</v>
      </c>
      <c r="D227" s="26" t="s">
        <v>42</v>
      </c>
      <c r="E227" s="49" t="s">
        <v>45</v>
      </c>
    </row>
    <row r="228" spans="1:5" x14ac:dyDescent="0.2">
      <c r="A228" s="25">
        <v>12500</v>
      </c>
      <c r="B228" s="51">
        <v>4</v>
      </c>
      <c r="C228" s="55">
        <f t="shared" si="3"/>
        <v>3125</v>
      </c>
      <c r="D228" s="24" t="s">
        <v>73</v>
      </c>
      <c r="E228" s="48" t="s">
        <v>155</v>
      </c>
    </row>
    <row r="229" spans="1:5" x14ac:dyDescent="0.2">
      <c r="A229" s="27">
        <v>3000</v>
      </c>
      <c r="B229" s="65">
        <v>5</v>
      </c>
      <c r="C229" s="55">
        <f t="shared" si="3"/>
        <v>600</v>
      </c>
      <c r="D229" s="26" t="s">
        <v>42</v>
      </c>
      <c r="E229" s="49" t="s">
        <v>89</v>
      </c>
    </row>
    <row r="230" spans="1:5" x14ac:dyDescent="0.2">
      <c r="A230" s="25">
        <v>8000</v>
      </c>
      <c r="B230" s="51">
        <v>5</v>
      </c>
      <c r="C230" s="55">
        <f t="shared" si="3"/>
        <v>1600</v>
      </c>
      <c r="D230" s="24" t="s">
        <v>73</v>
      </c>
      <c r="E230" s="48" t="s">
        <v>45</v>
      </c>
    </row>
    <row r="231" spans="1:5" x14ac:dyDescent="0.2">
      <c r="A231" s="27">
        <v>900</v>
      </c>
      <c r="B231" s="65">
        <v>3</v>
      </c>
      <c r="C231" s="55">
        <f t="shared" si="3"/>
        <v>300</v>
      </c>
      <c r="D231" s="26" t="s">
        <v>42</v>
      </c>
      <c r="E231" s="49" t="s">
        <v>182</v>
      </c>
    </row>
    <row r="232" spans="1:5" x14ac:dyDescent="0.2">
      <c r="A232" s="25">
        <v>1400</v>
      </c>
      <c r="B232" s="51">
        <v>4</v>
      </c>
      <c r="C232" s="55">
        <f t="shared" si="3"/>
        <v>350</v>
      </c>
      <c r="D232" s="24" t="s">
        <v>73</v>
      </c>
      <c r="E232" s="48" t="s">
        <v>45</v>
      </c>
    </row>
    <row r="233" spans="1:5" x14ac:dyDescent="0.2">
      <c r="A233" s="27">
        <v>600</v>
      </c>
      <c r="B233" s="65">
        <v>4</v>
      </c>
      <c r="C233" s="55">
        <f t="shared" si="3"/>
        <v>150</v>
      </c>
      <c r="D233" s="26" t="s">
        <v>42</v>
      </c>
      <c r="E233" s="49" t="s">
        <v>182</v>
      </c>
    </row>
    <row r="234" spans="1:5" x14ac:dyDescent="0.2">
      <c r="A234" s="25">
        <v>7800</v>
      </c>
      <c r="B234" s="51">
        <v>6</v>
      </c>
      <c r="C234" s="55">
        <f t="shared" si="3"/>
        <v>1300</v>
      </c>
      <c r="D234" s="24" t="s">
        <v>73</v>
      </c>
      <c r="E234" s="48" t="s">
        <v>45</v>
      </c>
    </row>
    <row r="235" spans="1:5" x14ac:dyDescent="0.2">
      <c r="A235" s="27">
        <v>3200</v>
      </c>
      <c r="B235" s="65">
        <v>2</v>
      </c>
      <c r="C235" s="55">
        <f t="shared" si="3"/>
        <v>1600</v>
      </c>
      <c r="D235" s="26" t="s">
        <v>42</v>
      </c>
      <c r="E235" s="49" t="s">
        <v>60</v>
      </c>
    </row>
    <row r="236" spans="1:5" x14ac:dyDescent="0.2">
      <c r="A236" s="25">
        <v>13200</v>
      </c>
      <c r="B236" s="51">
        <v>5</v>
      </c>
      <c r="C236" s="55">
        <f t="shared" si="3"/>
        <v>2640</v>
      </c>
      <c r="D236" s="24" t="s">
        <v>73</v>
      </c>
      <c r="E236" s="48" t="s">
        <v>155</v>
      </c>
    </row>
    <row r="237" spans="1:5" x14ac:dyDescent="0.2">
      <c r="A237" s="27">
        <v>500</v>
      </c>
      <c r="B237" s="65">
        <v>4</v>
      </c>
      <c r="C237" s="55">
        <f t="shared" si="3"/>
        <v>125</v>
      </c>
      <c r="D237" s="26" t="s">
        <v>42</v>
      </c>
      <c r="E237" s="49" t="s">
        <v>89</v>
      </c>
    </row>
    <row r="238" spans="1:5" x14ac:dyDescent="0.2">
      <c r="A238" s="25">
        <v>3800</v>
      </c>
      <c r="B238" s="51">
        <v>4</v>
      </c>
      <c r="C238" s="55">
        <f t="shared" si="3"/>
        <v>950</v>
      </c>
      <c r="D238" s="24" t="s">
        <v>73</v>
      </c>
      <c r="E238" s="48" t="s">
        <v>45</v>
      </c>
    </row>
    <row r="239" spans="1:5" x14ac:dyDescent="0.2">
      <c r="A239" s="27">
        <v>850</v>
      </c>
      <c r="B239" s="65">
        <v>5</v>
      </c>
      <c r="C239" s="55">
        <f t="shared" si="3"/>
        <v>170</v>
      </c>
      <c r="D239" s="26" t="s">
        <v>42</v>
      </c>
      <c r="E239" s="49" t="s">
        <v>182</v>
      </c>
    </row>
    <row r="240" spans="1:5" x14ac:dyDescent="0.2">
      <c r="A240" s="25">
        <v>6700</v>
      </c>
      <c r="B240" s="51">
        <v>6</v>
      </c>
      <c r="C240" s="55">
        <f t="shared" si="3"/>
        <v>1116.6666666666667</v>
      </c>
      <c r="D240" s="24" t="s">
        <v>73</v>
      </c>
      <c r="E240" s="48" t="s">
        <v>45</v>
      </c>
    </row>
    <row r="241" spans="1:5" x14ac:dyDescent="0.2">
      <c r="A241" s="27">
        <v>4600</v>
      </c>
      <c r="B241" s="65">
        <v>3</v>
      </c>
      <c r="C241" s="55">
        <f t="shared" si="3"/>
        <v>1533.3333333333333</v>
      </c>
      <c r="D241" s="26" t="s">
        <v>73</v>
      </c>
      <c r="E241" s="49" t="s">
        <v>45</v>
      </c>
    </row>
    <row r="242" spans="1:5" x14ac:dyDescent="0.2">
      <c r="A242" s="25">
        <v>1300</v>
      </c>
      <c r="B242" s="51">
        <v>5</v>
      </c>
      <c r="C242" s="55">
        <f t="shared" si="3"/>
        <v>260</v>
      </c>
      <c r="D242" s="24" t="s">
        <v>73</v>
      </c>
      <c r="E242" s="48" t="s">
        <v>45</v>
      </c>
    </row>
    <row r="243" spans="1:5" x14ac:dyDescent="0.2">
      <c r="A243" s="27">
        <v>750</v>
      </c>
      <c r="B243" s="65">
        <v>3</v>
      </c>
      <c r="C243" s="55">
        <f t="shared" si="3"/>
        <v>250</v>
      </c>
      <c r="D243" s="26" t="s">
        <v>42</v>
      </c>
      <c r="E243" s="49" t="s">
        <v>45</v>
      </c>
    </row>
    <row r="244" spans="1:5" x14ac:dyDescent="0.2">
      <c r="A244" s="25">
        <v>3900</v>
      </c>
      <c r="B244" s="51">
        <v>5</v>
      </c>
      <c r="C244" s="55">
        <f t="shared" si="3"/>
        <v>780</v>
      </c>
      <c r="D244" s="24" t="s">
        <v>73</v>
      </c>
      <c r="E244" s="48" t="s">
        <v>109</v>
      </c>
    </row>
    <row r="245" spans="1:5" x14ac:dyDescent="0.2">
      <c r="A245" s="27">
        <v>1000</v>
      </c>
      <c r="B245" s="65">
        <v>4</v>
      </c>
      <c r="C245" s="55">
        <f t="shared" si="3"/>
        <v>250</v>
      </c>
      <c r="D245" s="26" t="s">
        <v>42</v>
      </c>
      <c r="E245" s="49" t="s">
        <v>182</v>
      </c>
    </row>
    <row r="246" spans="1:5" x14ac:dyDescent="0.2">
      <c r="A246" s="25">
        <v>8500</v>
      </c>
      <c r="B246" s="51">
        <v>6</v>
      </c>
      <c r="C246" s="55">
        <f t="shared" si="3"/>
        <v>1416.6666666666667</v>
      </c>
      <c r="D246" s="24" t="s">
        <v>73</v>
      </c>
      <c r="E246" s="48" t="s">
        <v>60</v>
      </c>
    </row>
    <row r="247" spans="1:5" x14ac:dyDescent="0.2">
      <c r="A247" s="27">
        <v>3600</v>
      </c>
      <c r="B247" s="65">
        <v>6</v>
      </c>
      <c r="C247" s="55">
        <f t="shared" si="3"/>
        <v>600</v>
      </c>
      <c r="D247" s="26" t="s">
        <v>73</v>
      </c>
      <c r="E247" s="49" t="s">
        <v>60</v>
      </c>
    </row>
    <row r="248" spans="1:5" x14ac:dyDescent="0.2">
      <c r="A248" s="25">
        <v>400</v>
      </c>
      <c r="B248" s="51">
        <v>4</v>
      </c>
      <c r="C248" s="55">
        <f t="shared" si="3"/>
        <v>100</v>
      </c>
      <c r="D248" s="24" t="s">
        <v>42</v>
      </c>
      <c r="E248" s="48" t="s">
        <v>89</v>
      </c>
    </row>
    <row r="249" spans="1:5" x14ac:dyDescent="0.2">
      <c r="A249" s="27">
        <v>1600</v>
      </c>
      <c r="B249" s="65">
        <v>3</v>
      </c>
      <c r="C249" s="55">
        <f t="shared" si="3"/>
        <v>533.33333333333337</v>
      </c>
      <c r="D249" s="26" t="s">
        <v>73</v>
      </c>
      <c r="E249" s="49" t="s">
        <v>45</v>
      </c>
    </row>
    <row r="250" spans="1:5" x14ac:dyDescent="0.2">
      <c r="A250" s="25">
        <v>1200</v>
      </c>
      <c r="B250" s="51">
        <v>5</v>
      </c>
      <c r="C250" s="55">
        <f t="shared" si="3"/>
        <v>240</v>
      </c>
      <c r="D250" s="24" t="s">
        <v>73</v>
      </c>
      <c r="E250" s="48" t="s">
        <v>60</v>
      </c>
    </row>
    <row r="251" spans="1:5" x14ac:dyDescent="0.2">
      <c r="A251" s="27">
        <v>3900</v>
      </c>
      <c r="B251" s="65">
        <v>4</v>
      </c>
      <c r="C251" s="55">
        <f t="shared" si="3"/>
        <v>975</v>
      </c>
      <c r="D251" s="26" t="s">
        <v>42</v>
      </c>
      <c r="E251" s="49" t="s">
        <v>45</v>
      </c>
    </row>
    <row r="252" spans="1:5" x14ac:dyDescent="0.2">
      <c r="A252" s="25">
        <v>1450</v>
      </c>
      <c r="B252" s="51">
        <v>4</v>
      </c>
      <c r="C252" s="55">
        <f t="shared" si="3"/>
        <v>362.5</v>
      </c>
      <c r="D252" s="24" t="s">
        <v>73</v>
      </c>
      <c r="E252" s="48" t="s">
        <v>45</v>
      </c>
    </row>
    <row r="253" spans="1:5" x14ac:dyDescent="0.2">
      <c r="A253" s="27">
        <v>500</v>
      </c>
      <c r="B253" s="65">
        <v>5</v>
      </c>
      <c r="C253" s="55">
        <f t="shared" si="3"/>
        <v>100</v>
      </c>
      <c r="D253" s="26" t="s">
        <v>42</v>
      </c>
      <c r="E253" s="49" t="s">
        <v>89</v>
      </c>
    </row>
    <row r="254" spans="1:5" x14ac:dyDescent="0.2">
      <c r="A254" s="25">
        <v>9000</v>
      </c>
      <c r="B254" s="51">
        <v>6</v>
      </c>
      <c r="C254" s="55">
        <f t="shared" si="3"/>
        <v>1500</v>
      </c>
      <c r="D254" s="24" t="s">
        <v>73</v>
      </c>
      <c r="E254" s="48" t="s">
        <v>60</v>
      </c>
    </row>
    <row r="255" spans="1:5" x14ac:dyDescent="0.2">
      <c r="A255" s="27">
        <v>4500</v>
      </c>
      <c r="B255" s="65">
        <v>4</v>
      </c>
      <c r="C255" s="55">
        <f t="shared" si="3"/>
        <v>1125</v>
      </c>
      <c r="D255" s="26" t="s">
        <v>73</v>
      </c>
      <c r="E255" s="49" t="s">
        <v>45</v>
      </c>
    </row>
    <row r="256" spans="1:5" x14ac:dyDescent="0.2">
      <c r="A256" s="25">
        <v>500</v>
      </c>
      <c r="B256" s="51">
        <v>5</v>
      </c>
      <c r="C256" s="55">
        <f t="shared" si="3"/>
        <v>100</v>
      </c>
      <c r="D256" s="24" t="s">
        <v>42</v>
      </c>
      <c r="E256" s="48" t="s">
        <v>45</v>
      </c>
    </row>
    <row r="257" spans="1:5" x14ac:dyDescent="0.2">
      <c r="A257" s="27">
        <v>4200</v>
      </c>
      <c r="B257" s="65">
        <v>4</v>
      </c>
      <c r="C257" s="55">
        <f t="shared" si="3"/>
        <v>1050</v>
      </c>
      <c r="D257" s="26" t="s">
        <v>73</v>
      </c>
      <c r="E257" s="49" t="s">
        <v>45</v>
      </c>
    </row>
    <row r="258" spans="1:5" x14ac:dyDescent="0.2">
      <c r="A258" s="25">
        <v>650</v>
      </c>
      <c r="B258" s="51">
        <v>3</v>
      </c>
      <c r="C258" s="55">
        <f t="shared" si="3"/>
        <v>216.66666666666666</v>
      </c>
      <c r="D258" s="24" t="s">
        <v>42</v>
      </c>
      <c r="E258" s="48" t="s">
        <v>45</v>
      </c>
    </row>
    <row r="259" spans="1:5" x14ac:dyDescent="0.2">
      <c r="A259" s="27">
        <v>13800</v>
      </c>
      <c r="B259" s="65">
        <v>6</v>
      </c>
      <c r="C259" s="55">
        <f t="shared" ref="C259:C322" si="4">A259/B259</f>
        <v>2300</v>
      </c>
      <c r="D259" s="26" t="s">
        <v>73</v>
      </c>
      <c r="E259" s="49" t="s">
        <v>155</v>
      </c>
    </row>
    <row r="260" spans="1:5" x14ac:dyDescent="0.2">
      <c r="A260" s="25">
        <v>1100</v>
      </c>
      <c r="B260" s="51">
        <v>3</v>
      </c>
      <c r="C260" s="55">
        <f t="shared" si="4"/>
        <v>366.66666666666669</v>
      </c>
      <c r="D260" s="24" t="s">
        <v>42</v>
      </c>
      <c r="E260" s="48" t="s">
        <v>182</v>
      </c>
    </row>
    <row r="261" spans="1:5" x14ac:dyDescent="0.2">
      <c r="A261" s="27">
        <v>10200</v>
      </c>
      <c r="B261" s="65">
        <v>5</v>
      </c>
      <c r="C261" s="55">
        <f t="shared" si="4"/>
        <v>2040</v>
      </c>
      <c r="D261" s="26" t="s">
        <v>73</v>
      </c>
      <c r="E261" s="49" t="s">
        <v>60</v>
      </c>
    </row>
    <row r="262" spans="1:5" x14ac:dyDescent="0.2">
      <c r="A262" s="25">
        <v>1150</v>
      </c>
      <c r="B262" s="51">
        <v>4</v>
      </c>
      <c r="C262" s="55">
        <f t="shared" si="4"/>
        <v>287.5</v>
      </c>
      <c r="D262" s="24" t="s">
        <v>73</v>
      </c>
      <c r="E262" s="48" t="s">
        <v>45</v>
      </c>
    </row>
    <row r="263" spans="1:5" x14ac:dyDescent="0.2">
      <c r="A263" s="27">
        <v>650</v>
      </c>
      <c r="B263" s="65">
        <v>3</v>
      </c>
      <c r="C263" s="55">
        <f t="shared" si="4"/>
        <v>216.66666666666666</v>
      </c>
      <c r="D263" s="26" t="s">
        <v>42</v>
      </c>
      <c r="E263" s="49" t="s">
        <v>45</v>
      </c>
    </row>
    <row r="264" spans="1:5" x14ac:dyDescent="0.2">
      <c r="A264" s="25">
        <v>14500</v>
      </c>
      <c r="B264" s="51">
        <v>4</v>
      </c>
      <c r="C264" s="55">
        <f t="shared" si="4"/>
        <v>3625</v>
      </c>
      <c r="D264" s="24" t="s">
        <v>73</v>
      </c>
      <c r="E264" s="48" t="s">
        <v>109</v>
      </c>
    </row>
    <row r="265" spans="1:5" x14ac:dyDescent="0.2">
      <c r="A265" s="27">
        <v>3800</v>
      </c>
      <c r="B265" s="65">
        <v>3</v>
      </c>
      <c r="C265" s="55">
        <f t="shared" si="4"/>
        <v>1266.6666666666667</v>
      </c>
      <c r="D265" s="26" t="s">
        <v>42</v>
      </c>
      <c r="E265" s="49" t="s">
        <v>45</v>
      </c>
    </row>
    <row r="266" spans="1:5" x14ac:dyDescent="0.2">
      <c r="A266" s="25">
        <v>1000</v>
      </c>
      <c r="B266" s="51">
        <v>5</v>
      </c>
      <c r="C266" s="55">
        <f t="shared" si="4"/>
        <v>200</v>
      </c>
      <c r="D266" s="24" t="s">
        <v>73</v>
      </c>
      <c r="E266" s="48" t="s">
        <v>45</v>
      </c>
    </row>
    <row r="267" spans="1:5" x14ac:dyDescent="0.2">
      <c r="A267" s="27">
        <v>1250</v>
      </c>
      <c r="B267" s="65">
        <v>6</v>
      </c>
      <c r="C267" s="55">
        <f t="shared" si="4"/>
        <v>208.33333333333334</v>
      </c>
      <c r="D267" s="26" t="s">
        <v>42</v>
      </c>
      <c r="E267" s="49" t="s">
        <v>182</v>
      </c>
    </row>
    <row r="268" spans="1:5" x14ac:dyDescent="0.2">
      <c r="A268" s="25">
        <v>10800</v>
      </c>
      <c r="B268" s="51">
        <v>5</v>
      </c>
      <c r="C268" s="55">
        <f t="shared" si="4"/>
        <v>2160</v>
      </c>
      <c r="D268" s="24" t="s">
        <v>73</v>
      </c>
      <c r="E268" s="48" t="s">
        <v>60</v>
      </c>
    </row>
    <row r="269" spans="1:5" x14ac:dyDescent="0.2">
      <c r="A269" s="27">
        <v>650</v>
      </c>
      <c r="B269" s="65">
        <v>4</v>
      </c>
      <c r="C269" s="55">
        <f t="shared" si="4"/>
        <v>162.5</v>
      </c>
      <c r="D269" s="26" t="s">
        <v>42</v>
      </c>
      <c r="E269" s="49" t="s">
        <v>45</v>
      </c>
    </row>
    <row r="270" spans="1:5" x14ac:dyDescent="0.2">
      <c r="A270" s="25">
        <v>15600</v>
      </c>
      <c r="B270" s="51">
        <v>4</v>
      </c>
      <c r="C270" s="55">
        <f t="shared" si="4"/>
        <v>3900</v>
      </c>
      <c r="D270" s="24" t="s">
        <v>73</v>
      </c>
      <c r="E270" s="48" t="s">
        <v>155</v>
      </c>
    </row>
    <row r="271" spans="1:5" x14ac:dyDescent="0.2">
      <c r="A271" s="27">
        <v>4400</v>
      </c>
      <c r="B271" s="65">
        <v>5</v>
      </c>
      <c r="C271" s="55">
        <f t="shared" si="4"/>
        <v>880</v>
      </c>
      <c r="D271" s="26" t="s">
        <v>42</v>
      </c>
      <c r="E271" s="49" t="s">
        <v>89</v>
      </c>
    </row>
    <row r="272" spans="1:5" x14ac:dyDescent="0.2">
      <c r="A272" s="25">
        <v>1800</v>
      </c>
      <c r="B272" s="51">
        <v>4</v>
      </c>
      <c r="C272" s="55">
        <f t="shared" si="4"/>
        <v>450</v>
      </c>
      <c r="D272" s="24" t="s">
        <v>73</v>
      </c>
      <c r="E272" s="48" t="s">
        <v>45</v>
      </c>
    </row>
    <row r="273" spans="1:5" x14ac:dyDescent="0.2">
      <c r="A273" s="27">
        <v>520</v>
      </c>
      <c r="B273" s="65">
        <v>3</v>
      </c>
      <c r="C273" s="55">
        <f t="shared" si="4"/>
        <v>173.33333333333334</v>
      </c>
      <c r="D273" s="26" t="s">
        <v>42</v>
      </c>
      <c r="E273" s="49" t="s">
        <v>182</v>
      </c>
    </row>
    <row r="274" spans="1:5" x14ac:dyDescent="0.2">
      <c r="A274" s="25">
        <v>3609</v>
      </c>
      <c r="B274" s="51">
        <v>5</v>
      </c>
      <c r="C274" s="55">
        <f t="shared" si="4"/>
        <v>721.8</v>
      </c>
      <c r="D274" s="24" t="s">
        <v>73</v>
      </c>
      <c r="E274" s="48" t="s">
        <v>60</v>
      </c>
    </row>
    <row r="275" spans="1:5" x14ac:dyDescent="0.2">
      <c r="A275" s="27">
        <v>9200</v>
      </c>
      <c r="B275" s="65">
        <v>5</v>
      </c>
      <c r="C275" s="55">
        <f t="shared" si="4"/>
        <v>1840</v>
      </c>
      <c r="D275" s="26" t="s">
        <v>73</v>
      </c>
      <c r="E275" s="49" t="s">
        <v>45</v>
      </c>
    </row>
    <row r="276" spans="1:5" x14ac:dyDescent="0.2">
      <c r="A276" s="25">
        <v>3700</v>
      </c>
      <c r="B276" s="51">
        <v>6</v>
      </c>
      <c r="C276" s="55">
        <f t="shared" si="4"/>
        <v>616.66666666666663</v>
      </c>
      <c r="D276" s="24" t="s">
        <v>42</v>
      </c>
      <c r="E276" s="48" t="s">
        <v>45</v>
      </c>
    </row>
    <row r="277" spans="1:5" x14ac:dyDescent="0.2">
      <c r="A277" s="27">
        <v>900</v>
      </c>
      <c r="B277" s="65">
        <v>4</v>
      </c>
      <c r="C277" s="55">
        <f t="shared" si="4"/>
        <v>225</v>
      </c>
      <c r="D277" s="26" t="s">
        <v>73</v>
      </c>
      <c r="E277" s="49" t="s">
        <v>45</v>
      </c>
    </row>
    <row r="278" spans="1:5" x14ac:dyDescent="0.2">
      <c r="A278" s="25">
        <v>650</v>
      </c>
      <c r="B278" s="51">
        <v>2</v>
      </c>
      <c r="C278" s="55">
        <f t="shared" si="4"/>
        <v>325</v>
      </c>
      <c r="D278" s="24" t="s">
        <v>42</v>
      </c>
      <c r="E278" s="48" t="s">
        <v>45</v>
      </c>
    </row>
    <row r="279" spans="1:5" x14ac:dyDescent="0.2">
      <c r="A279" s="27">
        <v>14800</v>
      </c>
      <c r="B279" s="65">
        <v>5</v>
      </c>
      <c r="C279" s="55">
        <f t="shared" si="4"/>
        <v>2960</v>
      </c>
      <c r="D279" s="26" t="s">
        <v>73</v>
      </c>
      <c r="E279" s="49" t="s">
        <v>155</v>
      </c>
    </row>
    <row r="280" spans="1:5" x14ac:dyDescent="0.2">
      <c r="A280" s="25">
        <v>1000</v>
      </c>
      <c r="B280" s="51">
        <v>3</v>
      </c>
      <c r="C280" s="55">
        <f t="shared" si="4"/>
        <v>333.33333333333331</v>
      </c>
      <c r="D280" s="24" t="s">
        <v>42</v>
      </c>
      <c r="E280" s="48" t="s">
        <v>182</v>
      </c>
    </row>
    <row r="281" spans="1:5" x14ac:dyDescent="0.2">
      <c r="A281" s="27">
        <v>1900</v>
      </c>
      <c r="B281" s="65">
        <v>5</v>
      </c>
      <c r="C281" s="55">
        <f t="shared" si="4"/>
        <v>380</v>
      </c>
      <c r="D281" s="26" t="s">
        <v>73</v>
      </c>
      <c r="E281" s="49" t="s">
        <v>60</v>
      </c>
    </row>
    <row r="282" spans="1:5" x14ac:dyDescent="0.2">
      <c r="A282" s="25">
        <v>1300</v>
      </c>
      <c r="B282" s="51">
        <v>4</v>
      </c>
      <c r="C282" s="55">
        <f t="shared" si="4"/>
        <v>325</v>
      </c>
      <c r="D282" s="24" t="s">
        <v>73</v>
      </c>
      <c r="E282" s="48" t="s">
        <v>182</v>
      </c>
    </row>
    <row r="283" spans="1:5" x14ac:dyDescent="0.2">
      <c r="A283" s="27">
        <v>400</v>
      </c>
      <c r="B283" s="65">
        <v>5</v>
      </c>
      <c r="C283" s="55">
        <f t="shared" si="4"/>
        <v>80</v>
      </c>
      <c r="D283" s="26" t="s">
        <v>42</v>
      </c>
      <c r="E283" s="49" t="s">
        <v>89</v>
      </c>
    </row>
    <row r="284" spans="1:5" x14ac:dyDescent="0.2">
      <c r="A284" s="25">
        <v>9700</v>
      </c>
      <c r="B284" s="51">
        <v>4</v>
      </c>
      <c r="C284" s="55">
        <f t="shared" si="4"/>
        <v>2425</v>
      </c>
      <c r="D284" s="24" t="s">
        <v>73</v>
      </c>
      <c r="E284" s="48" t="s">
        <v>60</v>
      </c>
    </row>
    <row r="285" spans="1:5" x14ac:dyDescent="0.2">
      <c r="A285" s="27">
        <v>1100</v>
      </c>
      <c r="B285" s="65">
        <v>5</v>
      </c>
      <c r="C285" s="55">
        <f t="shared" si="4"/>
        <v>220</v>
      </c>
      <c r="D285" s="26" t="s">
        <v>42</v>
      </c>
      <c r="E285" s="49" t="s">
        <v>182</v>
      </c>
    </row>
    <row r="286" spans="1:5" x14ac:dyDescent="0.2">
      <c r="A286" s="25">
        <v>3900</v>
      </c>
      <c r="B286" s="51">
        <v>3</v>
      </c>
      <c r="C286" s="55">
        <f t="shared" si="4"/>
        <v>1300</v>
      </c>
      <c r="D286" s="24" t="s">
        <v>73</v>
      </c>
      <c r="E286" s="48" t="s">
        <v>45</v>
      </c>
    </row>
    <row r="287" spans="1:5" x14ac:dyDescent="0.2">
      <c r="A287" s="27">
        <v>3700</v>
      </c>
      <c r="B287" s="65">
        <v>5</v>
      </c>
      <c r="C287" s="55">
        <f t="shared" si="4"/>
        <v>740</v>
      </c>
      <c r="D287" s="26" t="s">
        <v>73</v>
      </c>
      <c r="E287" s="49" t="s">
        <v>60</v>
      </c>
    </row>
    <row r="288" spans="1:5" x14ac:dyDescent="0.2">
      <c r="A288" s="25">
        <v>550</v>
      </c>
      <c r="B288" s="51">
        <v>2</v>
      </c>
      <c r="C288" s="55">
        <f t="shared" si="4"/>
        <v>275</v>
      </c>
      <c r="D288" s="24" t="s">
        <v>42</v>
      </c>
      <c r="E288" s="48" t="s">
        <v>45</v>
      </c>
    </row>
    <row r="289" spans="1:5" x14ac:dyDescent="0.2">
      <c r="A289" s="27">
        <v>11000</v>
      </c>
      <c r="B289" s="65">
        <v>6</v>
      </c>
      <c r="C289" s="55">
        <f t="shared" si="4"/>
        <v>1833.3333333333333</v>
      </c>
      <c r="D289" s="26" t="s">
        <v>73</v>
      </c>
      <c r="E289" s="49" t="s">
        <v>45</v>
      </c>
    </row>
    <row r="290" spans="1:5" x14ac:dyDescent="0.2">
      <c r="A290" s="25">
        <v>1000</v>
      </c>
      <c r="B290" s="51">
        <v>3</v>
      </c>
      <c r="C290" s="55">
        <f t="shared" si="4"/>
        <v>333.33333333333331</v>
      </c>
      <c r="D290" s="24" t="s">
        <v>42</v>
      </c>
      <c r="E290" s="48" t="s">
        <v>182</v>
      </c>
    </row>
    <row r="291" spans="1:5" x14ac:dyDescent="0.2">
      <c r="A291" s="27">
        <v>4000</v>
      </c>
      <c r="B291" s="65">
        <v>5</v>
      </c>
      <c r="C291" s="55">
        <f t="shared" si="4"/>
        <v>800</v>
      </c>
      <c r="D291" s="26" t="s">
        <v>73</v>
      </c>
      <c r="E291" s="49" t="s">
        <v>45</v>
      </c>
    </row>
    <row r="292" spans="1:5" x14ac:dyDescent="0.2">
      <c r="A292" s="25">
        <v>1550</v>
      </c>
      <c r="B292" s="51">
        <v>5</v>
      </c>
      <c r="C292" s="55">
        <f t="shared" si="4"/>
        <v>310</v>
      </c>
      <c r="D292" s="24" t="s">
        <v>73</v>
      </c>
      <c r="E292" s="48" t="s">
        <v>45</v>
      </c>
    </row>
    <row r="293" spans="1:5" x14ac:dyDescent="0.2">
      <c r="A293" s="27">
        <v>780</v>
      </c>
      <c r="B293" s="65">
        <v>5</v>
      </c>
      <c r="C293" s="55">
        <f t="shared" si="4"/>
        <v>156</v>
      </c>
      <c r="D293" s="26" t="s">
        <v>42</v>
      </c>
      <c r="E293" s="49" t="s">
        <v>182</v>
      </c>
    </row>
    <row r="294" spans="1:5" x14ac:dyDescent="0.2">
      <c r="A294" s="25">
        <v>11500</v>
      </c>
      <c r="B294" s="51">
        <v>6</v>
      </c>
      <c r="C294" s="55">
        <f t="shared" si="4"/>
        <v>1916.6666666666667</v>
      </c>
      <c r="D294" s="24" t="s">
        <v>73</v>
      </c>
      <c r="E294" s="48" t="s">
        <v>45</v>
      </c>
    </row>
    <row r="295" spans="1:5" x14ac:dyDescent="0.2">
      <c r="A295" s="27">
        <v>4000</v>
      </c>
      <c r="B295" s="65">
        <v>4</v>
      </c>
      <c r="C295" s="55">
        <f t="shared" si="4"/>
        <v>1000</v>
      </c>
      <c r="D295" s="26" t="s">
        <v>42</v>
      </c>
      <c r="E295" s="49" t="s">
        <v>45</v>
      </c>
    </row>
    <row r="296" spans="1:5" x14ac:dyDescent="0.2">
      <c r="A296" s="25">
        <v>4200</v>
      </c>
      <c r="B296" s="51">
        <v>5</v>
      </c>
      <c r="C296" s="55">
        <f t="shared" si="4"/>
        <v>840</v>
      </c>
      <c r="D296" s="24" t="s">
        <v>73</v>
      </c>
      <c r="E296" s="48" t="s">
        <v>60</v>
      </c>
    </row>
    <row r="297" spans="1:5" x14ac:dyDescent="0.2">
      <c r="A297" s="27">
        <v>1100</v>
      </c>
      <c r="B297" s="65">
        <v>4</v>
      </c>
      <c r="C297" s="55">
        <f t="shared" si="4"/>
        <v>275</v>
      </c>
      <c r="D297" s="26" t="s">
        <v>42</v>
      </c>
      <c r="E297" s="49" t="s">
        <v>182</v>
      </c>
    </row>
    <row r="298" spans="1:5" x14ac:dyDescent="0.2">
      <c r="A298" s="25">
        <v>12000</v>
      </c>
      <c r="B298" s="51">
        <v>5</v>
      </c>
      <c r="C298" s="55">
        <f t="shared" si="4"/>
        <v>2400</v>
      </c>
      <c r="D298" s="24" t="s">
        <v>73</v>
      </c>
      <c r="E298" s="48" t="s">
        <v>60</v>
      </c>
    </row>
    <row r="299" spans="1:5" x14ac:dyDescent="0.2">
      <c r="A299" s="27">
        <v>4700</v>
      </c>
      <c r="B299" s="65">
        <v>3</v>
      </c>
      <c r="C299" s="55">
        <f t="shared" si="4"/>
        <v>1566.6666666666667</v>
      </c>
      <c r="D299" s="26" t="s">
        <v>73</v>
      </c>
      <c r="E299" s="49" t="s">
        <v>45</v>
      </c>
    </row>
    <row r="300" spans="1:5" x14ac:dyDescent="0.2">
      <c r="A300" s="25">
        <v>520</v>
      </c>
      <c r="B300" s="51">
        <v>5</v>
      </c>
      <c r="C300" s="55">
        <f t="shared" si="4"/>
        <v>104</v>
      </c>
      <c r="D300" s="24" t="s">
        <v>42</v>
      </c>
      <c r="E300" s="48" t="s">
        <v>89</v>
      </c>
    </row>
    <row r="301" spans="1:5" x14ac:dyDescent="0.2">
      <c r="A301" s="27">
        <v>4200</v>
      </c>
      <c r="B301" s="65">
        <v>4</v>
      </c>
      <c r="C301" s="55">
        <f t="shared" si="4"/>
        <v>1050</v>
      </c>
      <c r="D301" s="26" t="s">
        <v>73</v>
      </c>
      <c r="E301" s="49" t="s">
        <v>60</v>
      </c>
    </row>
    <row r="302" spans="1:5" x14ac:dyDescent="0.2">
      <c r="A302" s="25">
        <v>1450</v>
      </c>
      <c r="B302" s="51">
        <v>4</v>
      </c>
      <c r="C302" s="55">
        <f t="shared" si="4"/>
        <v>362.5</v>
      </c>
      <c r="D302" s="24" t="s">
        <v>73</v>
      </c>
      <c r="E302" s="48" t="s">
        <v>45</v>
      </c>
    </row>
    <row r="303" spans="1:5" x14ac:dyDescent="0.2">
      <c r="A303" s="27">
        <v>650</v>
      </c>
      <c r="B303" s="65">
        <v>3</v>
      </c>
      <c r="C303" s="55">
        <f t="shared" si="4"/>
        <v>216.66666666666666</v>
      </c>
      <c r="D303" s="26" t="s">
        <v>42</v>
      </c>
      <c r="E303" s="49" t="s">
        <v>182</v>
      </c>
    </row>
    <row r="304" spans="1:5" x14ac:dyDescent="0.2">
      <c r="A304" s="25">
        <v>12800</v>
      </c>
      <c r="B304" s="51">
        <v>4</v>
      </c>
      <c r="C304" s="55">
        <f t="shared" si="4"/>
        <v>3200</v>
      </c>
      <c r="D304" s="24" t="s">
        <v>73</v>
      </c>
      <c r="E304" s="48" t="s">
        <v>60</v>
      </c>
    </row>
    <row r="305" spans="1:5" x14ac:dyDescent="0.2">
      <c r="A305" s="27">
        <v>4000</v>
      </c>
      <c r="B305" s="65">
        <v>3</v>
      </c>
      <c r="C305" s="55">
        <f t="shared" si="4"/>
        <v>1333.3333333333333</v>
      </c>
      <c r="D305" s="26" t="s">
        <v>42</v>
      </c>
      <c r="E305" s="49" t="s">
        <v>45</v>
      </c>
    </row>
    <row r="306" spans="1:5" x14ac:dyDescent="0.2">
      <c r="A306" s="25">
        <v>4000</v>
      </c>
      <c r="B306" s="51">
        <v>6</v>
      </c>
      <c r="C306" s="55">
        <f t="shared" si="4"/>
        <v>666.66666666666663</v>
      </c>
      <c r="D306" s="24" t="s">
        <v>73</v>
      </c>
      <c r="E306" s="48" t="s">
        <v>60</v>
      </c>
    </row>
    <row r="307" spans="1:5" x14ac:dyDescent="0.2">
      <c r="A307" s="27">
        <v>650</v>
      </c>
      <c r="B307" s="65">
        <v>4</v>
      </c>
      <c r="C307" s="55">
        <f t="shared" si="4"/>
        <v>162.5</v>
      </c>
      <c r="D307" s="26" t="s">
        <v>42</v>
      </c>
      <c r="E307" s="49" t="s">
        <v>45</v>
      </c>
    </row>
    <row r="308" spans="1:5" x14ac:dyDescent="0.2">
      <c r="A308" s="25">
        <v>11800</v>
      </c>
      <c r="B308" s="51">
        <v>6</v>
      </c>
      <c r="C308" s="55">
        <f t="shared" si="4"/>
        <v>1966.6666666666667</v>
      </c>
      <c r="D308" s="24" t="s">
        <v>73</v>
      </c>
      <c r="E308" s="48" t="s">
        <v>45</v>
      </c>
    </row>
    <row r="309" spans="1:5" x14ac:dyDescent="0.2">
      <c r="A309" s="27">
        <v>4400</v>
      </c>
      <c r="B309" s="65">
        <v>4</v>
      </c>
      <c r="C309" s="55">
        <f t="shared" si="4"/>
        <v>1100</v>
      </c>
      <c r="D309" s="26" t="s">
        <v>73</v>
      </c>
      <c r="E309" s="49" t="s">
        <v>45</v>
      </c>
    </row>
    <row r="310" spans="1:5" x14ac:dyDescent="0.2">
      <c r="A310" s="25">
        <v>520</v>
      </c>
      <c r="B310" s="51">
        <v>4</v>
      </c>
      <c r="C310" s="55">
        <f t="shared" si="4"/>
        <v>130</v>
      </c>
      <c r="D310" s="24" t="s">
        <v>42</v>
      </c>
      <c r="E310" s="48" t="s">
        <v>89</v>
      </c>
    </row>
    <row r="311" spans="1:5" x14ac:dyDescent="0.2">
      <c r="A311" s="27">
        <v>4500</v>
      </c>
      <c r="B311" s="65">
        <v>4</v>
      </c>
      <c r="C311" s="55">
        <f t="shared" si="4"/>
        <v>1125</v>
      </c>
      <c r="D311" s="26" t="s">
        <v>73</v>
      </c>
      <c r="E311" s="49" t="s">
        <v>60</v>
      </c>
    </row>
    <row r="312" spans="1:5" x14ac:dyDescent="0.2">
      <c r="A312" s="25">
        <v>1300</v>
      </c>
      <c r="B312" s="51">
        <v>3</v>
      </c>
      <c r="C312" s="55">
        <f t="shared" si="4"/>
        <v>433.33333333333331</v>
      </c>
      <c r="D312" s="24" t="s">
        <v>73</v>
      </c>
      <c r="E312" s="48" t="s">
        <v>45</v>
      </c>
    </row>
    <row r="313" spans="1:5" x14ac:dyDescent="0.2">
      <c r="A313" s="27">
        <v>3600</v>
      </c>
      <c r="B313" s="65">
        <v>5</v>
      </c>
      <c r="C313" s="55">
        <f t="shared" si="4"/>
        <v>720</v>
      </c>
      <c r="D313" s="26" t="s">
        <v>73</v>
      </c>
      <c r="E313" s="49" t="s">
        <v>45</v>
      </c>
    </row>
    <row r="314" spans="1:5" x14ac:dyDescent="0.2">
      <c r="A314" s="25">
        <v>11000</v>
      </c>
      <c r="B314" s="51">
        <v>5</v>
      </c>
      <c r="C314" s="55">
        <f t="shared" si="4"/>
        <v>2200</v>
      </c>
      <c r="D314" s="24" t="s">
        <v>73</v>
      </c>
      <c r="E314" s="48" t="s">
        <v>45</v>
      </c>
    </row>
    <row r="315" spans="1:5" x14ac:dyDescent="0.2">
      <c r="A315" s="27">
        <v>650</v>
      </c>
      <c r="B315" s="65">
        <v>4</v>
      </c>
      <c r="C315" s="55">
        <f t="shared" si="4"/>
        <v>162.5</v>
      </c>
      <c r="D315" s="26" t="s">
        <v>42</v>
      </c>
      <c r="E315" s="49" t="s">
        <v>182</v>
      </c>
    </row>
    <row r="316" spans="1:5" x14ac:dyDescent="0.2">
      <c r="A316" s="25">
        <v>1000</v>
      </c>
      <c r="B316" s="51">
        <v>4</v>
      </c>
      <c r="C316" s="55">
        <f t="shared" si="4"/>
        <v>250</v>
      </c>
      <c r="D316" s="24" t="s">
        <v>73</v>
      </c>
      <c r="E316" s="48" t="s">
        <v>45</v>
      </c>
    </row>
    <row r="317" spans="1:5" x14ac:dyDescent="0.2">
      <c r="A317" s="27">
        <v>420</v>
      </c>
      <c r="B317" s="65">
        <v>4</v>
      </c>
      <c r="C317" s="55">
        <f t="shared" si="4"/>
        <v>105</v>
      </c>
      <c r="D317" s="26" t="s">
        <v>42</v>
      </c>
      <c r="E317" s="49" t="s">
        <v>89</v>
      </c>
    </row>
    <row r="318" spans="1:5" x14ac:dyDescent="0.2">
      <c r="A318" s="25">
        <v>10800</v>
      </c>
      <c r="B318" s="51">
        <v>5</v>
      </c>
      <c r="C318" s="55">
        <f t="shared" si="4"/>
        <v>2160</v>
      </c>
      <c r="D318" s="24" t="s">
        <v>73</v>
      </c>
      <c r="E318" s="48" t="s">
        <v>60</v>
      </c>
    </row>
    <row r="319" spans="1:5" x14ac:dyDescent="0.2">
      <c r="A319" s="27">
        <v>4000</v>
      </c>
      <c r="B319" s="65">
        <v>4</v>
      </c>
      <c r="C319" s="55">
        <f t="shared" si="4"/>
        <v>1000</v>
      </c>
      <c r="D319" s="26" t="s">
        <v>73</v>
      </c>
      <c r="E319" s="49" t="s">
        <v>60</v>
      </c>
    </row>
    <row r="320" spans="1:5" x14ac:dyDescent="0.2">
      <c r="A320" s="25">
        <v>1000</v>
      </c>
      <c r="B320" s="51">
        <v>6</v>
      </c>
      <c r="C320" s="55">
        <f t="shared" si="4"/>
        <v>166.66666666666666</v>
      </c>
      <c r="D320" s="24" t="s">
        <v>42</v>
      </c>
      <c r="E320" s="48" t="s">
        <v>89</v>
      </c>
    </row>
    <row r="321" spans="1:5" x14ac:dyDescent="0.2">
      <c r="A321" s="27">
        <v>4000</v>
      </c>
      <c r="B321" s="65">
        <v>5</v>
      </c>
      <c r="C321" s="55">
        <f t="shared" si="4"/>
        <v>800</v>
      </c>
      <c r="D321" s="26" t="s">
        <v>73</v>
      </c>
      <c r="E321" s="49" t="s">
        <v>45</v>
      </c>
    </row>
    <row r="322" spans="1:5" x14ac:dyDescent="0.2">
      <c r="A322" s="25">
        <v>1300</v>
      </c>
      <c r="B322" s="51">
        <v>5</v>
      </c>
      <c r="C322" s="55">
        <f t="shared" si="4"/>
        <v>260</v>
      </c>
      <c r="D322" s="24" t="s">
        <v>73</v>
      </c>
      <c r="E322" s="48" t="s">
        <v>45</v>
      </c>
    </row>
    <row r="323" spans="1:5" x14ac:dyDescent="0.2">
      <c r="A323" s="27">
        <v>390</v>
      </c>
      <c r="B323" s="65">
        <v>4</v>
      </c>
      <c r="C323" s="55">
        <f t="shared" ref="C323:C386" si="5">A323/B323</f>
        <v>97.5</v>
      </c>
      <c r="D323" s="26" t="s">
        <v>42</v>
      </c>
      <c r="E323" s="49" t="s">
        <v>182</v>
      </c>
    </row>
    <row r="324" spans="1:5" x14ac:dyDescent="0.2">
      <c r="A324" s="25">
        <v>3000</v>
      </c>
      <c r="B324" s="51">
        <v>5</v>
      </c>
      <c r="C324" s="55">
        <f t="shared" si="5"/>
        <v>600</v>
      </c>
      <c r="D324" s="24" t="s">
        <v>42</v>
      </c>
      <c r="E324" s="48" t="s">
        <v>89</v>
      </c>
    </row>
    <row r="325" spans="1:5" x14ac:dyDescent="0.2">
      <c r="A325" s="27">
        <v>11600</v>
      </c>
      <c r="B325" s="65">
        <v>4</v>
      </c>
      <c r="C325" s="55">
        <f t="shared" si="5"/>
        <v>2900</v>
      </c>
      <c r="D325" s="26" t="s">
        <v>73</v>
      </c>
      <c r="E325" s="49" t="s">
        <v>45</v>
      </c>
    </row>
    <row r="326" spans="1:5" x14ac:dyDescent="0.2">
      <c r="A326" s="25">
        <v>650</v>
      </c>
      <c r="B326" s="51">
        <v>4</v>
      </c>
      <c r="C326" s="55">
        <f t="shared" si="5"/>
        <v>162.5</v>
      </c>
      <c r="D326" s="24" t="s">
        <v>42</v>
      </c>
      <c r="E326" s="48" t="s">
        <v>45</v>
      </c>
    </row>
    <row r="327" spans="1:5" x14ac:dyDescent="0.2">
      <c r="A327" s="27">
        <v>4300</v>
      </c>
      <c r="B327" s="65">
        <v>4</v>
      </c>
      <c r="C327" s="55">
        <f t="shared" si="5"/>
        <v>1075</v>
      </c>
      <c r="D327" s="26" t="s">
        <v>73</v>
      </c>
      <c r="E327" s="49" t="s">
        <v>60</v>
      </c>
    </row>
    <row r="328" spans="1:5" x14ac:dyDescent="0.2">
      <c r="A328" s="25">
        <v>850</v>
      </c>
      <c r="B328" s="51">
        <v>4</v>
      </c>
      <c r="C328" s="55">
        <f t="shared" si="5"/>
        <v>212.5</v>
      </c>
      <c r="D328" s="24" t="s">
        <v>42</v>
      </c>
      <c r="E328" s="48" t="s">
        <v>182</v>
      </c>
    </row>
    <row r="329" spans="1:5" x14ac:dyDescent="0.2">
      <c r="A329" s="27">
        <v>3000</v>
      </c>
      <c r="B329" s="65">
        <v>4</v>
      </c>
      <c r="C329" s="55">
        <f t="shared" si="5"/>
        <v>750</v>
      </c>
      <c r="D329" s="26" t="s">
        <v>73</v>
      </c>
      <c r="E329" s="49" t="s">
        <v>45</v>
      </c>
    </row>
    <row r="330" spans="1:5" x14ac:dyDescent="0.2">
      <c r="A330" s="25">
        <v>300</v>
      </c>
      <c r="B330" s="51">
        <v>6</v>
      </c>
      <c r="C330" s="55">
        <f t="shared" si="5"/>
        <v>50</v>
      </c>
      <c r="D330" s="24" t="s">
        <v>42</v>
      </c>
      <c r="E330" s="48" t="s">
        <v>89</v>
      </c>
    </row>
    <row r="331" spans="1:5" x14ac:dyDescent="0.2">
      <c r="A331" s="27">
        <v>2800</v>
      </c>
      <c r="B331" s="65">
        <v>3</v>
      </c>
      <c r="C331" s="55">
        <f t="shared" si="5"/>
        <v>933.33333333333337</v>
      </c>
      <c r="D331" s="26" t="s">
        <v>73</v>
      </c>
      <c r="E331" s="49" t="s">
        <v>45</v>
      </c>
    </row>
    <row r="332" spans="1:5" x14ac:dyDescent="0.2">
      <c r="A332" s="25">
        <v>900</v>
      </c>
      <c r="B332" s="51">
        <v>4</v>
      </c>
      <c r="C332" s="55">
        <f t="shared" si="5"/>
        <v>225</v>
      </c>
      <c r="D332" s="24" t="s">
        <v>42</v>
      </c>
      <c r="E332" s="48" t="s">
        <v>45</v>
      </c>
    </row>
    <row r="333" spans="1:5" x14ac:dyDescent="0.2">
      <c r="A333" s="27">
        <v>4000</v>
      </c>
      <c r="B333" s="65">
        <v>5</v>
      </c>
      <c r="C333" s="55">
        <f t="shared" si="5"/>
        <v>800</v>
      </c>
      <c r="D333" s="26" t="s">
        <v>73</v>
      </c>
      <c r="E333" s="49" t="s">
        <v>45</v>
      </c>
    </row>
    <row r="334" spans="1:5" x14ac:dyDescent="0.2">
      <c r="A334" s="25">
        <v>650</v>
      </c>
      <c r="B334" s="51">
        <v>5</v>
      </c>
      <c r="C334" s="55">
        <f t="shared" si="5"/>
        <v>130</v>
      </c>
      <c r="D334" s="24" t="s">
        <v>42</v>
      </c>
      <c r="E334" s="48" t="s">
        <v>182</v>
      </c>
    </row>
    <row r="335" spans="1:5" x14ac:dyDescent="0.2">
      <c r="A335" s="27">
        <v>12000</v>
      </c>
      <c r="B335" s="65">
        <v>4</v>
      </c>
      <c r="C335" s="55">
        <f t="shared" si="5"/>
        <v>3000</v>
      </c>
      <c r="D335" s="26" t="s">
        <v>42</v>
      </c>
      <c r="E335" s="49" t="s">
        <v>45</v>
      </c>
    </row>
    <row r="336" spans="1:5" x14ac:dyDescent="0.2">
      <c r="A336" s="25">
        <v>1000</v>
      </c>
      <c r="B336" s="51">
        <v>4</v>
      </c>
      <c r="C336" s="55">
        <f t="shared" si="5"/>
        <v>250</v>
      </c>
      <c r="D336" s="24" t="s">
        <v>42</v>
      </c>
      <c r="E336" s="48" t="s">
        <v>89</v>
      </c>
    </row>
    <row r="337" spans="1:5" x14ac:dyDescent="0.2">
      <c r="A337" s="27">
        <v>3000</v>
      </c>
      <c r="B337" s="65">
        <v>4</v>
      </c>
      <c r="C337" s="55">
        <f t="shared" si="5"/>
        <v>750</v>
      </c>
      <c r="D337" s="26" t="s">
        <v>73</v>
      </c>
      <c r="E337" s="49" t="s">
        <v>60</v>
      </c>
    </row>
    <row r="338" spans="1:5" x14ac:dyDescent="0.2">
      <c r="A338" s="25">
        <v>850</v>
      </c>
      <c r="B338" s="51">
        <v>5</v>
      </c>
      <c r="C338" s="55">
        <f t="shared" si="5"/>
        <v>170</v>
      </c>
      <c r="D338" s="24" t="s">
        <v>42</v>
      </c>
      <c r="E338" s="48" t="s">
        <v>182</v>
      </c>
    </row>
    <row r="339" spans="1:5" x14ac:dyDescent="0.2">
      <c r="A339" s="27">
        <v>11800</v>
      </c>
      <c r="B339" s="65">
        <v>5</v>
      </c>
      <c r="C339" s="55">
        <f t="shared" si="5"/>
        <v>2360</v>
      </c>
      <c r="D339" s="26" t="s">
        <v>73</v>
      </c>
      <c r="E339" s="49" t="s">
        <v>60</v>
      </c>
    </row>
    <row r="340" spans="1:5" x14ac:dyDescent="0.2">
      <c r="A340" s="25">
        <v>3000</v>
      </c>
      <c r="B340" s="51">
        <v>5</v>
      </c>
      <c r="C340" s="55">
        <f t="shared" si="5"/>
        <v>600</v>
      </c>
      <c r="D340" s="24" t="s">
        <v>73</v>
      </c>
      <c r="E340" s="48" t="s">
        <v>45</v>
      </c>
    </row>
    <row r="341" spans="1:5" x14ac:dyDescent="0.2">
      <c r="A341" s="27">
        <v>390</v>
      </c>
      <c r="B341" s="65">
        <v>5</v>
      </c>
      <c r="C341" s="55">
        <f t="shared" si="5"/>
        <v>78</v>
      </c>
      <c r="D341" s="26" t="s">
        <v>42</v>
      </c>
      <c r="E341" s="49" t="s">
        <v>182</v>
      </c>
    </row>
    <row r="342" spans="1:5" x14ac:dyDescent="0.2">
      <c r="A342" s="25">
        <v>4000</v>
      </c>
      <c r="B342" s="51">
        <v>4</v>
      </c>
      <c r="C342" s="55">
        <f t="shared" si="5"/>
        <v>1000</v>
      </c>
      <c r="D342" s="24" t="s">
        <v>73</v>
      </c>
      <c r="E342" s="48" t="s">
        <v>45</v>
      </c>
    </row>
    <row r="343" spans="1:5" x14ac:dyDescent="0.2">
      <c r="A343" s="27">
        <v>650</v>
      </c>
      <c r="B343" s="65">
        <v>5</v>
      </c>
      <c r="C343" s="55">
        <f t="shared" si="5"/>
        <v>130</v>
      </c>
      <c r="D343" s="26" t="s">
        <v>73</v>
      </c>
      <c r="E343" s="49" t="s">
        <v>45</v>
      </c>
    </row>
    <row r="344" spans="1:5" x14ac:dyDescent="0.2">
      <c r="A344" s="25">
        <v>780</v>
      </c>
      <c r="B344" s="51">
        <v>4</v>
      </c>
      <c r="C344" s="55">
        <f t="shared" si="5"/>
        <v>195</v>
      </c>
      <c r="D344" s="24" t="s">
        <v>42</v>
      </c>
      <c r="E344" s="48" t="s">
        <v>45</v>
      </c>
    </row>
    <row r="345" spans="1:5" x14ac:dyDescent="0.2">
      <c r="A345" s="27">
        <v>8300</v>
      </c>
      <c r="B345" s="65">
        <v>4</v>
      </c>
      <c r="C345" s="55">
        <f t="shared" si="5"/>
        <v>2075</v>
      </c>
      <c r="D345" s="26" t="s">
        <v>73</v>
      </c>
      <c r="E345" s="49" t="s">
        <v>60</v>
      </c>
    </row>
    <row r="346" spans="1:5" x14ac:dyDescent="0.2">
      <c r="A346" s="25">
        <v>4000</v>
      </c>
      <c r="B346" s="51">
        <v>4</v>
      </c>
      <c r="C346" s="55">
        <f t="shared" si="5"/>
        <v>1000</v>
      </c>
      <c r="D346" s="24" t="s">
        <v>73</v>
      </c>
      <c r="E346" s="48" t="s">
        <v>45</v>
      </c>
    </row>
    <row r="347" spans="1:5" x14ac:dyDescent="0.2">
      <c r="A347" s="27">
        <v>520</v>
      </c>
      <c r="B347" s="65">
        <v>5</v>
      </c>
      <c r="C347" s="55">
        <f t="shared" si="5"/>
        <v>104</v>
      </c>
      <c r="D347" s="26" t="s">
        <v>42</v>
      </c>
      <c r="E347" s="49" t="s">
        <v>89</v>
      </c>
    </row>
    <row r="348" spans="1:5" x14ac:dyDescent="0.2">
      <c r="A348" s="25">
        <v>1500</v>
      </c>
      <c r="B348" s="51">
        <v>5</v>
      </c>
      <c r="C348" s="55">
        <f t="shared" si="5"/>
        <v>300</v>
      </c>
      <c r="D348" s="24" t="s">
        <v>73</v>
      </c>
      <c r="E348" s="48" t="s">
        <v>45</v>
      </c>
    </row>
    <row r="349" spans="1:5" x14ac:dyDescent="0.2">
      <c r="A349" s="27">
        <v>330</v>
      </c>
      <c r="B349" s="65">
        <v>4</v>
      </c>
      <c r="C349" s="55">
        <f t="shared" si="5"/>
        <v>82.5</v>
      </c>
      <c r="D349" s="26" t="s">
        <v>73</v>
      </c>
      <c r="E349" s="49" t="s">
        <v>60</v>
      </c>
    </row>
    <row r="350" spans="1:5" x14ac:dyDescent="0.2">
      <c r="A350" s="25">
        <v>520</v>
      </c>
      <c r="B350" s="51">
        <v>5</v>
      </c>
      <c r="C350" s="55">
        <f t="shared" si="5"/>
        <v>104</v>
      </c>
      <c r="D350" s="24" t="s">
        <v>42</v>
      </c>
      <c r="E350" s="48" t="s">
        <v>182</v>
      </c>
    </row>
    <row r="351" spans="1:5" x14ac:dyDescent="0.2">
      <c r="A351" s="27">
        <v>9000</v>
      </c>
      <c r="B351" s="65">
        <v>5</v>
      </c>
      <c r="C351" s="55">
        <f t="shared" si="5"/>
        <v>1800</v>
      </c>
      <c r="D351" s="26" t="s">
        <v>73</v>
      </c>
      <c r="E351" s="49" t="s">
        <v>45</v>
      </c>
    </row>
    <row r="352" spans="1:5" x14ac:dyDescent="0.2">
      <c r="A352" s="25">
        <v>2200</v>
      </c>
      <c r="B352" s="51">
        <v>3</v>
      </c>
      <c r="C352" s="55">
        <f t="shared" si="5"/>
        <v>733.33333333333337</v>
      </c>
      <c r="D352" s="24" t="s">
        <v>73</v>
      </c>
      <c r="E352" s="48" t="s">
        <v>45</v>
      </c>
    </row>
    <row r="353" spans="1:5" x14ac:dyDescent="0.2">
      <c r="A353" s="27">
        <v>1300</v>
      </c>
      <c r="B353" s="65">
        <v>5</v>
      </c>
      <c r="C353" s="55">
        <f t="shared" si="5"/>
        <v>260</v>
      </c>
      <c r="D353" s="26" t="s">
        <v>73</v>
      </c>
      <c r="E353" s="49" t="s">
        <v>89</v>
      </c>
    </row>
    <row r="354" spans="1:5" x14ac:dyDescent="0.2">
      <c r="A354" s="25">
        <v>520</v>
      </c>
      <c r="B354" s="51">
        <v>5</v>
      </c>
      <c r="C354" s="55">
        <f t="shared" si="5"/>
        <v>104</v>
      </c>
      <c r="D354" s="24" t="s">
        <v>42</v>
      </c>
      <c r="E354" s="48" t="s">
        <v>182</v>
      </c>
    </row>
    <row r="355" spans="1:5" x14ac:dyDescent="0.2">
      <c r="A355" s="27">
        <v>3200</v>
      </c>
      <c r="B355" s="65">
        <v>4</v>
      </c>
      <c r="C355" s="55">
        <f t="shared" si="5"/>
        <v>800</v>
      </c>
      <c r="D355" s="26" t="s">
        <v>73</v>
      </c>
      <c r="E355" s="49" t="s">
        <v>60</v>
      </c>
    </row>
    <row r="356" spans="1:5" x14ac:dyDescent="0.2">
      <c r="A356" s="25">
        <v>910</v>
      </c>
      <c r="B356" s="51">
        <v>4</v>
      </c>
      <c r="C356" s="55">
        <f t="shared" si="5"/>
        <v>227.5</v>
      </c>
      <c r="D356" s="24" t="s">
        <v>42</v>
      </c>
      <c r="E356" s="48" t="s">
        <v>182</v>
      </c>
    </row>
    <row r="357" spans="1:5" x14ac:dyDescent="0.2">
      <c r="A357" s="27">
        <v>10600</v>
      </c>
      <c r="B357" s="65">
        <v>5</v>
      </c>
      <c r="C357" s="55">
        <f t="shared" si="5"/>
        <v>2120</v>
      </c>
      <c r="D357" s="26" t="s">
        <v>73</v>
      </c>
      <c r="E357" s="49" t="s">
        <v>60</v>
      </c>
    </row>
    <row r="358" spans="1:5" x14ac:dyDescent="0.2">
      <c r="A358" s="25">
        <v>3900</v>
      </c>
      <c r="B358" s="51">
        <v>4</v>
      </c>
      <c r="C358" s="55">
        <f t="shared" si="5"/>
        <v>975</v>
      </c>
      <c r="D358" s="24" t="s">
        <v>73</v>
      </c>
      <c r="E358" s="48" t="s">
        <v>45</v>
      </c>
    </row>
    <row r="359" spans="1:5" x14ac:dyDescent="0.2">
      <c r="A359" s="27">
        <v>350</v>
      </c>
      <c r="B359" s="65">
        <v>5</v>
      </c>
      <c r="C359" s="55">
        <f t="shared" si="5"/>
        <v>70</v>
      </c>
      <c r="D359" s="26" t="s">
        <v>42</v>
      </c>
      <c r="E359" s="49" t="s">
        <v>89</v>
      </c>
    </row>
    <row r="360" spans="1:5" x14ac:dyDescent="0.2">
      <c r="A360" s="25">
        <v>3700</v>
      </c>
      <c r="B360" s="51">
        <v>4</v>
      </c>
      <c r="C360" s="55">
        <f t="shared" si="5"/>
        <v>925</v>
      </c>
      <c r="D360" s="24" t="s">
        <v>73</v>
      </c>
      <c r="E360" s="48" t="s">
        <v>45</v>
      </c>
    </row>
    <row r="361" spans="1:5" x14ac:dyDescent="0.2">
      <c r="A361" s="27">
        <v>1300</v>
      </c>
      <c r="B361" s="65">
        <v>4</v>
      </c>
      <c r="C361" s="55">
        <f t="shared" si="5"/>
        <v>325</v>
      </c>
      <c r="D361" s="26" t="s">
        <v>42</v>
      </c>
      <c r="E361" s="49" t="s">
        <v>45</v>
      </c>
    </row>
    <row r="362" spans="1:5" x14ac:dyDescent="0.2">
      <c r="A362" s="25">
        <v>1000</v>
      </c>
      <c r="B362" s="51">
        <v>5</v>
      </c>
      <c r="C362" s="55">
        <f t="shared" si="5"/>
        <v>200</v>
      </c>
      <c r="D362" s="24" t="s">
        <v>73</v>
      </c>
      <c r="E362" s="48" t="s">
        <v>45</v>
      </c>
    </row>
    <row r="363" spans="1:5" x14ac:dyDescent="0.2">
      <c r="A363" s="27">
        <v>780</v>
      </c>
      <c r="B363" s="65">
        <v>4</v>
      </c>
      <c r="C363" s="55">
        <f t="shared" si="5"/>
        <v>195</v>
      </c>
      <c r="D363" s="26" t="s">
        <v>42</v>
      </c>
      <c r="E363" s="49" t="s">
        <v>45</v>
      </c>
    </row>
    <row r="364" spans="1:5" x14ac:dyDescent="0.2">
      <c r="A364" s="25">
        <v>3800</v>
      </c>
      <c r="B364" s="51">
        <v>4</v>
      </c>
      <c r="C364" s="55">
        <f t="shared" si="5"/>
        <v>950</v>
      </c>
      <c r="D364" s="24" t="s">
        <v>73</v>
      </c>
      <c r="E364" s="48" t="s">
        <v>45</v>
      </c>
    </row>
    <row r="365" spans="1:5" x14ac:dyDescent="0.2">
      <c r="A365" s="27">
        <v>520</v>
      </c>
      <c r="B365" s="65">
        <v>4</v>
      </c>
      <c r="C365" s="55">
        <f t="shared" si="5"/>
        <v>130</v>
      </c>
      <c r="D365" s="26" t="s">
        <v>73</v>
      </c>
      <c r="E365" s="49" t="s">
        <v>45</v>
      </c>
    </row>
    <row r="366" spans="1:5" x14ac:dyDescent="0.2">
      <c r="A366" s="25">
        <v>900</v>
      </c>
      <c r="B366" s="51">
        <v>4</v>
      </c>
      <c r="C366" s="55">
        <f t="shared" si="5"/>
        <v>225</v>
      </c>
      <c r="D366" s="24" t="s">
        <v>42</v>
      </c>
      <c r="E366" s="48" t="s">
        <v>182</v>
      </c>
    </row>
    <row r="367" spans="1:5" x14ac:dyDescent="0.2">
      <c r="A367" s="27">
        <v>9900</v>
      </c>
      <c r="B367" s="65">
        <v>6</v>
      </c>
      <c r="C367" s="55">
        <f t="shared" si="5"/>
        <v>1650</v>
      </c>
      <c r="D367" s="26" t="s">
        <v>73</v>
      </c>
      <c r="E367" s="49" t="s">
        <v>45</v>
      </c>
    </row>
    <row r="368" spans="1:5" x14ac:dyDescent="0.2">
      <c r="A368" s="25">
        <v>11430</v>
      </c>
      <c r="B368" s="51">
        <v>3</v>
      </c>
      <c r="C368" s="55">
        <f t="shared" si="5"/>
        <v>3810</v>
      </c>
      <c r="D368" s="24" t="s">
        <v>73</v>
      </c>
      <c r="E368" s="48" t="s">
        <v>45</v>
      </c>
    </row>
    <row r="369" spans="1:5" x14ac:dyDescent="0.2">
      <c r="A369" s="27">
        <v>390</v>
      </c>
      <c r="B369" s="65">
        <v>5</v>
      </c>
      <c r="C369" s="55">
        <f t="shared" si="5"/>
        <v>78</v>
      </c>
      <c r="D369" s="26" t="s">
        <v>42</v>
      </c>
      <c r="E369" s="49" t="s">
        <v>45</v>
      </c>
    </row>
    <row r="370" spans="1:5" x14ac:dyDescent="0.2">
      <c r="A370" s="25">
        <v>4000</v>
      </c>
      <c r="B370" s="51">
        <v>5</v>
      </c>
      <c r="C370" s="55">
        <f t="shared" si="5"/>
        <v>800</v>
      </c>
      <c r="D370" s="24" t="s">
        <v>73</v>
      </c>
      <c r="E370" s="48" t="s">
        <v>45</v>
      </c>
    </row>
    <row r="371" spans="1:5" x14ac:dyDescent="0.2">
      <c r="A371" s="27">
        <v>2900</v>
      </c>
      <c r="B371" s="65">
        <v>4</v>
      </c>
      <c r="C371" s="55">
        <f t="shared" si="5"/>
        <v>725</v>
      </c>
      <c r="D371" s="26" t="s">
        <v>73</v>
      </c>
      <c r="E371" s="49" t="s">
        <v>60</v>
      </c>
    </row>
    <row r="372" spans="1:5" x14ac:dyDescent="0.2">
      <c r="A372" s="25">
        <v>1070</v>
      </c>
      <c r="B372" s="51">
        <v>4</v>
      </c>
      <c r="C372" s="55">
        <f t="shared" si="5"/>
        <v>267.5</v>
      </c>
      <c r="D372" s="24" t="s">
        <v>42</v>
      </c>
      <c r="E372" s="48" t="s">
        <v>45</v>
      </c>
    </row>
    <row r="373" spans="1:5" x14ac:dyDescent="0.2">
      <c r="A373" s="27">
        <v>1300</v>
      </c>
      <c r="B373" s="65">
        <v>4</v>
      </c>
      <c r="C373" s="55">
        <f t="shared" si="5"/>
        <v>325</v>
      </c>
      <c r="D373" s="26" t="s">
        <v>42</v>
      </c>
      <c r="E373" s="49" t="s">
        <v>182</v>
      </c>
    </row>
    <row r="374" spans="1:5" x14ac:dyDescent="0.2">
      <c r="A374" s="25">
        <v>2400</v>
      </c>
      <c r="B374" s="51">
        <v>4</v>
      </c>
      <c r="C374" s="55">
        <f t="shared" si="5"/>
        <v>600</v>
      </c>
      <c r="D374" s="24" t="s">
        <v>73</v>
      </c>
      <c r="E374" s="48" t="s">
        <v>45</v>
      </c>
    </row>
    <row r="375" spans="1:5" x14ac:dyDescent="0.2">
      <c r="A375" s="27">
        <v>1700</v>
      </c>
      <c r="B375" s="65">
        <v>5</v>
      </c>
      <c r="C375" s="55">
        <f t="shared" si="5"/>
        <v>340</v>
      </c>
      <c r="D375" s="26" t="s">
        <v>73</v>
      </c>
      <c r="E375" s="49" t="s">
        <v>45</v>
      </c>
    </row>
    <row r="376" spans="1:5" x14ac:dyDescent="0.2">
      <c r="A376" s="25">
        <v>6500</v>
      </c>
      <c r="B376" s="51">
        <v>4</v>
      </c>
      <c r="C376" s="55">
        <f t="shared" si="5"/>
        <v>1625</v>
      </c>
      <c r="D376" s="24" t="s">
        <v>73</v>
      </c>
      <c r="E376" s="48" t="s">
        <v>45</v>
      </c>
    </row>
    <row r="377" spans="1:5" x14ac:dyDescent="0.2">
      <c r="A377" s="27">
        <v>900</v>
      </c>
      <c r="B377" s="65">
        <v>5</v>
      </c>
      <c r="C377" s="55">
        <f t="shared" si="5"/>
        <v>180</v>
      </c>
      <c r="D377" s="26" t="s">
        <v>42</v>
      </c>
      <c r="E377" s="49" t="s">
        <v>182</v>
      </c>
    </row>
    <row r="378" spans="1:5" x14ac:dyDescent="0.2">
      <c r="A378" s="25">
        <v>2000</v>
      </c>
      <c r="B378" s="51">
        <v>5</v>
      </c>
      <c r="C378" s="55">
        <f t="shared" si="5"/>
        <v>400</v>
      </c>
      <c r="D378" s="24" t="s">
        <v>73</v>
      </c>
      <c r="E378" s="48" t="s">
        <v>60</v>
      </c>
    </row>
    <row r="379" spans="1:5" x14ac:dyDescent="0.2">
      <c r="A379" s="27">
        <v>2600</v>
      </c>
      <c r="B379" s="65">
        <v>4</v>
      </c>
      <c r="C379" s="55">
        <f t="shared" si="5"/>
        <v>650</v>
      </c>
      <c r="D379" s="26" t="s">
        <v>73</v>
      </c>
      <c r="E379" s="49" t="s">
        <v>45</v>
      </c>
    </row>
    <row r="380" spans="1:5" x14ac:dyDescent="0.2">
      <c r="A380" s="25">
        <v>2200</v>
      </c>
      <c r="B380" s="51">
        <v>6</v>
      </c>
      <c r="C380" s="55">
        <f t="shared" si="5"/>
        <v>366.66666666666669</v>
      </c>
      <c r="D380" s="24" t="s">
        <v>73</v>
      </c>
      <c r="E380" s="48" t="s">
        <v>60</v>
      </c>
    </row>
    <row r="381" spans="1:5" x14ac:dyDescent="0.2">
      <c r="A381" s="27">
        <v>3800</v>
      </c>
      <c r="B381" s="65">
        <v>5</v>
      </c>
      <c r="C381" s="55">
        <f t="shared" si="5"/>
        <v>760</v>
      </c>
      <c r="D381" s="26" t="s">
        <v>73</v>
      </c>
      <c r="E381" s="49" t="s">
        <v>45</v>
      </c>
    </row>
    <row r="382" spans="1:5" x14ac:dyDescent="0.2">
      <c r="A382" s="25">
        <v>520</v>
      </c>
      <c r="B382" s="51">
        <v>4</v>
      </c>
      <c r="C382" s="55">
        <f t="shared" si="5"/>
        <v>130</v>
      </c>
      <c r="D382" s="24" t="s">
        <v>42</v>
      </c>
      <c r="E382" s="48" t="s">
        <v>182</v>
      </c>
    </row>
    <row r="383" spans="1:5" x14ac:dyDescent="0.2">
      <c r="A383" s="27">
        <v>11000</v>
      </c>
      <c r="B383" s="65">
        <v>5</v>
      </c>
      <c r="C383" s="55">
        <f t="shared" si="5"/>
        <v>2200</v>
      </c>
      <c r="D383" s="26" t="s">
        <v>73</v>
      </c>
      <c r="E383" s="49" t="s">
        <v>60</v>
      </c>
    </row>
    <row r="384" spans="1:5" x14ac:dyDescent="0.2">
      <c r="A384" s="25">
        <v>1000</v>
      </c>
      <c r="B384" s="51">
        <v>3</v>
      </c>
      <c r="C384" s="55">
        <f t="shared" si="5"/>
        <v>333.33333333333331</v>
      </c>
      <c r="D384" s="24" t="s">
        <v>42</v>
      </c>
      <c r="E384" s="48" t="s">
        <v>45</v>
      </c>
    </row>
    <row r="385" spans="1:5" x14ac:dyDescent="0.2">
      <c r="A385" s="27">
        <v>9400</v>
      </c>
      <c r="B385" s="65">
        <v>5</v>
      </c>
      <c r="C385" s="55">
        <f t="shared" si="5"/>
        <v>1880</v>
      </c>
      <c r="D385" s="26" t="s">
        <v>73</v>
      </c>
      <c r="E385" s="49" t="s">
        <v>45</v>
      </c>
    </row>
    <row r="386" spans="1:5" x14ac:dyDescent="0.2">
      <c r="A386" s="25">
        <v>6800</v>
      </c>
      <c r="B386" s="51">
        <v>5</v>
      </c>
      <c r="C386" s="55">
        <f t="shared" si="5"/>
        <v>1360</v>
      </c>
      <c r="D386" s="24" t="s">
        <v>73</v>
      </c>
      <c r="E386" s="48" t="s">
        <v>45</v>
      </c>
    </row>
    <row r="387" spans="1:5" x14ac:dyDescent="0.2">
      <c r="A387" s="27">
        <v>4000</v>
      </c>
      <c r="B387" s="65">
        <v>4</v>
      </c>
      <c r="C387" s="55">
        <f t="shared" ref="C387:C450" si="6">A387/B387</f>
        <v>1000</v>
      </c>
      <c r="D387" s="26" t="s">
        <v>73</v>
      </c>
      <c r="E387" s="49" t="s">
        <v>45</v>
      </c>
    </row>
    <row r="388" spans="1:5" x14ac:dyDescent="0.2">
      <c r="A388" s="25">
        <v>390</v>
      </c>
      <c r="B388" s="51">
        <v>5</v>
      </c>
      <c r="C388" s="55">
        <f t="shared" si="6"/>
        <v>78</v>
      </c>
      <c r="D388" s="24" t="s">
        <v>73</v>
      </c>
      <c r="E388" s="48" t="s">
        <v>89</v>
      </c>
    </row>
    <row r="389" spans="1:5" x14ac:dyDescent="0.2">
      <c r="A389" s="27">
        <v>3900</v>
      </c>
      <c r="B389" s="65">
        <v>4</v>
      </c>
      <c r="C389" s="55">
        <f t="shared" si="6"/>
        <v>975</v>
      </c>
      <c r="D389" s="26" t="s">
        <v>73</v>
      </c>
      <c r="E389" s="49" t="s">
        <v>60</v>
      </c>
    </row>
    <row r="390" spans="1:5" x14ac:dyDescent="0.2">
      <c r="A390" s="25">
        <v>1070</v>
      </c>
      <c r="B390" s="51">
        <v>5</v>
      </c>
      <c r="C390" s="55">
        <f t="shared" si="6"/>
        <v>214</v>
      </c>
      <c r="D390" s="24" t="s">
        <v>42</v>
      </c>
      <c r="E390" s="48" t="s">
        <v>45</v>
      </c>
    </row>
    <row r="391" spans="1:5" x14ac:dyDescent="0.2">
      <c r="A391" s="27">
        <v>1300</v>
      </c>
      <c r="B391" s="65">
        <v>4</v>
      </c>
      <c r="C391" s="55">
        <f t="shared" si="6"/>
        <v>325</v>
      </c>
      <c r="D391" s="26" t="s">
        <v>73</v>
      </c>
      <c r="E391" s="49" t="s">
        <v>45</v>
      </c>
    </row>
    <row r="392" spans="1:5" x14ac:dyDescent="0.2">
      <c r="A392" s="25">
        <v>1300</v>
      </c>
      <c r="B392" s="51">
        <v>4</v>
      </c>
      <c r="C392" s="55">
        <f t="shared" si="6"/>
        <v>325</v>
      </c>
      <c r="D392" s="24" t="s">
        <v>73</v>
      </c>
      <c r="E392" s="48" t="s">
        <v>60</v>
      </c>
    </row>
    <row r="393" spans="1:5" x14ac:dyDescent="0.2">
      <c r="A393" s="27">
        <v>650</v>
      </c>
      <c r="B393" s="65">
        <v>5</v>
      </c>
      <c r="C393" s="55">
        <f t="shared" si="6"/>
        <v>130</v>
      </c>
      <c r="D393" s="26" t="s">
        <v>42</v>
      </c>
      <c r="E393" s="49" t="s">
        <v>45</v>
      </c>
    </row>
    <row r="394" spans="1:5" x14ac:dyDescent="0.2">
      <c r="A394" s="25">
        <v>520</v>
      </c>
      <c r="B394" s="51">
        <v>4</v>
      </c>
      <c r="C394" s="55">
        <f t="shared" si="6"/>
        <v>130</v>
      </c>
      <c r="D394" s="24" t="s">
        <v>73</v>
      </c>
      <c r="E394" s="48" t="s">
        <v>45</v>
      </c>
    </row>
    <row r="395" spans="1:5" x14ac:dyDescent="0.2">
      <c r="A395" s="27">
        <v>390</v>
      </c>
      <c r="B395" s="65">
        <v>5</v>
      </c>
      <c r="C395" s="55">
        <f t="shared" si="6"/>
        <v>78</v>
      </c>
      <c r="D395" s="26" t="s">
        <v>42</v>
      </c>
      <c r="E395" s="49" t="s">
        <v>89</v>
      </c>
    </row>
    <row r="396" spans="1:5" x14ac:dyDescent="0.2">
      <c r="A396" s="25">
        <v>4500</v>
      </c>
      <c r="B396" s="51">
        <v>4</v>
      </c>
      <c r="C396" s="55">
        <f t="shared" si="6"/>
        <v>1125</v>
      </c>
      <c r="D396" s="24" t="s">
        <v>73</v>
      </c>
      <c r="E396" s="48" t="s">
        <v>60</v>
      </c>
    </row>
    <row r="397" spans="1:5" x14ac:dyDescent="0.2">
      <c r="A397" s="27">
        <v>1430</v>
      </c>
      <c r="B397" s="65">
        <v>5</v>
      </c>
      <c r="C397" s="55">
        <f t="shared" si="6"/>
        <v>286</v>
      </c>
      <c r="D397" s="26" t="s">
        <v>42</v>
      </c>
      <c r="E397" s="49" t="s">
        <v>45</v>
      </c>
    </row>
    <row r="398" spans="1:5" x14ac:dyDescent="0.2">
      <c r="A398" s="25">
        <v>260</v>
      </c>
      <c r="B398" s="51">
        <v>5</v>
      </c>
      <c r="C398" s="55">
        <f t="shared" si="6"/>
        <v>52</v>
      </c>
      <c r="D398" s="24" t="s">
        <v>42</v>
      </c>
      <c r="E398" s="48" t="s">
        <v>89</v>
      </c>
    </row>
    <row r="399" spans="1:5" x14ac:dyDescent="0.2">
      <c r="A399" s="27">
        <v>1560</v>
      </c>
      <c r="B399" s="65">
        <v>4</v>
      </c>
      <c r="C399" s="55">
        <f t="shared" si="6"/>
        <v>390</v>
      </c>
      <c r="D399" s="26" t="s">
        <v>73</v>
      </c>
      <c r="E399" s="49" t="s">
        <v>182</v>
      </c>
    </row>
    <row r="400" spans="1:5" x14ac:dyDescent="0.2">
      <c r="A400" s="25">
        <v>1690</v>
      </c>
      <c r="B400" s="51">
        <v>5</v>
      </c>
      <c r="C400" s="55">
        <f t="shared" si="6"/>
        <v>338</v>
      </c>
      <c r="D400" s="24" t="s">
        <v>73</v>
      </c>
      <c r="E400" s="48" t="s">
        <v>45</v>
      </c>
    </row>
    <row r="401" spans="1:5" x14ac:dyDescent="0.2">
      <c r="A401" s="27">
        <v>390</v>
      </c>
      <c r="B401" s="65">
        <v>5</v>
      </c>
      <c r="C401" s="55">
        <f t="shared" si="6"/>
        <v>78</v>
      </c>
      <c r="D401" s="26" t="s">
        <v>42</v>
      </c>
      <c r="E401" s="49" t="s">
        <v>89</v>
      </c>
    </row>
    <row r="402" spans="1:5" x14ac:dyDescent="0.2">
      <c r="A402" s="25">
        <v>3600</v>
      </c>
      <c r="B402" s="51">
        <v>4</v>
      </c>
      <c r="C402" s="55">
        <f t="shared" si="6"/>
        <v>900</v>
      </c>
      <c r="D402" s="24" t="s">
        <v>73</v>
      </c>
      <c r="E402" s="48" t="s">
        <v>45</v>
      </c>
    </row>
    <row r="403" spans="1:5" x14ac:dyDescent="0.2">
      <c r="A403" s="27">
        <v>650</v>
      </c>
      <c r="B403" s="65">
        <v>5</v>
      </c>
      <c r="C403" s="55">
        <f t="shared" si="6"/>
        <v>130</v>
      </c>
      <c r="D403" s="26" t="s">
        <v>42</v>
      </c>
      <c r="E403" s="49" t="s">
        <v>45</v>
      </c>
    </row>
    <row r="404" spans="1:5" x14ac:dyDescent="0.2">
      <c r="A404" s="25">
        <v>9600</v>
      </c>
      <c r="B404" s="51">
        <v>6</v>
      </c>
      <c r="C404" s="55">
        <f t="shared" si="6"/>
        <v>1600</v>
      </c>
      <c r="D404" s="24" t="s">
        <v>73</v>
      </c>
      <c r="E404" s="48" t="s">
        <v>109</v>
      </c>
    </row>
    <row r="405" spans="1:5" x14ac:dyDescent="0.2">
      <c r="A405" s="27">
        <v>1430</v>
      </c>
      <c r="B405" s="65">
        <v>4</v>
      </c>
      <c r="C405" s="55">
        <f t="shared" si="6"/>
        <v>357.5</v>
      </c>
      <c r="D405" s="26" t="s">
        <v>42</v>
      </c>
      <c r="E405" s="49" t="s">
        <v>182</v>
      </c>
    </row>
    <row r="406" spans="1:5" x14ac:dyDescent="0.2">
      <c r="A406" s="25">
        <v>9200</v>
      </c>
      <c r="B406" s="51">
        <v>5</v>
      </c>
      <c r="C406" s="55">
        <f t="shared" si="6"/>
        <v>1840</v>
      </c>
      <c r="D406" s="24" t="s">
        <v>73</v>
      </c>
      <c r="E406" s="48" t="s">
        <v>60</v>
      </c>
    </row>
    <row r="407" spans="1:5" x14ac:dyDescent="0.2">
      <c r="A407" s="27">
        <v>520</v>
      </c>
      <c r="B407" s="65">
        <v>5</v>
      </c>
      <c r="C407" s="55">
        <f t="shared" si="6"/>
        <v>104</v>
      </c>
      <c r="D407" s="26" t="s">
        <v>42</v>
      </c>
      <c r="E407" s="49" t="s">
        <v>182</v>
      </c>
    </row>
    <row r="408" spans="1:5" x14ac:dyDescent="0.2">
      <c r="A408" s="25">
        <v>1560</v>
      </c>
      <c r="B408" s="51">
        <v>5</v>
      </c>
      <c r="C408" s="55">
        <f t="shared" si="6"/>
        <v>312</v>
      </c>
      <c r="D408" s="24" t="s">
        <v>73</v>
      </c>
      <c r="E408" s="48" t="s">
        <v>45</v>
      </c>
    </row>
    <row r="409" spans="1:5" x14ac:dyDescent="0.2">
      <c r="A409" s="27">
        <v>390</v>
      </c>
      <c r="B409" s="65">
        <v>5</v>
      </c>
      <c r="C409" s="55">
        <f t="shared" si="6"/>
        <v>78</v>
      </c>
      <c r="D409" s="26" t="s">
        <v>42</v>
      </c>
      <c r="E409" s="49" t="s">
        <v>89</v>
      </c>
    </row>
    <row r="410" spans="1:5" x14ac:dyDescent="0.2">
      <c r="A410" s="25">
        <v>1820</v>
      </c>
      <c r="B410" s="51">
        <v>5</v>
      </c>
      <c r="C410" s="55">
        <f t="shared" si="6"/>
        <v>364</v>
      </c>
      <c r="D410" s="24" t="s">
        <v>73</v>
      </c>
      <c r="E410" s="48" t="s">
        <v>89</v>
      </c>
    </row>
    <row r="411" spans="1:5" x14ac:dyDescent="0.2">
      <c r="A411" s="27">
        <v>260</v>
      </c>
      <c r="B411" s="65">
        <v>5</v>
      </c>
      <c r="C411" s="55">
        <f t="shared" si="6"/>
        <v>52</v>
      </c>
      <c r="D411" s="26" t="s">
        <v>42</v>
      </c>
      <c r="E411" s="49" t="s">
        <v>89</v>
      </c>
    </row>
    <row r="412" spans="1:5" x14ac:dyDescent="0.2">
      <c r="A412" s="25">
        <v>3900</v>
      </c>
      <c r="B412" s="51">
        <v>4</v>
      </c>
      <c r="C412" s="55">
        <f t="shared" si="6"/>
        <v>975</v>
      </c>
      <c r="D412" s="24" t="s">
        <v>73</v>
      </c>
      <c r="E412" s="48" t="s">
        <v>60</v>
      </c>
    </row>
    <row r="413" spans="1:5" x14ac:dyDescent="0.2">
      <c r="A413" s="27">
        <v>390</v>
      </c>
      <c r="B413" s="65">
        <v>5</v>
      </c>
      <c r="C413" s="55">
        <f t="shared" si="6"/>
        <v>78</v>
      </c>
      <c r="D413" s="26" t="s">
        <v>42</v>
      </c>
      <c r="E413" s="49" t="s">
        <v>89</v>
      </c>
    </row>
    <row r="414" spans="1:5" x14ac:dyDescent="0.2">
      <c r="A414" s="25">
        <v>1690</v>
      </c>
      <c r="B414" s="51">
        <v>4</v>
      </c>
      <c r="C414" s="55">
        <f t="shared" si="6"/>
        <v>422.5</v>
      </c>
      <c r="D414" s="24" t="s">
        <v>73</v>
      </c>
      <c r="E414" s="48" t="s">
        <v>182</v>
      </c>
    </row>
    <row r="415" spans="1:5" x14ac:dyDescent="0.2">
      <c r="A415" s="27">
        <v>11000</v>
      </c>
      <c r="B415" s="65">
        <v>6</v>
      </c>
      <c r="C415" s="55">
        <f t="shared" si="6"/>
        <v>1833.3333333333333</v>
      </c>
      <c r="D415" s="26" t="s">
        <v>73</v>
      </c>
      <c r="E415" s="49" t="s">
        <v>45</v>
      </c>
    </row>
    <row r="416" spans="1:5" x14ac:dyDescent="0.2">
      <c r="A416" s="25">
        <v>650</v>
      </c>
      <c r="B416" s="51">
        <v>3</v>
      </c>
      <c r="C416" s="55">
        <f t="shared" si="6"/>
        <v>216.66666666666666</v>
      </c>
      <c r="D416" s="24" t="s">
        <v>42</v>
      </c>
      <c r="E416" s="48" t="s">
        <v>45</v>
      </c>
    </row>
    <row r="417" spans="1:5" x14ac:dyDescent="0.2">
      <c r="A417" s="27">
        <v>4400</v>
      </c>
      <c r="B417" s="65">
        <v>4</v>
      </c>
      <c r="C417" s="55">
        <f t="shared" si="6"/>
        <v>1100</v>
      </c>
      <c r="D417" s="26" t="s">
        <v>73</v>
      </c>
      <c r="E417" s="49" t="s">
        <v>109</v>
      </c>
    </row>
    <row r="418" spans="1:5" x14ac:dyDescent="0.2">
      <c r="A418" s="25">
        <v>390</v>
      </c>
      <c r="B418" s="51">
        <v>6</v>
      </c>
      <c r="C418" s="55">
        <f t="shared" si="6"/>
        <v>65</v>
      </c>
      <c r="D418" s="24" t="s">
        <v>42</v>
      </c>
      <c r="E418" s="48" t="s">
        <v>89</v>
      </c>
    </row>
    <row r="419" spans="1:5" x14ac:dyDescent="0.2">
      <c r="A419" s="27">
        <v>4000</v>
      </c>
      <c r="B419" s="65">
        <v>4</v>
      </c>
      <c r="C419" s="55">
        <f t="shared" si="6"/>
        <v>1000</v>
      </c>
      <c r="D419" s="26" t="s">
        <v>73</v>
      </c>
      <c r="E419" s="49" t="s">
        <v>60</v>
      </c>
    </row>
    <row r="420" spans="1:5" x14ac:dyDescent="0.2">
      <c r="A420" s="25">
        <v>1430</v>
      </c>
      <c r="B420" s="51">
        <v>3</v>
      </c>
      <c r="C420" s="55">
        <f t="shared" si="6"/>
        <v>476.66666666666669</v>
      </c>
      <c r="D420" s="47" t="s">
        <v>42</v>
      </c>
      <c r="E420" s="48" t="s">
        <v>45</v>
      </c>
    </row>
    <row r="421" spans="1:5" x14ac:dyDescent="0.2">
      <c r="A421" s="27">
        <v>9400</v>
      </c>
      <c r="B421" s="65">
        <v>5</v>
      </c>
      <c r="C421" s="55">
        <f t="shared" si="6"/>
        <v>1880</v>
      </c>
      <c r="D421" s="26" t="s">
        <v>73</v>
      </c>
      <c r="E421" s="49" t="s">
        <v>45</v>
      </c>
    </row>
    <row r="422" spans="1:5" x14ac:dyDescent="0.2">
      <c r="A422" s="25">
        <v>8800</v>
      </c>
      <c r="B422" s="51">
        <v>5</v>
      </c>
      <c r="C422" s="55">
        <f t="shared" si="6"/>
        <v>1760</v>
      </c>
      <c r="D422" s="24" t="s">
        <v>73</v>
      </c>
      <c r="E422" s="48" t="s">
        <v>45</v>
      </c>
    </row>
    <row r="423" spans="1:5" x14ac:dyDescent="0.2">
      <c r="A423" s="27">
        <v>520</v>
      </c>
      <c r="B423" s="65">
        <v>4</v>
      </c>
      <c r="C423" s="55">
        <f t="shared" si="6"/>
        <v>130</v>
      </c>
      <c r="D423" s="26" t="s">
        <v>42</v>
      </c>
      <c r="E423" s="49" t="s">
        <v>182</v>
      </c>
    </row>
    <row r="424" spans="1:5" x14ac:dyDescent="0.2">
      <c r="A424" s="25">
        <v>3700</v>
      </c>
      <c r="B424" s="51">
        <v>4</v>
      </c>
      <c r="C424" s="55">
        <f t="shared" si="6"/>
        <v>925</v>
      </c>
      <c r="D424" s="24" t="s">
        <v>73</v>
      </c>
      <c r="E424" s="48" t="s">
        <v>60</v>
      </c>
    </row>
    <row r="425" spans="1:5" x14ac:dyDescent="0.2">
      <c r="A425" s="27">
        <v>9200</v>
      </c>
      <c r="B425" s="65">
        <v>6</v>
      </c>
      <c r="C425" s="55">
        <f t="shared" si="6"/>
        <v>1533.3333333333333</v>
      </c>
      <c r="D425" s="26" t="s">
        <v>73</v>
      </c>
      <c r="E425" s="49" t="s">
        <v>45</v>
      </c>
    </row>
    <row r="426" spans="1:5" x14ac:dyDescent="0.2">
      <c r="A426" s="25">
        <v>780</v>
      </c>
      <c r="B426" s="51">
        <v>6</v>
      </c>
      <c r="C426" s="55">
        <f t="shared" si="6"/>
        <v>130</v>
      </c>
      <c r="D426" s="24" t="s">
        <v>73</v>
      </c>
      <c r="E426" s="48" t="s">
        <v>60</v>
      </c>
    </row>
    <row r="427" spans="1:5" x14ac:dyDescent="0.2">
      <c r="A427" s="27">
        <v>780</v>
      </c>
      <c r="B427" s="65">
        <v>5</v>
      </c>
      <c r="C427" s="55">
        <f t="shared" si="6"/>
        <v>156</v>
      </c>
      <c r="D427" s="26" t="s">
        <v>42</v>
      </c>
      <c r="E427" s="49" t="s">
        <v>45</v>
      </c>
    </row>
    <row r="428" spans="1:5" x14ac:dyDescent="0.2">
      <c r="A428" s="25">
        <v>1180</v>
      </c>
      <c r="B428" s="51">
        <v>5</v>
      </c>
      <c r="C428" s="55">
        <f t="shared" si="6"/>
        <v>236</v>
      </c>
      <c r="D428" s="24" t="s">
        <v>73</v>
      </c>
      <c r="E428" s="48" t="s">
        <v>182</v>
      </c>
    </row>
    <row r="429" spans="1:5" x14ac:dyDescent="0.2">
      <c r="A429" s="27">
        <v>3600</v>
      </c>
      <c r="B429" s="65">
        <v>5</v>
      </c>
      <c r="C429" s="55">
        <f t="shared" si="6"/>
        <v>720</v>
      </c>
      <c r="D429" s="26" t="s">
        <v>73</v>
      </c>
      <c r="E429" s="49" t="s">
        <v>60</v>
      </c>
    </row>
    <row r="430" spans="1:5" x14ac:dyDescent="0.2">
      <c r="A430" s="25">
        <v>520</v>
      </c>
      <c r="B430" s="51">
        <v>5</v>
      </c>
      <c r="C430" s="55">
        <f t="shared" si="6"/>
        <v>104</v>
      </c>
      <c r="D430" s="24" t="s">
        <v>42</v>
      </c>
      <c r="E430" s="48" t="s">
        <v>89</v>
      </c>
    </row>
    <row r="431" spans="1:5" x14ac:dyDescent="0.2">
      <c r="A431" s="27">
        <v>2080</v>
      </c>
      <c r="B431" s="65">
        <v>5</v>
      </c>
      <c r="C431" s="55">
        <f t="shared" si="6"/>
        <v>416</v>
      </c>
      <c r="D431" s="26" t="s">
        <v>73</v>
      </c>
      <c r="E431" s="49" t="s">
        <v>60</v>
      </c>
    </row>
    <row r="432" spans="1:5" x14ac:dyDescent="0.2">
      <c r="A432" s="25">
        <v>390</v>
      </c>
      <c r="B432" s="51">
        <v>5</v>
      </c>
      <c r="C432" s="55">
        <f t="shared" si="6"/>
        <v>78</v>
      </c>
      <c r="D432" s="24" t="s">
        <v>42</v>
      </c>
      <c r="E432" s="48" t="s">
        <v>45</v>
      </c>
    </row>
    <row r="433" spans="1:5" x14ac:dyDescent="0.2">
      <c r="A433" s="27">
        <v>4350</v>
      </c>
      <c r="B433" s="65">
        <v>6</v>
      </c>
      <c r="C433" s="55">
        <f t="shared" si="6"/>
        <v>725</v>
      </c>
      <c r="D433" s="26" t="s">
        <v>73</v>
      </c>
      <c r="E433" s="49" t="s">
        <v>45</v>
      </c>
    </row>
    <row r="434" spans="1:5" x14ac:dyDescent="0.2">
      <c r="A434" s="25">
        <v>520</v>
      </c>
      <c r="B434" s="51">
        <v>5</v>
      </c>
      <c r="C434" s="55">
        <f t="shared" si="6"/>
        <v>104</v>
      </c>
      <c r="D434" s="24" t="s">
        <v>73</v>
      </c>
      <c r="E434" s="48" t="s">
        <v>182</v>
      </c>
    </row>
    <row r="435" spans="1:5" x14ac:dyDescent="0.2">
      <c r="A435" s="27">
        <v>11430</v>
      </c>
      <c r="B435" s="65">
        <v>5</v>
      </c>
      <c r="C435" s="55">
        <f t="shared" si="6"/>
        <v>2286</v>
      </c>
      <c r="D435" s="26" t="s">
        <v>73</v>
      </c>
      <c r="E435" s="49" t="s">
        <v>45</v>
      </c>
    </row>
    <row r="436" spans="1:5" x14ac:dyDescent="0.2">
      <c r="A436" s="25">
        <v>900</v>
      </c>
      <c r="B436" s="51">
        <v>5</v>
      </c>
      <c r="C436" s="55">
        <f t="shared" si="6"/>
        <v>180</v>
      </c>
      <c r="D436" s="24" t="s">
        <v>73</v>
      </c>
      <c r="E436" s="48" t="s">
        <v>45</v>
      </c>
    </row>
    <row r="437" spans="1:5" x14ac:dyDescent="0.2">
      <c r="A437" s="27">
        <v>910</v>
      </c>
      <c r="B437" s="65">
        <v>4</v>
      </c>
      <c r="C437" s="55">
        <f t="shared" si="6"/>
        <v>227.5</v>
      </c>
      <c r="D437" s="26" t="s">
        <v>73</v>
      </c>
      <c r="E437" s="49" t="s">
        <v>45</v>
      </c>
    </row>
    <row r="438" spans="1:5" x14ac:dyDescent="0.2">
      <c r="A438" s="25">
        <v>1560</v>
      </c>
      <c r="B438" s="51">
        <v>5</v>
      </c>
      <c r="C438" s="55">
        <f t="shared" si="6"/>
        <v>312</v>
      </c>
      <c r="D438" s="24" t="s">
        <v>73</v>
      </c>
      <c r="E438" s="48" t="s">
        <v>182</v>
      </c>
    </row>
    <row r="439" spans="1:5" x14ac:dyDescent="0.2">
      <c r="A439" s="27">
        <v>4160</v>
      </c>
      <c r="B439" s="65">
        <v>5</v>
      </c>
      <c r="C439" s="55">
        <f t="shared" si="6"/>
        <v>832</v>
      </c>
      <c r="D439" s="26" t="s">
        <v>73</v>
      </c>
      <c r="E439" s="49" t="s">
        <v>60</v>
      </c>
    </row>
    <row r="440" spans="1:5" x14ac:dyDescent="0.2">
      <c r="A440" s="25">
        <v>520</v>
      </c>
      <c r="B440" s="51">
        <v>5</v>
      </c>
      <c r="C440" s="55">
        <f t="shared" si="6"/>
        <v>104</v>
      </c>
      <c r="D440" s="24" t="s">
        <v>42</v>
      </c>
      <c r="E440" s="48" t="s">
        <v>182</v>
      </c>
    </row>
    <row r="441" spans="1:5" x14ac:dyDescent="0.2">
      <c r="A441" s="27">
        <v>1560</v>
      </c>
      <c r="B441" s="65">
        <v>5</v>
      </c>
      <c r="C441" s="55">
        <f t="shared" si="6"/>
        <v>312</v>
      </c>
      <c r="D441" s="26" t="s">
        <v>73</v>
      </c>
      <c r="E441" s="49" t="s">
        <v>45</v>
      </c>
    </row>
    <row r="442" spans="1:5" x14ac:dyDescent="0.2">
      <c r="A442" s="25">
        <v>390</v>
      </c>
      <c r="B442" s="51">
        <v>5</v>
      </c>
      <c r="C442" s="55">
        <f t="shared" si="6"/>
        <v>78</v>
      </c>
      <c r="D442" s="24" t="s">
        <v>42</v>
      </c>
      <c r="E442" s="48" t="s">
        <v>182</v>
      </c>
    </row>
    <row r="443" spans="1:5" x14ac:dyDescent="0.2">
      <c r="A443" s="27">
        <v>4550</v>
      </c>
      <c r="B443" s="65">
        <v>4</v>
      </c>
      <c r="C443" s="55">
        <f t="shared" si="6"/>
        <v>1137.5</v>
      </c>
      <c r="D443" s="26" t="s">
        <v>73</v>
      </c>
      <c r="E443" s="49" t="s">
        <v>45</v>
      </c>
    </row>
    <row r="444" spans="1:5" x14ac:dyDescent="0.2">
      <c r="A444" s="25">
        <v>650</v>
      </c>
      <c r="B444" s="51">
        <v>4</v>
      </c>
      <c r="C444" s="55">
        <f t="shared" si="6"/>
        <v>162.5</v>
      </c>
      <c r="D444" s="24" t="s">
        <v>42</v>
      </c>
      <c r="E444" s="48" t="s">
        <v>45</v>
      </c>
    </row>
    <row r="445" spans="1:5" x14ac:dyDescent="0.2">
      <c r="A445" s="27">
        <v>1430</v>
      </c>
      <c r="B445" s="65">
        <v>4</v>
      </c>
      <c r="C445" s="55">
        <f t="shared" si="6"/>
        <v>357.5</v>
      </c>
      <c r="D445" s="26" t="s">
        <v>73</v>
      </c>
      <c r="E445" s="49" t="s">
        <v>60</v>
      </c>
    </row>
    <row r="446" spans="1:5" x14ac:dyDescent="0.2">
      <c r="A446" s="25">
        <v>1040</v>
      </c>
      <c r="B446" s="51">
        <v>5</v>
      </c>
      <c r="C446" s="55">
        <f t="shared" si="6"/>
        <v>208</v>
      </c>
      <c r="D446" s="24" t="s">
        <v>73</v>
      </c>
      <c r="E446" s="48" t="s">
        <v>45</v>
      </c>
    </row>
    <row r="447" spans="1:5" x14ac:dyDescent="0.2">
      <c r="A447" s="27">
        <v>780</v>
      </c>
      <c r="B447" s="65">
        <v>3</v>
      </c>
      <c r="C447" s="55">
        <f t="shared" si="6"/>
        <v>260</v>
      </c>
      <c r="D447" s="26" t="s">
        <v>42</v>
      </c>
      <c r="E447" s="49" t="s">
        <v>45</v>
      </c>
    </row>
    <row r="448" spans="1:5" x14ac:dyDescent="0.2">
      <c r="A448" s="25">
        <v>7200</v>
      </c>
      <c r="B448" s="51">
        <v>4</v>
      </c>
      <c r="C448" s="55">
        <f t="shared" si="6"/>
        <v>1800</v>
      </c>
      <c r="D448" s="24" t="s">
        <v>73</v>
      </c>
      <c r="E448" s="48" t="s">
        <v>60</v>
      </c>
    </row>
    <row r="449" spans="1:5" x14ac:dyDescent="0.2">
      <c r="A449" s="27">
        <v>1170</v>
      </c>
      <c r="B449" s="65">
        <v>4</v>
      </c>
      <c r="C449" s="55">
        <f t="shared" si="6"/>
        <v>292.5</v>
      </c>
      <c r="D449" s="26" t="s">
        <v>42</v>
      </c>
      <c r="E449" s="49" t="s">
        <v>182</v>
      </c>
    </row>
    <row r="450" spans="1:5" x14ac:dyDescent="0.2">
      <c r="A450" s="25">
        <v>3250</v>
      </c>
      <c r="B450" s="51">
        <v>5</v>
      </c>
      <c r="C450" s="55">
        <f t="shared" si="6"/>
        <v>650</v>
      </c>
      <c r="D450" s="24" t="s">
        <v>73</v>
      </c>
      <c r="E450" s="48" t="s">
        <v>109</v>
      </c>
    </row>
    <row r="451" spans="1:5" x14ac:dyDescent="0.2">
      <c r="A451" s="27">
        <v>4550</v>
      </c>
      <c r="B451" s="65">
        <v>3</v>
      </c>
      <c r="C451" s="55">
        <f t="shared" ref="C451:C514" si="7">A451/B451</f>
        <v>1516.6666666666667</v>
      </c>
      <c r="D451" s="26" t="s">
        <v>73</v>
      </c>
      <c r="E451" s="49" t="s">
        <v>45</v>
      </c>
    </row>
    <row r="452" spans="1:5" x14ac:dyDescent="0.2">
      <c r="A452" s="25">
        <v>520</v>
      </c>
      <c r="B452" s="51">
        <v>4</v>
      </c>
      <c r="C452" s="55">
        <f t="shared" si="7"/>
        <v>130</v>
      </c>
      <c r="D452" s="24" t="s">
        <v>42</v>
      </c>
      <c r="E452" s="48" t="s">
        <v>89</v>
      </c>
    </row>
    <row r="453" spans="1:5" x14ac:dyDescent="0.2">
      <c r="A453" s="27">
        <v>1430</v>
      </c>
      <c r="B453" s="65">
        <v>5</v>
      </c>
      <c r="C453" s="55">
        <f t="shared" si="7"/>
        <v>286</v>
      </c>
      <c r="D453" s="26" t="s">
        <v>73</v>
      </c>
      <c r="E453" s="49" t="s">
        <v>182</v>
      </c>
    </row>
    <row r="454" spans="1:5" x14ac:dyDescent="0.2">
      <c r="A454" s="25">
        <v>780</v>
      </c>
      <c r="B454" s="51">
        <v>6</v>
      </c>
      <c r="C454" s="55">
        <f t="shared" si="7"/>
        <v>130</v>
      </c>
      <c r="D454" s="24" t="s">
        <v>73</v>
      </c>
      <c r="E454" s="48" t="s">
        <v>60</v>
      </c>
    </row>
    <row r="455" spans="1:5" x14ac:dyDescent="0.2">
      <c r="A455" s="27">
        <v>4100</v>
      </c>
      <c r="B455" s="65">
        <v>3</v>
      </c>
      <c r="C455" s="55">
        <f t="shared" si="7"/>
        <v>1366.6666666666667</v>
      </c>
      <c r="D455" s="26" t="s">
        <v>73</v>
      </c>
      <c r="E455" s="49" t="s">
        <v>155</v>
      </c>
    </row>
    <row r="456" spans="1:5" x14ac:dyDescent="0.2">
      <c r="A456" s="25">
        <v>910</v>
      </c>
      <c r="B456" s="51">
        <v>5</v>
      </c>
      <c r="C456" s="55">
        <f t="shared" si="7"/>
        <v>182</v>
      </c>
      <c r="D456" s="24" t="s">
        <v>73</v>
      </c>
      <c r="E456" s="48" t="s">
        <v>89</v>
      </c>
    </row>
    <row r="457" spans="1:5" x14ac:dyDescent="0.2">
      <c r="A457" s="27">
        <v>910</v>
      </c>
      <c r="B457" s="65">
        <v>3</v>
      </c>
      <c r="C457" s="55">
        <f t="shared" si="7"/>
        <v>303.33333333333331</v>
      </c>
      <c r="D457" s="26" t="s">
        <v>42</v>
      </c>
      <c r="E457" s="49" t="s">
        <v>45</v>
      </c>
    </row>
    <row r="458" spans="1:5" x14ac:dyDescent="0.2">
      <c r="A458" s="25">
        <v>1300</v>
      </c>
      <c r="B458" s="51">
        <v>4</v>
      </c>
      <c r="C458" s="55">
        <f t="shared" si="7"/>
        <v>325</v>
      </c>
      <c r="D458" s="24" t="s">
        <v>73</v>
      </c>
      <c r="E458" s="48" t="s">
        <v>89</v>
      </c>
    </row>
    <row r="459" spans="1:5" x14ac:dyDescent="0.2">
      <c r="A459" s="27">
        <v>3640</v>
      </c>
      <c r="B459" s="65">
        <v>6</v>
      </c>
      <c r="C459" s="55">
        <f t="shared" si="7"/>
        <v>606.66666666666663</v>
      </c>
      <c r="D459" s="26" t="s">
        <v>73</v>
      </c>
      <c r="E459" s="49" t="s">
        <v>60</v>
      </c>
    </row>
    <row r="460" spans="1:5" x14ac:dyDescent="0.2">
      <c r="A460" s="25">
        <v>390</v>
      </c>
      <c r="B460" s="51">
        <v>4</v>
      </c>
      <c r="C460" s="55">
        <f t="shared" si="7"/>
        <v>97.5</v>
      </c>
      <c r="D460" s="24" t="s">
        <v>42</v>
      </c>
      <c r="E460" s="48" t="s">
        <v>89</v>
      </c>
    </row>
    <row r="461" spans="1:5" x14ac:dyDescent="0.2">
      <c r="A461" s="27">
        <v>1820</v>
      </c>
      <c r="B461" s="65">
        <v>3</v>
      </c>
      <c r="C461" s="55">
        <f t="shared" si="7"/>
        <v>606.66666666666663</v>
      </c>
      <c r="D461" s="26" t="s">
        <v>73</v>
      </c>
      <c r="E461" s="49" t="s">
        <v>60</v>
      </c>
    </row>
    <row r="462" spans="1:5" x14ac:dyDescent="0.2">
      <c r="A462" s="25">
        <v>520</v>
      </c>
      <c r="B462" s="51">
        <v>5</v>
      </c>
      <c r="C462" s="55">
        <f t="shared" si="7"/>
        <v>104</v>
      </c>
      <c r="D462" s="24" t="s">
        <v>42</v>
      </c>
      <c r="E462" s="48" t="s">
        <v>89</v>
      </c>
    </row>
    <row r="463" spans="1:5" x14ac:dyDescent="0.2">
      <c r="A463" s="27">
        <v>3900</v>
      </c>
      <c r="B463" s="65">
        <v>4</v>
      </c>
      <c r="C463" s="55">
        <f t="shared" si="7"/>
        <v>975</v>
      </c>
      <c r="D463" s="26" t="s">
        <v>73</v>
      </c>
      <c r="E463" s="49" t="s">
        <v>109</v>
      </c>
    </row>
    <row r="464" spans="1:5" x14ac:dyDescent="0.2">
      <c r="A464" s="25">
        <v>1170</v>
      </c>
      <c r="B464" s="51">
        <v>4</v>
      </c>
      <c r="C464" s="55">
        <f t="shared" si="7"/>
        <v>292.5</v>
      </c>
      <c r="D464" s="24" t="s">
        <v>73</v>
      </c>
      <c r="E464" s="48" t="s">
        <v>182</v>
      </c>
    </row>
    <row r="465" spans="1:5" x14ac:dyDescent="0.2">
      <c r="A465" s="27">
        <v>780</v>
      </c>
      <c r="B465" s="65">
        <v>3</v>
      </c>
      <c r="C465" s="55">
        <f t="shared" si="7"/>
        <v>260</v>
      </c>
      <c r="D465" s="26" t="s">
        <v>42</v>
      </c>
      <c r="E465" s="49" t="s">
        <v>45</v>
      </c>
    </row>
    <row r="466" spans="1:5" x14ac:dyDescent="0.2">
      <c r="A466" s="25">
        <v>910</v>
      </c>
      <c r="B466" s="51">
        <v>4</v>
      </c>
      <c r="C466" s="55">
        <f t="shared" si="7"/>
        <v>227.5</v>
      </c>
      <c r="D466" s="24" t="s">
        <v>73</v>
      </c>
      <c r="E466" s="48" t="s">
        <v>45</v>
      </c>
    </row>
    <row r="467" spans="1:5" x14ac:dyDescent="0.2">
      <c r="A467" s="27">
        <v>650</v>
      </c>
      <c r="B467" s="65">
        <v>3</v>
      </c>
      <c r="C467" s="55">
        <f t="shared" si="7"/>
        <v>216.66666666666666</v>
      </c>
      <c r="D467" s="26" t="s">
        <v>42</v>
      </c>
      <c r="E467" s="49" t="s">
        <v>45</v>
      </c>
    </row>
    <row r="468" spans="1:5" x14ac:dyDescent="0.2">
      <c r="A468" s="25">
        <v>1560</v>
      </c>
      <c r="B468" s="51">
        <v>5</v>
      </c>
      <c r="C468" s="55">
        <f t="shared" si="7"/>
        <v>312</v>
      </c>
      <c r="D468" s="24" t="s">
        <v>73</v>
      </c>
      <c r="E468" s="48" t="s">
        <v>182</v>
      </c>
    </row>
    <row r="469" spans="1:5" x14ac:dyDescent="0.2">
      <c r="A469" s="27">
        <v>3510</v>
      </c>
      <c r="B469" s="65">
        <v>6</v>
      </c>
      <c r="C469" s="55">
        <f t="shared" si="7"/>
        <v>585</v>
      </c>
      <c r="D469" s="26" t="s">
        <v>73</v>
      </c>
      <c r="E469" s="49" t="s">
        <v>60</v>
      </c>
    </row>
    <row r="470" spans="1:5" x14ac:dyDescent="0.2">
      <c r="A470" s="25">
        <v>390</v>
      </c>
      <c r="B470" s="51">
        <v>4</v>
      </c>
      <c r="C470" s="55">
        <f t="shared" si="7"/>
        <v>97.5</v>
      </c>
      <c r="D470" s="24" t="s">
        <v>42</v>
      </c>
      <c r="E470" s="48" t="s">
        <v>89</v>
      </c>
    </row>
    <row r="471" spans="1:5" x14ac:dyDescent="0.2">
      <c r="A471" s="27">
        <v>2080</v>
      </c>
      <c r="B471" s="65">
        <v>3</v>
      </c>
      <c r="C471" s="55">
        <f t="shared" si="7"/>
        <v>693.33333333333337</v>
      </c>
      <c r="D471" s="26" t="s">
        <v>73</v>
      </c>
      <c r="E471" s="49" t="s">
        <v>60</v>
      </c>
    </row>
    <row r="472" spans="1:5" x14ac:dyDescent="0.2">
      <c r="A472" s="25">
        <v>390</v>
      </c>
      <c r="B472" s="51">
        <v>5</v>
      </c>
      <c r="C472" s="55">
        <f t="shared" si="7"/>
        <v>78</v>
      </c>
      <c r="D472" s="24" t="s">
        <v>42</v>
      </c>
      <c r="E472" s="48" t="s">
        <v>89</v>
      </c>
    </row>
    <row r="473" spans="1:5" x14ac:dyDescent="0.2">
      <c r="A473" s="27">
        <v>4160</v>
      </c>
      <c r="B473" s="65">
        <v>4</v>
      </c>
      <c r="C473" s="55">
        <f t="shared" si="7"/>
        <v>1040</v>
      </c>
      <c r="D473" s="26" t="s">
        <v>73</v>
      </c>
      <c r="E473" s="49" t="s">
        <v>109</v>
      </c>
    </row>
    <row r="474" spans="1:5" x14ac:dyDescent="0.2">
      <c r="A474" s="25">
        <v>520</v>
      </c>
      <c r="B474" s="51">
        <v>6</v>
      </c>
      <c r="C474" s="55">
        <f t="shared" si="7"/>
        <v>86.666666666666671</v>
      </c>
      <c r="D474" s="24" t="s">
        <v>73</v>
      </c>
      <c r="E474" s="48" t="s">
        <v>182</v>
      </c>
    </row>
    <row r="475" spans="1:5" x14ac:dyDescent="0.2">
      <c r="A475" s="27">
        <v>1430</v>
      </c>
      <c r="B475" s="65">
        <v>3</v>
      </c>
      <c r="C475" s="55">
        <f t="shared" si="7"/>
        <v>476.66666666666669</v>
      </c>
      <c r="D475" s="26" t="s">
        <v>73</v>
      </c>
      <c r="E475" s="49" t="s">
        <v>45</v>
      </c>
    </row>
    <row r="476" spans="1:5" x14ac:dyDescent="0.2">
      <c r="A476" s="25">
        <v>910</v>
      </c>
      <c r="B476" s="51">
        <v>4</v>
      </c>
      <c r="C476" s="55">
        <f t="shared" si="7"/>
        <v>227.5</v>
      </c>
      <c r="D476" s="24" t="s">
        <v>73</v>
      </c>
      <c r="E476" s="48" t="s">
        <v>45</v>
      </c>
    </row>
    <row r="477" spans="1:5" x14ac:dyDescent="0.2">
      <c r="A477" s="27">
        <v>650</v>
      </c>
      <c r="B477" s="65">
        <v>3</v>
      </c>
      <c r="C477" s="55">
        <f t="shared" si="7"/>
        <v>216.66666666666666</v>
      </c>
      <c r="D477" s="26" t="s">
        <v>42</v>
      </c>
      <c r="E477" s="49" t="s">
        <v>45</v>
      </c>
    </row>
    <row r="478" spans="1:5" x14ac:dyDescent="0.2">
      <c r="A478" s="25">
        <v>1170</v>
      </c>
      <c r="B478" s="51">
        <v>5</v>
      </c>
      <c r="C478" s="55">
        <f t="shared" si="7"/>
        <v>234</v>
      </c>
      <c r="D478" s="24" t="s">
        <v>73</v>
      </c>
      <c r="E478" s="48" t="s">
        <v>182</v>
      </c>
    </row>
    <row r="479" spans="1:5" x14ac:dyDescent="0.2">
      <c r="A479" s="27">
        <v>900</v>
      </c>
      <c r="B479" s="65">
        <v>4</v>
      </c>
      <c r="C479" s="55">
        <f t="shared" si="7"/>
        <v>225</v>
      </c>
      <c r="D479" s="26" t="s">
        <v>73</v>
      </c>
      <c r="E479" s="49" t="s">
        <v>182</v>
      </c>
    </row>
    <row r="480" spans="1:5" x14ac:dyDescent="0.2">
      <c r="A480" s="25">
        <v>3380</v>
      </c>
      <c r="B480" s="51">
        <v>6</v>
      </c>
      <c r="C480" s="55">
        <f t="shared" si="7"/>
        <v>563.33333333333337</v>
      </c>
      <c r="D480" s="24" t="s">
        <v>73</v>
      </c>
      <c r="E480" s="48" t="s">
        <v>60</v>
      </c>
    </row>
    <row r="481" spans="1:5" x14ac:dyDescent="0.2">
      <c r="A481" s="27">
        <v>390</v>
      </c>
      <c r="B481" s="65">
        <v>4</v>
      </c>
      <c r="C481" s="55">
        <f t="shared" si="7"/>
        <v>97.5</v>
      </c>
      <c r="D481" s="26" t="s">
        <v>42</v>
      </c>
      <c r="E481" s="49" t="s">
        <v>89</v>
      </c>
    </row>
    <row r="482" spans="1:5" x14ac:dyDescent="0.2">
      <c r="A482" s="25">
        <v>1950</v>
      </c>
      <c r="B482" s="51">
        <v>3</v>
      </c>
      <c r="C482" s="55">
        <f t="shared" si="7"/>
        <v>650</v>
      </c>
      <c r="D482" s="24" t="s">
        <v>73</v>
      </c>
      <c r="E482" s="48" t="s">
        <v>60</v>
      </c>
    </row>
    <row r="483" spans="1:5" x14ac:dyDescent="0.2">
      <c r="A483" s="27">
        <v>390</v>
      </c>
      <c r="B483" s="65">
        <v>5</v>
      </c>
      <c r="C483" s="55">
        <f t="shared" si="7"/>
        <v>78</v>
      </c>
      <c r="D483" s="26" t="s">
        <v>42</v>
      </c>
      <c r="E483" s="49" t="s">
        <v>89</v>
      </c>
    </row>
    <row r="484" spans="1:5" x14ac:dyDescent="0.2">
      <c r="A484" s="25">
        <v>4350</v>
      </c>
      <c r="B484" s="51">
        <v>4</v>
      </c>
      <c r="C484" s="55">
        <f t="shared" si="7"/>
        <v>1087.5</v>
      </c>
      <c r="D484" s="24" t="s">
        <v>73</v>
      </c>
      <c r="E484" s="48" t="s">
        <v>109</v>
      </c>
    </row>
    <row r="485" spans="1:5" x14ac:dyDescent="0.2">
      <c r="A485" s="27">
        <v>520</v>
      </c>
      <c r="B485" s="65">
        <v>6</v>
      </c>
      <c r="C485" s="55">
        <f t="shared" si="7"/>
        <v>86.666666666666671</v>
      </c>
      <c r="D485" s="26" t="s">
        <v>73</v>
      </c>
      <c r="E485" s="49" t="s">
        <v>182</v>
      </c>
    </row>
    <row r="486" spans="1:5" x14ac:dyDescent="0.2">
      <c r="A486" s="25">
        <v>1560</v>
      </c>
      <c r="B486" s="51">
        <v>3</v>
      </c>
      <c r="C486" s="55">
        <f t="shared" si="7"/>
        <v>520</v>
      </c>
      <c r="D486" s="24" t="s">
        <v>73</v>
      </c>
      <c r="E486" s="48" t="s">
        <v>45</v>
      </c>
    </row>
    <row r="487" spans="1:5" x14ac:dyDescent="0.2">
      <c r="A487" s="27">
        <v>420</v>
      </c>
      <c r="B487" s="65">
        <v>5</v>
      </c>
      <c r="C487" s="55">
        <f t="shared" si="7"/>
        <v>84</v>
      </c>
      <c r="D487" s="26" t="s">
        <v>42</v>
      </c>
      <c r="E487" s="49" t="s">
        <v>182</v>
      </c>
    </row>
    <row r="488" spans="1:5" x14ac:dyDescent="0.2">
      <c r="A488" s="25">
        <v>3840</v>
      </c>
      <c r="B488" s="51">
        <v>5</v>
      </c>
      <c r="C488" s="55">
        <f t="shared" si="7"/>
        <v>768</v>
      </c>
      <c r="D488" s="24" t="s">
        <v>73</v>
      </c>
      <c r="E488" s="48" t="s">
        <v>45</v>
      </c>
    </row>
    <row r="489" spans="1:5" x14ac:dyDescent="0.2">
      <c r="A489" s="27">
        <v>5400</v>
      </c>
      <c r="B489" s="65">
        <v>5</v>
      </c>
      <c r="C489" s="55">
        <f t="shared" si="7"/>
        <v>1080</v>
      </c>
      <c r="D489" s="26" t="s">
        <v>73</v>
      </c>
      <c r="E489" s="49" t="s">
        <v>60</v>
      </c>
    </row>
    <row r="490" spans="1:5" x14ac:dyDescent="0.2">
      <c r="A490" s="25">
        <v>880</v>
      </c>
      <c r="B490" s="51">
        <v>4</v>
      </c>
      <c r="C490" s="55">
        <f t="shared" si="7"/>
        <v>220</v>
      </c>
      <c r="D490" s="24" t="s">
        <v>42</v>
      </c>
      <c r="E490" s="48" t="s">
        <v>45</v>
      </c>
    </row>
    <row r="491" spans="1:5" x14ac:dyDescent="0.2">
      <c r="A491" s="27">
        <v>2000</v>
      </c>
      <c r="B491" s="65">
        <v>5</v>
      </c>
      <c r="C491" s="55">
        <f t="shared" si="7"/>
        <v>400</v>
      </c>
      <c r="D491" s="26" t="s">
        <v>73</v>
      </c>
      <c r="E491" s="49" t="s">
        <v>60</v>
      </c>
    </row>
    <row r="492" spans="1:5" x14ac:dyDescent="0.2">
      <c r="A492" s="25">
        <v>2300</v>
      </c>
      <c r="B492" s="51">
        <v>3</v>
      </c>
      <c r="C492" s="55">
        <f t="shared" si="7"/>
        <v>766.66666666666663</v>
      </c>
      <c r="D492" s="24" t="s">
        <v>73</v>
      </c>
      <c r="E492" s="48" t="s">
        <v>45</v>
      </c>
    </row>
    <row r="493" spans="1:5" x14ac:dyDescent="0.2">
      <c r="A493" s="27">
        <v>1000</v>
      </c>
      <c r="B493" s="65">
        <v>5</v>
      </c>
      <c r="C493" s="55">
        <f t="shared" si="7"/>
        <v>200</v>
      </c>
      <c r="D493" s="26" t="s">
        <v>73</v>
      </c>
      <c r="E493" s="49" t="s">
        <v>182</v>
      </c>
    </row>
    <row r="494" spans="1:5" x14ac:dyDescent="0.2">
      <c r="A494" s="25">
        <v>2800</v>
      </c>
      <c r="B494" s="51">
        <v>4</v>
      </c>
      <c r="C494" s="55">
        <f t="shared" si="7"/>
        <v>700</v>
      </c>
      <c r="D494" s="24" t="s">
        <v>42</v>
      </c>
      <c r="E494" s="48" t="s">
        <v>60</v>
      </c>
    </row>
    <row r="495" spans="1:5" x14ac:dyDescent="0.2">
      <c r="A495" s="27">
        <v>580</v>
      </c>
      <c r="B495" s="65">
        <v>6</v>
      </c>
      <c r="C495" s="55">
        <f t="shared" si="7"/>
        <v>96.666666666666671</v>
      </c>
      <c r="D495" s="26" t="s">
        <v>73</v>
      </c>
      <c r="E495" s="49" t="s">
        <v>45</v>
      </c>
    </row>
    <row r="496" spans="1:5" x14ac:dyDescent="0.2">
      <c r="A496" s="25">
        <v>1430</v>
      </c>
      <c r="B496" s="51">
        <v>4</v>
      </c>
      <c r="C496" s="55">
        <f t="shared" si="7"/>
        <v>357.5</v>
      </c>
      <c r="D496" s="24" t="s">
        <v>73</v>
      </c>
      <c r="E496" s="48" t="s">
        <v>45</v>
      </c>
    </row>
    <row r="497" spans="1:5" x14ac:dyDescent="0.2">
      <c r="A497" s="27">
        <v>650</v>
      </c>
      <c r="B497" s="65">
        <v>3</v>
      </c>
      <c r="C497" s="55">
        <f t="shared" si="7"/>
        <v>216.66666666666666</v>
      </c>
      <c r="D497" s="26" t="s">
        <v>42</v>
      </c>
      <c r="E497" s="49" t="s">
        <v>89</v>
      </c>
    </row>
    <row r="498" spans="1:5" x14ac:dyDescent="0.2">
      <c r="A498" s="25">
        <v>7800</v>
      </c>
      <c r="B498" s="51">
        <v>6</v>
      </c>
      <c r="C498" s="55">
        <f t="shared" si="7"/>
        <v>1300</v>
      </c>
      <c r="D498" s="24" t="s">
        <v>73</v>
      </c>
      <c r="E498" s="48" t="s">
        <v>60</v>
      </c>
    </row>
    <row r="499" spans="1:5" x14ac:dyDescent="0.2">
      <c r="A499" s="27">
        <v>4800</v>
      </c>
      <c r="B499" s="65">
        <v>3</v>
      </c>
      <c r="C499" s="55">
        <f t="shared" si="7"/>
        <v>1600</v>
      </c>
      <c r="D499" s="26" t="s">
        <v>73</v>
      </c>
      <c r="E499" s="49" t="s">
        <v>109</v>
      </c>
    </row>
    <row r="500" spans="1:5" x14ac:dyDescent="0.2">
      <c r="A500" s="25">
        <v>390</v>
      </c>
      <c r="B500" s="51">
        <v>5</v>
      </c>
      <c r="C500" s="55">
        <f t="shared" si="7"/>
        <v>78</v>
      </c>
      <c r="D500" s="24" t="s">
        <v>42</v>
      </c>
      <c r="E500" s="48" t="s">
        <v>89</v>
      </c>
    </row>
    <row r="501" spans="1:5" x14ac:dyDescent="0.2">
      <c r="A501" s="27">
        <v>3500</v>
      </c>
      <c r="B501" s="65">
        <v>4</v>
      </c>
      <c r="C501" s="55">
        <f t="shared" si="7"/>
        <v>875</v>
      </c>
      <c r="D501" s="26" t="s">
        <v>73</v>
      </c>
      <c r="E501" s="49" t="s">
        <v>60</v>
      </c>
    </row>
    <row r="502" spans="1:5" x14ac:dyDescent="0.2">
      <c r="A502" s="25">
        <v>1000</v>
      </c>
      <c r="B502" s="51">
        <v>5</v>
      </c>
      <c r="C502" s="55">
        <f t="shared" si="7"/>
        <v>200</v>
      </c>
      <c r="D502" s="24" t="s">
        <v>73</v>
      </c>
      <c r="E502" s="48" t="s">
        <v>182</v>
      </c>
    </row>
    <row r="503" spans="1:5" x14ac:dyDescent="0.2">
      <c r="A503" s="27">
        <v>2100</v>
      </c>
      <c r="B503" s="65">
        <v>5</v>
      </c>
      <c r="C503" s="55">
        <f t="shared" si="7"/>
        <v>420</v>
      </c>
      <c r="D503" s="26" t="s">
        <v>73</v>
      </c>
      <c r="E503" s="49" t="s">
        <v>60</v>
      </c>
    </row>
    <row r="504" spans="1:5" x14ac:dyDescent="0.2">
      <c r="A504" s="25">
        <v>1170</v>
      </c>
      <c r="B504" s="51">
        <v>4</v>
      </c>
      <c r="C504" s="55">
        <f t="shared" si="7"/>
        <v>292.5</v>
      </c>
      <c r="D504" s="24" t="s">
        <v>73</v>
      </c>
      <c r="E504" s="48" t="s">
        <v>182</v>
      </c>
    </row>
    <row r="505" spans="1:5" x14ac:dyDescent="0.2">
      <c r="A505" s="27">
        <v>3200</v>
      </c>
      <c r="B505" s="65">
        <v>4</v>
      </c>
      <c r="C505" s="55">
        <f t="shared" si="7"/>
        <v>800</v>
      </c>
      <c r="D505" s="26" t="s">
        <v>42</v>
      </c>
      <c r="E505" s="49" t="s">
        <v>60</v>
      </c>
    </row>
    <row r="506" spans="1:5" x14ac:dyDescent="0.2">
      <c r="A506" s="25">
        <v>1430</v>
      </c>
      <c r="B506" s="51">
        <v>4</v>
      </c>
      <c r="C506" s="55">
        <f t="shared" si="7"/>
        <v>357.5</v>
      </c>
      <c r="D506" s="24" t="s">
        <v>42</v>
      </c>
      <c r="E506" s="48" t="s">
        <v>45</v>
      </c>
    </row>
    <row r="507" spans="1:5" x14ac:dyDescent="0.2">
      <c r="A507" s="27">
        <v>9300</v>
      </c>
      <c r="B507" s="65">
        <v>6</v>
      </c>
      <c r="C507" s="55">
        <f t="shared" si="7"/>
        <v>1550</v>
      </c>
      <c r="D507" s="26" t="s">
        <v>73</v>
      </c>
      <c r="E507" s="49" t="s">
        <v>60</v>
      </c>
    </row>
    <row r="508" spans="1:5" x14ac:dyDescent="0.2">
      <c r="A508" s="25">
        <v>780</v>
      </c>
      <c r="B508" s="51">
        <v>6</v>
      </c>
      <c r="C508" s="55">
        <f t="shared" si="7"/>
        <v>130</v>
      </c>
      <c r="D508" s="24" t="s">
        <v>42</v>
      </c>
      <c r="E508" s="48" t="s">
        <v>182</v>
      </c>
    </row>
    <row r="509" spans="1:5" x14ac:dyDescent="0.2">
      <c r="A509" s="27">
        <v>780</v>
      </c>
      <c r="B509" s="65">
        <v>6</v>
      </c>
      <c r="C509" s="55">
        <f t="shared" si="7"/>
        <v>130</v>
      </c>
      <c r="D509" s="26" t="s">
        <v>73</v>
      </c>
      <c r="E509" s="49" t="s">
        <v>89</v>
      </c>
    </row>
    <row r="510" spans="1:5" x14ac:dyDescent="0.2">
      <c r="A510" s="25">
        <v>3600</v>
      </c>
      <c r="B510" s="51">
        <v>4</v>
      </c>
      <c r="C510" s="55">
        <f t="shared" si="7"/>
        <v>900</v>
      </c>
      <c r="D510" s="24" t="s">
        <v>73</v>
      </c>
      <c r="E510" s="48" t="s">
        <v>45</v>
      </c>
    </row>
    <row r="511" spans="1:5" x14ac:dyDescent="0.2">
      <c r="A511" s="27">
        <v>3600</v>
      </c>
      <c r="B511" s="65">
        <v>5</v>
      </c>
      <c r="C511" s="55">
        <f t="shared" si="7"/>
        <v>720</v>
      </c>
      <c r="D511" s="26" t="s">
        <v>42</v>
      </c>
      <c r="E511" s="49" t="s">
        <v>45</v>
      </c>
    </row>
    <row r="512" spans="1:5" x14ac:dyDescent="0.2">
      <c r="A512" s="25">
        <v>7500</v>
      </c>
      <c r="B512" s="51">
        <v>6</v>
      </c>
      <c r="C512" s="55">
        <f t="shared" si="7"/>
        <v>1250</v>
      </c>
      <c r="D512" s="24" t="s">
        <v>73</v>
      </c>
      <c r="E512" s="48" t="s">
        <v>60</v>
      </c>
    </row>
    <row r="513" spans="1:5" x14ac:dyDescent="0.2">
      <c r="A513" s="27">
        <v>1200</v>
      </c>
      <c r="B513" s="65">
        <v>3</v>
      </c>
      <c r="C513" s="55">
        <f t="shared" si="7"/>
        <v>400</v>
      </c>
      <c r="D513" s="26" t="s">
        <v>73</v>
      </c>
      <c r="E513" s="49" t="s">
        <v>60</v>
      </c>
    </row>
    <row r="514" spans="1:5" x14ac:dyDescent="0.2">
      <c r="A514" s="25">
        <v>430</v>
      </c>
      <c r="B514" s="51">
        <v>5</v>
      </c>
      <c r="C514" s="55">
        <f t="shared" si="7"/>
        <v>86</v>
      </c>
      <c r="D514" s="24" t="s">
        <v>42</v>
      </c>
      <c r="E514" s="48" t="s">
        <v>89</v>
      </c>
    </row>
    <row r="515" spans="1:5" x14ac:dyDescent="0.2">
      <c r="A515" s="27">
        <v>1000</v>
      </c>
      <c r="B515" s="65">
        <v>3</v>
      </c>
      <c r="C515" s="55">
        <f t="shared" ref="C515:C568" si="8">A515/B515</f>
        <v>333.33333333333331</v>
      </c>
      <c r="D515" s="26" t="s">
        <v>73</v>
      </c>
      <c r="E515" s="49" t="s">
        <v>45</v>
      </c>
    </row>
    <row r="516" spans="1:5" x14ac:dyDescent="0.2">
      <c r="A516" s="25">
        <v>1100</v>
      </c>
      <c r="B516" s="51">
        <v>3</v>
      </c>
      <c r="C516" s="55">
        <f t="shared" si="8"/>
        <v>366.66666666666669</v>
      </c>
      <c r="D516" s="24" t="s">
        <v>73</v>
      </c>
      <c r="E516" s="48" t="s">
        <v>45</v>
      </c>
    </row>
    <row r="517" spans="1:5" x14ac:dyDescent="0.2">
      <c r="A517" s="27">
        <v>3000</v>
      </c>
      <c r="B517" s="65">
        <v>5</v>
      </c>
      <c r="C517" s="55">
        <f t="shared" si="8"/>
        <v>600</v>
      </c>
      <c r="D517" s="26" t="s">
        <v>73</v>
      </c>
      <c r="E517" s="49" t="s">
        <v>60</v>
      </c>
    </row>
    <row r="518" spans="1:5" x14ac:dyDescent="0.2">
      <c r="A518" s="25">
        <v>900</v>
      </c>
      <c r="B518" s="51">
        <v>5</v>
      </c>
      <c r="C518" s="55">
        <f t="shared" si="8"/>
        <v>180</v>
      </c>
      <c r="D518" s="24" t="s">
        <v>42</v>
      </c>
      <c r="E518" s="48" t="s">
        <v>182</v>
      </c>
    </row>
    <row r="519" spans="1:5" x14ac:dyDescent="0.2">
      <c r="A519" s="27">
        <v>1900</v>
      </c>
      <c r="B519" s="65">
        <v>5</v>
      </c>
      <c r="C519" s="55">
        <f t="shared" si="8"/>
        <v>380</v>
      </c>
      <c r="D519" s="26" t="s">
        <v>42</v>
      </c>
      <c r="E519" s="49" t="s">
        <v>60</v>
      </c>
    </row>
    <row r="520" spans="1:5" x14ac:dyDescent="0.2">
      <c r="A520" s="25">
        <v>650</v>
      </c>
      <c r="B520" s="51">
        <v>3</v>
      </c>
      <c r="C520" s="55">
        <f t="shared" si="8"/>
        <v>216.66666666666666</v>
      </c>
      <c r="D520" s="24" t="s">
        <v>42</v>
      </c>
      <c r="E520" s="48" t="s">
        <v>45</v>
      </c>
    </row>
    <row r="521" spans="1:5" x14ac:dyDescent="0.2">
      <c r="A521" s="27">
        <v>8700</v>
      </c>
      <c r="B521" s="65">
        <v>6</v>
      </c>
      <c r="C521" s="55">
        <f t="shared" si="8"/>
        <v>1450</v>
      </c>
      <c r="D521" s="26" t="s">
        <v>73</v>
      </c>
      <c r="E521" s="49" t="s">
        <v>45</v>
      </c>
    </row>
    <row r="522" spans="1:5" x14ac:dyDescent="0.2">
      <c r="A522" s="25">
        <v>3000</v>
      </c>
      <c r="B522" s="51">
        <v>3</v>
      </c>
      <c r="C522" s="55">
        <f t="shared" si="8"/>
        <v>1000</v>
      </c>
      <c r="D522" s="24" t="s">
        <v>42</v>
      </c>
      <c r="E522" s="48" t="s">
        <v>60</v>
      </c>
    </row>
    <row r="523" spans="1:5" x14ac:dyDescent="0.2">
      <c r="A523" s="27">
        <v>3600</v>
      </c>
      <c r="B523" s="65">
        <v>4</v>
      </c>
      <c r="C523" s="55">
        <f t="shared" si="8"/>
        <v>900</v>
      </c>
      <c r="D523" s="26" t="s">
        <v>73</v>
      </c>
      <c r="E523" s="49" t="s">
        <v>60</v>
      </c>
    </row>
    <row r="524" spans="1:5" x14ac:dyDescent="0.2">
      <c r="A524" s="25">
        <v>600</v>
      </c>
      <c r="B524" s="51">
        <v>5</v>
      </c>
      <c r="C524" s="55">
        <f t="shared" si="8"/>
        <v>120</v>
      </c>
      <c r="D524" s="24" t="s">
        <v>42</v>
      </c>
      <c r="E524" s="48" t="s">
        <v>45</v>
      </c>
    </row>
    <row r="525" spans="1:5" x14ac:dyDescent="0.2">
      <c r="A525" s="27">
        <v>1300</v>
      </c>
      <c r="B525" s="65">
        <v>5</v>
      </c>
      <c r="C525" s="55">
        <f t="shared" si="8"/>
        <v>260</v>
      </c>
      <c r="D525" s="26" t="s">
        <v>73</v>
      </c>
      <c r="E525" s="49" t="s">
        <v>45</v>
      </c>
    </row>
    <row r="526" spans="1:5" x14ac:dyDescent="0.2">
      <c r="A526" s="25">
        <v>3000</v>
      </c>
      <c r="B526" s="51">
        <v>5</v>
      </c>
      <c r="C526" s="55">
        <f t="shared" si="8"/>
        <v>600</v>
      </c>
      <c r="D526" s="24" t="s">
        <v>73</v>
      </c>
      <c r="E526" s="48" t="s">
        <v>109</v>
      </c>
    </row>
    <row r="527" spans="1:5" x14ac:dyDescent="0.2">
      <c r="A527" s="27">
        <v>980</v>
      </c>
      <c r="B527" s="65">
        <v>5</v>
      </c>
      <c r="C527" s="55">
        <f t="shared" si="8"/>
        <v>196</v>
      </c>
      <c r="D527" s="26" t="s">
        <v>73</v>
      </c>
      <c r="E527" s="49" t="s">
        <v>182</v>
      </c>
    </row>
    <row r="528" spans="1:5" x14ac:dyDescent="0.2">
      <c r="A528" s="25">
        <v>910</v>
      </c>
      <c r="B528" s="51">
        <v>6</v>
      </c>
      <c r="C528" s="55">
        <f t="shared" si="8"/>
        <v>151.66666666666666</v>
      </c>
      <c r="D528" s="24" t="s">
        <v>73</v>
      </c>
      <c r="E528" s="48" t="s">
        <v>45</v>
      </c>
    </row>
    <row r="529" spans="1:5" x14ac:dyDescent="0.2">
      <c r="A529" s="27">
        <v>2300</v>
      </c>
      <c r="B529" s="65">
        <v>4</v>
      </c>
      <c r="C529" s="55">
        <f t="shared" si="8"/>
        <v>575</v>
      </c>
      <c r="D529" s="26" t="s">
        <v>42</v>
      </c>
      <c r="E529" s="49" t="s">
        <v>60</v>
      </c>
    </row>
    <row r="530" spans="1:5" x14ac:dyDescent="0.2">
      <c r="A530" s="25">
        <v>2300</v>
      </c>
      <c r="B530" s="51">
        <v>4</v>
      </c>
      <c r="C530" s="55">
        <f t="shared" si="8"/>
        <v>575</v>
      </c>
      <c r="D530" s="24" t="s">
        <v>73</v>
      </c>
      <c r="E530" s="48" t="s">
        <v>45</v>
      </c>
    </row>
    <row r="531" spans="1:5" x14ac:dyDescent="0.2">
      <c r="A531" s="27">
        <v>630</v>
      </c>
      <c r="B531" s="65">
        <v>4</v>
      </c>
      <c r="C531" s="55">
        <f t="shared" si="8"/>
        <v>157.5</v>
      </c>
      <c r="D531" s="26" t="s">
        <v>42</v>
      </c>
      <c r="E531" s="49" t="s">
        <v>89</v>
      </c>
    </row>
    <row r="532" spans="1:5" x14ac:dyDescent="0.2">
      <c r="A532" s="25">
        <v>1820</v>
      </c>
      <c r="B532" s="51">
        <v>4</v>
      </c>
      <c r="C532" s="55">
        <f t="shared" si="8"/>
        <v>455</v>
      </c>
      <c r="D532" s="24" t="s">
        <v>73</v>
      </c>
      <c r="E532" s="48" t="s">
        <v>45</v>
      </c>
    </row>
    <row r="533" spans="1:5" x14ac:dyDescent="0.2">
      <c r="A533" s="27">
        <v>3900</v>
      </c>
      <c r="B533" s="65">
        <v>5</v>
      </c>
      <c r="C533" s="55">
        <f t="shared" si="8"/>
        <v>780</v>
      </c>
      <c r="D533" s="26" t="s">
        <v>73</v>
      </c>
      <c r="E533" s="49" t="s">
        <v>60</v>
      </c>
    </row>
    <row r="534" spans="1:5" x14ac:dyDescent="0.2">
      <c r="A534" s="25">
        <v>780</v>
      </c>
      <c r="B534" s="51">
        <v>5</v>
      </c>
      <c r="C534" s="55">
        <f t="shared" si="8"/>
        <v>156</v>
      </c>
      <c r="D534" s="24" t="s">
        <v>42</v>
      </c>
      <c r="E534" s="48" t="s">
        <v>45</v>
      </c>
    </row>
    <row r="535" spans="1:5" x14ac:dyDescent="0.2">
      <c r="A535" s="27">
        <v>3200</v>
      </c>
      <c r="B535" s="65">
        <v>5</v>
      </c>
      <c r="C535" s="55">
        <f t="shared" si="8"/>
        <v>640</v>
      </c>
      <c r="D535" s="26" t="s">
        <v>73</v>
      </c>
      <c r="E535" s="49" t="s">
        <v>45</v>
      </c>
    </row>
    <row r="536" spans="1:5" x14ac:dyDescent="0.2">
      <c r="A536" s="25">
        <v>6700</v>
      </c>
      <c r="B536" s="51">
        <v>5</v>
      </c>
      <c r="C536" s="55">
        <f t="shared" si="8"/>
        <v>1340</v>
      </c>
      <c r="D536" s="24" t="s">
        <v>73</v>
      </c>
      <c r="E536" s="48" t="s">
        <v>45</v>
      </c>
    </row>
    <row r="537" spans="1:5" x14ac:dyDescent="0.2">
      <c r="A537" s="27">
        <v>780</v>
      </c>
      <c r="B537" s="65">
        <v>4</v>
      </c>
      <c r="C537" s="55">
        <f t="shared" si="8"/>
        <v>195</v>
      </c>
      <c r="D537" s="26" t="s">
        <v>42</v>
      </c>
      <c r="E537" s="49" t="s">
        <v>182</v>
      </c>
    </row>
    <row r="538" spans="1:5" x14ac:dyDescent="0.2">
      <c r="A538" s="25">
        <v>3900</v>
      </c>
      <c r="B538" s="51">
        <v>4</v>
      </c>
      <c r="C538" s="55">
        <f t="shared" si="8"/>
        <v>975</v>
      </c>
      <c r="D538" s="24" t="s">
        <v>73</v>
      </c>
      <c r="E538" s="48" t="s">
        <v>155</v>
      </c>
    </row>
    <row r="539" spans="1:5" x14ac:dyDescent="0.2">
      <c r="A539" s="27">
        <v>3520</v>
      </c>
      <c r="B539" s="65">
        <v>3</v>
      </c>
      <c r="C539" s="55">
        <f t="shared" si="8"/>
        <v>1173.3333333333333</v>
      </c>
      <c r="D539" s="26" t="s">
        <v>42</v>
      </c>
      <c r="E539" s="49" t="s">
        <v>109</v>
      </c>
    </row>
    <row r="540" spans="1:5" x14ac:dyDescent="0.2">
      <c r="A540" s="25">
        <v>1049</v>
      </c>
      <c r="B540" s="51">
        <v>6</v>
      </c>
      <c r="C540" s="55">
        <f t="shared" si="8"/>
        <v>174.83333333333334</v>
      </c>
      <c r="D540" s="24" t="s">
        <v>73</v>
      </c>
      <c r="E540" s="48" t="s">
        <v>89</v>
      </c>
    </row>
    <row r="541" spans="1:5" x14ac:dyDescent="0.2">
      <c r="A541" s="27">
        <v>530</v>
      </c>
      <c r="B541" s="65">
        <v>4</v>
      </c>
      <c r="C541" s="55">
        <f t="shared" si="8"/>
        <v>132.5</v>
      </c>
      <c r="D541" s="26" t="s">
        <v>42</v>
      </c>
      <c r="E541" s="49" t="s">
        <v>89</v>
      </c>
    </row>
    <row r="542" spans="1:5" x14ac:dyDescent="0.2">
      <c r="A542" s="25">
        <v>4890</v>
      </c>
      <c r="B542" s="51">
        <v>3</v>
      </c>
      <c r="C542" s="55">
        <f t="shared" si="8"/>
        <v>1630</v>
      </c>
      <c r="D542" s="24" t="s">
        <v>73</v>
      </c>
      <c r="E542" s="48" t="s">
        <v>109</v>
      </c>
    </row>
    <row r="543" spans="1:5" x14ac:dyDescent="0.2">
      <c r="A543" s="27">
        <v>1180</v>
      </c>
      <c r="B543" s="65">
        <v>3</v>
      </c>
      <c r="C543" s="55">
        <f t="shared" si="8"/>
        <v>393.33333333333331</v>
      </c>
      <c r="D543" s="26" t="s">
        <v>42</v>
      </c>
      <c r="E543" s="49" t="s">
        <v>60</v>
      </c>
    </row>
    <row r="544" spans="1:5" x14ac:dyDescent="0.2">
      <c r="A544" s="25">
        <v>8100</v>
      </c>
      <c r="B544" s="51">
        <v>5</v>
      </c>
      <c r="C544" s="55">
        <f t="shared" si="8"/>
        <v>1620</v>
      </c>
      <c r="D544" s="24" t="s">
        <v>73</v>
      </c>
      <c r="E544" s="48" t="s">
        <v>60</v>
      </c>
    </row>
    <row r="545" spans="1:5" x14ac:dyDescent="0.2">
      <c r="A545" s="27">
        <v>2600</v>
      </c>
      <c r="B545" s="65">
        <v>5</v>
      </c>
      <c r="C545" s="55">
        <f t="shared" si="8"/>
        <v>520</v>
      </c>
      <c r="D545" s="26" t="s">
        <v>73</v>
      </c>
      <c r="E545" s="49" t="s">
        <v>155</v>
      </c>
    </row>
    <row r="546" spans="1:5" x14ac:dyDescent="0.2">
      <c r="A546" s="25">
        <v>3000</v>
      </c>
      <c r="B546" s="51">
        <v>4</v>
      </c>
      <c r="C546" s="55">
        <f t="shared" si="8"/>
        <v>750</v>
      </c>
      <c r="D546" s="24" t="s">
        <v>42</v>
      </c>
      <c r="E546" s="48" t="s">
        <v>182</v>
      </c>
    </row>
    <row r="547" spans="1:5" x14ac:dyDescent="0.2">
      <c r="A547" s="29">
        <v>555</v>
      </c>
      <c r="B547" s="65">
        <v>6</v>
      </c>
      <c r="C547" s="55">
        <f t="shared" si="8"/>
        <v>92.5</v>
      </c>
      <c r="D547" s="26" t="s">
        <v>42</v>
      </c>
      <c r="E547" s="49" t="s">
        <v>89</v>
      </c>
    </row>
    <row r="548" spans="1:5" x14ac:dyDescent="0.2">
      <c r="A548" s="28">
        <v>650</v>
      </c>
      <c r="B548" s="51">
        <v>5</v>
      </c>
      <c r="C548" s="55">
        <f t="shared" si="8"/>
        <v>130</v>
      </c>
      <c r="D548" s="24" t="s">
        <v>42</v>
      </c>
      <c r="E548" s="48" t="s">
        <v>182</v>
      </c>
    </row>
    <row r="549" spans="1:5" x14ac:dyDescent="0.2">
      <c r="A549" s="29">
        <v>750</v>
      </c>
      <c r="B549" s="65">
        <v>6</v>
      </c>
      <c r="C549" s="55">
        <f t="shared" si="8"/>
        <v>125</v>
      </c>
      <c r="D549" s="26" t="s">
        <v>42</v>
      </c>
      <c r="E549" s="49" t="s">
        <v>182</v>
      </c>
    </row>
    <row r="550" spans="1:5" x14ac:dyDescent="0.2">
      <c r="A550" s="28">
        <v>950</v>
      </c>
      <c r="B550" s="51">
        <v>6</v>
      </c>
      <c r="C550" s="55">
        <f t="shared" si="8"/>
        <v>158.33333333333334</v>
      </c>
      <c r="D550" s="24" t="s">
        <v>42</v>
      </c>
      <c r="E550" s="48" t="s">
        <v>182</v>
      </c>
    </row>
    <row r="551" spans="1:5" x14ac:dyDescent="0.2">
      <c r="A551" s="29">
        <v>1000</v>
      </c>
      <c r="B551" s="65">
        <v>6</v>
      </c>
      <c r="C551" s="55">
        <f t="shared" si="8"/>
        <v>166.66666666666666</v>
      </c>
      <c r="D551" s="26" t="s">
        <v>42</v>
      </c>
      <c r="E551" s="49" t="s">
        <v>89</v>
      </c>
    </row>
    <row r="552" spans="1:5" x14ac:dyDescent="0.2">
      <c r="A552" s="25">
        <v>3000</v>
      </c>
      <c r="B552" s="51">
        <v>4</v>
      </c>
      <c r="C552" s="55">
        <f t="shared" si="8"/>
        <v>750</v>
      </c>
      <c r="D552" s="24" t="s">
        <v>42</v>
      </c>
      <c r="E552" s="48" t="s">
        <v>182</v>
      </c>
    </row>
    <row r="553" spans="1:5" x14ac:dyDescent="0.2">
      <c r="A553" s="29">
        <v>1000</v>
      </c>
      <c r="B553" s="65">
        <v>6</v>
      </c>
      <c r="C553" s="55">
        <f t="shared" si="8"/>
        <v>166.66666666666666</v>
      </c>
      <c r="D553" s="26" t="s">
        <v>42</v>
      </c>
      <c r="E553" s="49" t="s">
        <v>182</v>
      </c>
    </row>
    <row r="554" spans="1:5" x14ac:dyDescent="0.2">
      <c r="A554" s="28">
        <v>750</v>
      </c>
      <c r="B554" s="51">
        <v>3</v>
      </c>
      <c r="C554" s="55">
        <f t="shared" si="8"/>
        <v>250</v>
      </c>
      <c r="D554" s="24" t="s">
        <v>73</v>
      </c>
      <c r="E554" s="48" t="s">
        <v>182</v>
      </c>
    </row>
    <row r="555" spans="1:5" x14ac:dyDescent="0.2">
      <c r="A555" s="29">
        <v>950</v>
      </c>
      <c r="B555" s="65">
        <v>3</v>
      </c>
      <c r="C555" s="55">
        <f t="shared" si="8"/>
        <v>316.66666666666669</v>
      </c>
      <c r="D555" s="26" t="s">
        <v>73</v>
      </c>
      <c r="E555" s="49" t="s">
        <v>182</v>
      </c>
    </row>
    <row r="556" spans="1:5" x14ac:dyDescent="0.2">
      <c r="A556" s="25">
        <v>2600</v>
      </c>
      <c r="B556" s="51">
        <v>5</v>
      </c>
      <c r="C556" s="55">
        <f t="shared" si="8"/>
        <v>520</v>
      </c>
      <c r="D556" s="24" t="s">
        <v>73</v>
      </c>
      <c r="E556" s="48" t="s">
        <v>45</v>
      </c>
    </row>
    <row r="557" spans="1:5" x14ac:dyDescent="0.2">
      <c r="A557" s="27">
        <v>8100</v>
      </c>
      <c r="B557" s="65">
        <v>6</v>
      </c>
      <c r="C557" s="55">
        <f t="shared" si="8"/>
        <v>1350</v>
      </c>
      <c r="D557" s="26" t="s">
        <v>73</v>
      </c>
      <c r="E557" s="49" t="s">
        <v>45</v>
      </c>
    </row>
    <row r="558" spans="1:5" x14ac:dyDescent="0.2">
      <c r="A558" s="25">
        <v>1170</v>
      </c>
      <c r="B558" s="51">
        <v>4</v>
      </c>
      <c r="C558" s="55">
        <f t="shared" si="8"/>
        <v>292.5</v>
      </c>
      <c r="D558" s="24" t="s">
        <v>42</v>
      </c>
      <c r="E558" s="48" t="s">
        <v>45</v>
      </c>
    </row>
    <row r="559" spans="1:5" x14ac:dyDescent="0.2">
      <c r="A559" s="27">
        <v>4480</v>
      </c>
      <c r="B559" s="65">
        <v>4</v>
      </c>
      <c r="C559" s="55">
        <f t="shared" si="8"/>
        <v>1120</v>
      </c>
      <c r="D559" s="26" t="s">
        <v>73</v>
      </c>
      <c r="E559" s="49" t="s">
        <v>45</v>
      </c>
    </row>
    <row r="560" spans="1:5" x14ac:dyDescent="0.2">
      <c r="A560" s="25">
        <v>3510</v>
      </c>
      <c r="B560" s="51">
        <v>4</v>
      </c>
      <c r="C560" s="55">
        <f t="shared" si="8"/>
        <v>877.5</v>
      </c>
      <c r="D560" s="24" t="s">
        <v>73</v>
      </c>
      <c r="E560" s="48" t="s">
        <v>60</v>
      </c>
    </row>
    <row r="561" spans="1:5" x14ac:dyDescent="0.2">
      <c r="A561" s="27">
        <v>520</v>
      </c>
      <c r="B561" s="65">
        <v>5</v>
      </c>
      <c r="C561" s="55">
        <f t="shared" si="8"/>
        <v>104</v>
      </c>
      <c r="D561" s="26" t="s">
        <v>42</v>
      </c>
      <c r="E561" s="49" t="s">
        <v>89</v>
      </c>
    </row>
    <row r="562" spans="1:5" x14ac:dyDescent="0.2">
      <c r="A562" s="25">
        <v>7200</v>
      </c>
      <c r="B562" s="51">
        <v>5</v>
      </c>
      <c r="C562" s="55">
        <f t="shared" si="8"/>
        <v>1440</v>
      </c>
      <c r="D562" s="24" t="s">
        <v>73</v>
      </c>
      <c r="E562" s="48" t="s">
        <v>60</v>
      </c>
    </row>
    <row r="563" spans="1:5" x14ac:dyDescent="0.2">
      <c r="A563" s="27">
        <v>1560</v>
      </c>
      <c r="B563" s="65">
        <v>3</v>
      </c>
      <c r="C563" s="55">
        <f t="shared" si="8"/>
        <v>520</v>
      </c>
      <c r="D563" s="26" t="s">
        <v>73</v>
      </c>
      <c r="E563" s="49" t="s">
        <v>45</v>
      </c>
    </row>
    <row r="564" spans="1:5" x14ac:dyDescent="0.2">
      <c r="A564" s="25">
        <v>520</v>
      </c>
      <c r="B564" s="51">
        <v>5</v>
      </c>
      <c r="C564" s="55">
        <f t="shared" si="8"/>
        <v>104</v>
      </c>
      <c r="D564" s="24" t="s">
        <v>42</v>
      </c>
      <c r="E564" s="48" t="s">
        <v>89</v>
      </c>
    </row>
    <row r="565" spans="1:5" x14ac:dyDescent="0.2">
      <c r="A565" s="27">
        <v>1180</v>
      </c>
      <c r="B565" s="65">
        <v>5</v>
      </c>
      <c r="C565" s="55">
        <f t="shared" si="8"/>
        <v>236</v>
      </c>
      <c r="D565" s="26" t="s">
        <v>73</v>
      </c>
      <c r="E565" s="49" t="s">
        <v>45</v>
      </c>
    </row>
    <row r="566" spans="1:5" x14ac:dyDescent="0.2">
      <c r="A566" s="25">
        <v>6600</v>
      </c>
      <c r="B566" s="51">
        <v>5</v>
      </c>
      <c r="C566" s="55">
        <f t="shared" si="8"/>
        <v>1320</v>
      </c>
      <c r="D566" s="24" t="s">
        <v>73</v>
      </c>
      <c r="E566" s="48" t="s">
        <v>45</v>
      </c>
    </row>
    <row r="567" spans="1:5" x14ac:dyDescent="0.2">
      <c r="A567" s="27">
        <v>680</v>
      </c>
      <c r="B567" s="65">
        <v>5</v>
      </c>
      <c r="C567" s="55">
        <f t="shared" si="8"/>
        <v>136</v>
      </c>
      <c r="D567" s="26" t="s">
        <v>42</v>
      </c>
      <c r="E567" s="49" t="s">
        <v>45</v>
      </c>
    </row>
    <row r="568" spans="1:5" x14ac:dyDescent="0.2">
      <c r="A568" s="25">
        <v>2000</v>
      </c>
      <c r="B568" s="51">
        <v>5</v>
      </c>
      <c r="C568" s="55">
        <f t="shared" si="8"/>
        <v>400</v>
      </c>
      <c r="D568" s="24" t="s">
        <v>42</v>
      </c>
      <c r="E568" s="48" t="s">
        <v>60</v>
      </c>
    </row>
  </sheetData>
  <sortState ref="L11:L18">
    <sortCondition ref="L11"/>
  </sortState>
  <conditionalFormatting sqref="C1">
    <cfRule type="containsBlanks" dxfId="50" priority="9">
      <formula>LEN(TRIM(C1))=0</formula>
    </cfRule>
  </conditionalFormatting>
  <conditionalFormatting sqref="A1:A568">
    <cfRule type="containsBlanks" dxfId="49" priority="11">
      <formula>LEN(TRIM(A1))=0</formula>
    </cfRule>
  </conditionalFormatting>
  <conditionalFormatting sqref="B1:B568">
    <cfRule type="containsBlanks" dxfId="48" priority="10">
      <formula>LEN(TRIM(B1))=0</formula>
    </cfRule>
  </conditionalFormatting>
  <conditionalFormatting sqref="D1:D568">
    <cfRule type="containsBlanks" dxfId="47" priority="8">
      <formula>LEN(TRIM(D1))=0</formula>
    </cfRule>
  </conditionalFormatting>
  <conditionalFormatting sqref="E1:E568">
    <cfRule type="containsBlanks" dxfId="46" priority="7">
      <formula>LEN(TRIM(E1))=0</formula>
    </cfRule>
  </conditionalFormatting>
  <pageMargins left="0.7" right="0.7" top="0.75" bottom="0.75" header="0.3" footer="0.3"/>
  <pageSetup paperSize="9" orientation="portrait" verticalDpi="0"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2:B12"/>
  <sheetViews>
    <sheetView workbookViewId="0">
      <selection activeCell="C27" sqref="C27"/>
    </sheetView>
  </sheetViews>
  <sheetFormatPr defaultRowHeight="12.75" x14ac:dyDescent="0.2"/>
  <sheetData>
    <row r="2" spans="1:2" ht="13.5" thickBot="1" x14ac:dyDescent="0.25">
      <c r="A2" s="53" t="s">
        <v>1541</v>
      </c>
    </row>
    <row r="3" spans="1:2" x14ac:dyDescent="0.2">
      <c r="A3" s="81" t="s">
        <v>1538</v>
      </c>
      <c r="B3" s="81" t="s">
        <v>1540</v>
      </c>
    </row>
    <row r="4" spans="1:2" x14ac:dyDescent="0.2">
      <c r="A4" s="78">
        <v>500</v>
      </c>
      <c r="B4" s="79">
        <v>304</v>
      </c>
    </row>
    <row r="5" spans="1:2" x14ac:dyDescent="0.2">
      <c r="A5" s="78">
        <v>1000</v>
      </c>
      <c r="B5" s="79">
        <v>109</v>
      </c>
    </row>
    <row r="6" spans="1:2" x14ac:dyDescent="0.2">
      <c r="A6" s="78">
        <v>1500</v>
      </c>
      <c r="B6" s="79">
        <v>69</v>
      </c>
    </row>
    <row r="7" spans="1:2" x14ac:dyDescent="0.2">
      <c r="A7" s="78">
        <v>2000</v>
      </c>
      <c r="B7" s="79">
        <v>45</v>
      </c>
    </row>
    <row r="8" spans="1:2" x14ac:dyDescent="0.2">
      <c r="A8" s="78">
        <v>2500</v>
      </c>
      <c r="B8" s="79">
        <v>25</v>
      </c>
    </row>
    <row r="9" spans="1:2" x14ac:dyDescent="0.2">
      <c r="A9" s="78">
        <v>3000</v>
      </c>
      <c r="B9" s="79">
        <v>4</v>
      </c>
    </row>
    <row r="10" spans="1:2" x14ac:dyDescent="0.2">
      <c r="A10" s="78">
        <v>3500</v>
      </c>
      <c r="B10" s="79">
        <v>5</v>
      </c>
    </row>
    <row r="11" spans="1:2" x14ac:dyDescent="0.2">
      <c r="A11" s="78">
        <v>4000</v>
      </c>
      <c r="B11" s="79">
        <v>5</v>
      </c>
    </row>
    <row r="12" spans="1:2" ht="13.5" thickBot="1" x14ac:dyDescent="0.25">
      <c r="A12" s="80" t="s">
        <v>1539</v>
      </c>
      <c r="B12" s="80">
        <v>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568"/>
  <sheetViews>
    <sheetView topLeftCell="E1" workbookViewId="0">
      <selection activeCell="G8" sqref="G8"/>
    </sheetView>
  </sheetViews>
  <sheetFormatPr defaultRowHeight="12.75" x14ac:dyDescent="0.2"/>
  <cols>
    <col min="1" max="1" width="17.42578125" customWidth="1"/>
    <col min="2" max="2" width="19" customWidth="1"/>
    <col min="5" max="5" width="18.140625" customWidth="1"/>
    <col min="6" max="6" width="16.28515625" customWidth="1"/>
    <col min="7" max="7" width="17.140625" customWidth="1"/>
    <col min="8" max="8" width="10.85546875" customWidth="1"/>
    <col min="10" max="10" width="32.85546875" customWidth="1"/>
    <col min="11" max="11" width="16.140625" customWidth="1"/>
    <col min="12" max="12" width="13.42578125" customWidth="1"/>
  </cols>
  <sheetData>
    <row r="1" spans="1:11" ht="36" customHeight="1" thickBot="1" x14ac:dyDescent="0.25">
      <c r="A1" s="82" t="s">
        <v>1536</v>
      </c>
      <c r="B1" s="82" t="s">
        <v>1542</v>
      </c>
      <c r="D1" s="19"/>
      <c r="E1" s="11" t="s">
        <v>1461</v>
      </c>
      <c r="F1" s="11" t="s">
        <v>1543</v>
      </c>
      <c r="G1" s="66" t="s">
        <v>1477</v>
      </c>
      <c r="H1" s="66" t="s">
        <v>1522</v>
      </c>
      <c r="J1" s="84" t="s">
        <v>1524</v>
      </c>
      <c r="K1" s="84" t="s">
        <v>1525</v>
      </c>
    </row>
    <row r="2" spans="1:11" ht="13.5" thickTop="1" x14ac:dyDescent="0.2">
      <c r="A2" s="83" t="s">
        <v>182</v>
      </c>
      <c r="B2">
        <v>5000</v>
      </c>
      <c r="E2" s="69" t="s">
        <v>182</v>
      </c>
      <c r="F2">
        <f>IF(E2="below 10,000",5000, IF(E2="10,000-30,000", 20000, IF(E2="30,000-50,000", 40000, IF(E2="50,000-70,000", 60000, IF(E2="70,000-1,00,000",85000,IF(E2="above 1,00,000",125000," "))))))</f>
        <v>5000</v>
      </c>
      <c r="G2" s="25">
        <v>3000</v>
      </c>
      <c r="H2" s="55">
        <f>F2/G2</f>
        <v>1.6666666666666667</v>
      </c>
      <c r="J2" s="19" t="s">
        <v>1544</v>
      </c>
      <c r="K2">
        <f>CORREL($F$2:$F$568, $G$2:$G$568)</f>
        <v>0.51836595776042127</v>
      </c>
    </row>
    <row r="3" spans="1:11" x14ac:dyDescent="0.2">
      <c r="A3" s="83" t="s">
        <v>89</v>
      </c>
      <c r="B3">
        <v>20000</v>
      </c>
      <c r="E3" s="70" t="s">
        <v>89</v>
      </c>
      <c r="F3">
        <f t="shared" ref="F3:F66" si="0">IF(E3="below 10,000",5000, IF(E3="10,000-30,000", 20000, IF(E3="30,000-50,000", 40000, IF(E3="50,000-70,000", 60000, IF(E3="70,000-1,00,000",85000,IF(E3="above 1,00,000",125000," "))))))</f>
        <v>20000</v>
      </c>
      <c r="G3" s="27">
        <v>9200</v>
      </c>
      <c r="H3" s="55">
        <f t="shared" ref="H3:H66" si="1">F3/G3</f>
        <v>2.1739130434782608</v>
      </c>
      <c r="J3" s="19" t="s">
        <v>1545</v>
      </c>
      <c r="K3">
        <f>COUNT($F$2:$F$568)</f>
        <v>567</v>
      </c>
    </row>
    <row r="4" spans="1:11" x14ac:dyDescent="0.2">
      <c r="A4" s="83" t="s">
        <v>45</v>
      </c>
      <c r="B4">
        <v>40000</v>
      </c>
      <c r="E4" s="48" t="s">
        <v>89</v>
      </c>
      <c r="F4">
        <f t="shared" si="0"/>
        <v>20000</v>
      </c>
      <c r="G4" s="25">
        <v>1000</v>
      </c>
      <c r="H4" s="55">
        <f t="shared" si="1"/>
        <v>20</v>
      </c>
      <c r="J4" s="19"/>
    </row>
    <row r="5" spans="1:11" x14ac:dyDescent="0.2">
      <c r="A5" s="83" t="s">
        <v>60</v>
      </c>
      <c r="B5">
        <v>60000</v>
      </c>
      <c r="E5" s="49" t="s">
        <v>89</v>
      </c>
      <c r="F5">
        <f t="shared" si="0"/>
        <v>20000</v>
      </c>
      <c r="G5" s="27">
        <v>1000</v>
      </c>
      <c r="H5" s="55">
        <f t="shared" si="1"/>
        <v>20</v>
      </c>
    </row>
    <row r="6" spans="1:11" x14ac:dyDescent="0.2">
      <c r="A6" s="83" t="s">
        <v>109</v>
      </c>
      <c r="B6">
        <v>85000</v>
      </c>
      <c r="E6" s="69" t="s">
        <v>45</v>
      </c>
      <c r="F6">
        <f t="shared" si="0"/>
        <v>40000</v>
      </c>
      <c r="G6" s="25">
        <v>10000</v>
      </c>
      <c r="H6" s="55">
        <f t="shared" si="1"/>
        <v>4</v>
      </c>
    </row>
    <row r="7" spans="1:11" x14ac:dyDescent="0.2">
      <c r="A7" s="83" t="s">
        <v>155</v>
      </c>
      <c r="B7">
        <v>125000</v>
      </c>
      <c r="E7" s="49" t="s">
        <v>182</v>
      </c>
      <c r="F7">
        <f t="shared" si="0"/>
        <v>5000</v>
      </c>
      <c r="G7" s="27">
        <v>1200</v>
      </c>
      <c r="H7" s="55">
        <f t="shared" si="1"/>
        <v>4.166666666666667</v>
      </c>
    </row>
    <row r="8" spans="1:11" x14ac:dyDescent="0.2">
      <c r="E8" s="48" t="s">
        <v>45</v>
      </c>
      <c r="F8">
        <f t="shared" si="0"/>
        <v>40000</v>
      </c>
      <c r="G8" s="25">
        <v>1000</v>
      </c>
      <c r="H8" s="55">
        <f t="shared" si="1"/>
        <v>40</v>
      </c>
    </row>
    <row r="9" spans="1:11" x14ac:dyDescent="0.2">
      <c r="E9" s="49" t="s">
        <v>89</v>
      </c>
      <c r="F9">
        <f t="shared" si="0"/>
        <v>20000</v>
      </c>
      <c r="G9" s="27">
        <v>3000</v>
      </c>
      <c r="H9" s="55">
        <f t="shared" si="1"/>
        <v>6.666666666666667</v>
      </c>
    </row>
    <row r="10" spans="1:11" x14ac:dyDescent="0.2">
      <c r="E10" s="48" t="s">
        <v>45</v>
      </c>
      <c r="F10">
        <f t="shared" si="0"/>
        <v>40000</v>
      </c>
      <c r="G10" s="25">
        <v>1500</v>
      </c>
      <c r="H10" s="55">
        <f t="shared" si="1"/>
        <v>26.666666666666668</v>
      </c>
    </row>
    <row r="11" spans="1:11" x14ac:dyDescent="0.2">
      <c r="E11" s="70" t="s">
        <v>155</v>
      </c>
      <c r="F11">
        <f t="shared" si="0"/>
        <v>125000</v>
      </c>
      <c r="G11" s="27">
        <v>9500</v>
      </c>
      <c r="H11" s="55">
        <f t="shared" si="1"/>
        <v>13.157894736842104</v>
      </c>
    </row>
    <row r="12" spans="1:11" x14ac:dyDescent="0.2">
      <c r="E12" s="48" t="s">
        <v>182</v>
      </c>
      <c r="F12">
        <f t="shared" si="0"/>
        <v>5000</v>
      </c>
      <c r="G12" s="25">
        <v>1500</v>
      </c>
      <c r="H12" s="55">
        <f t="shared" si="1"/>
        <v>3.3333333333333335</v>
      </c>
    </row>
    <row r="13" spans="1:11" x14ac:dyDescent="0.2">
      <c r="E13" s="49" t="s">
        <v>45</v>
      </c>
      <c r="F13">
        <f t="shared" si="0"/>
        <v>40000</v>
      </c>
      <c r="G13" s="27">
        <v>8000</v>
      </c>
      <c r="H13" s="55">
        <f t="shared" si="1"/>
        <v>5</v>
      </c>
    </row>
    <row r="14" spans="1:11" x14ac:dyDescent="0.2">
      <c r="E14" s="69" t="s">
        <v>60</v>
      </c>
      <c r="F14">
        <f t="shared" si="0"/>
        <v>60000</v>
      </c>
      <c r="G14" s="25">
        <v>6800</v>
      </c>
      <c r="H14" s="55">
        <f t="shared" si="1"/>
        <v>8.8235294117647065</v>
      </c>
    </row>
    <row r="15" spans="1:11" x14ac:dyDescent="0.2">
      <c r="E15" s="49" t="s">
        <v>60</v>
      </c>
      <c r="F15">
        <f t="shared" si="0"/>
        <v>60000</v>
      </c>
      <c r="G15" s="27">
        <v>9000</v>
      </c>
      <c r="H15" s="55">
        <f t="shared" si="1"/>
        <v>6.666666666666667</v>
      </c>
    </row>
    <row r="16" spans="1:11" x14ac:dyDescent="0.2">
      <c r="E16" s="48" t="s">
        <v>45</v>
      </c>
      <c r="F16">
        <f t="shared" si="0"/>
        <v>40000</v>
      </c>
      <c r="G16" s="25">
        <v>9000</v>
      </c>
      <c r="H16" s="55">
        <f t="shared" si="1"/>
        <v>4.4444444444444446</v>
      </c>
    </row>
    <row r="17" spans="5:13" x14ac:dyDescent="0.2">
      <c r="E17" s="49" t="s">
        <v>182</v>
      </c>
      <c r="F17">
        <f t="shared" si="0"/>
        <v>5000</v>
      </c>
      <c r="G17" s="27">
        <v>900</v>
      </c>
      <c r="H17" s="55">
        <f t="shared" si="1"/>
        <v>5.5555555555555554</v>
      </c>
    </row>
    <row r="18" spans="5:13" x14ac:dyDescent="0.2">
      <c r="E18" s="48" t="s">
        <v>182</v>
      </c>
      <c r="F18">
        <f t="shared" si="0"/>
        <v>5000</v>
      </c>
      <c r="G18" s="25">
        <v>2000</v>
      </c>
      <c r="H18" s="55">
        <f t="shared" si="1"/>
        <v>2.5</v>
      </c>
    </row>
    <row r="19" spans="5:13" x14ac:dyDescent="0.2">
      <c r="E19" s="49" t="s">
        <v>45</v>
      </c>
      <c r="F19">
        <f t="shared" si="0"/>
        <v>40000</v>
      </c>
      <c r="G19" s="27">
        <v>2300</v>
      </c>
      <c r="H19" s="55">
        <f t="shared" si="1"/>
        <v>17.391304347826086</v>
      </c>
    </row>
    <row r="20" spans="5:13" x14ac:dyDescent="0.2">
      <c r="E20" s="48" t="s">
        <v>182</v>
      </c>
      <c r="F20">
        <f t="shared" si="0"/>
        <v>5000</v>
      </c>
      <c r="G20" s="25">
        <v>1200</v>
      </c>
      <c r="H20" s="55">
        <f t="shared" si="1"/>
        <v>4.166666666666667</v>
      </c>
    </row>
    <row r="21" spans="5:13" x14ac:dyDescent="0.2">
      <c r="E21" s="49" t="s">
        <v>45</v>
      </c>
      <c r="F21">
        <f t="shared" si="0"/>
        <v>40000</v>
      </c>
      <c r="G21" s="27">
        <v>11100</v>
      </c>
      <c r="H21" s="55">
        <f t="shared" si="1"/>
        <v>3.6036036036036037</v>
      </c>
    </row>
    <row r="22" spans="5:13" x14ac:dyDescent="0.2">
      <c r="E22" s="48" t="s">
        <v>45</v>
      </c>
      <c r="F22">
        <f t="shared" si="0"/>
        <v>40000</v>
      </c>
      <c r="G22" s="25">
        <v>6000</v>
      </c>
      <c r="H22" s="55">
        <f t="shared" si="1"/>
        <v>6.666666666666667</v>
      </c>
    </row>
    <row r="23" spans="5:13" x14ac:dyDescent="0.2">
      <c r="E23" s="70" t="s">
        <v>109</v>
      </c>
      <c r="F23">
        <f t="shared" si="0"/>
        <v>85000</v>
      </c>
      <c r="G23" s="27">
        <v>8800</v>
      </c>
      <c r="H23" s="55">
        <f t="shared" si="1"/>
        <v>9.6590909090909083</v>
      </c>
    </row>
    <row r="24" spans="5:13" x14ac:dyDescent="0.2">
      <c r="E24" s="48" t="s">
        <v>182</v>
      </c>
      <c r="F24">
        <f t="shared" si="0"/>
        <v>5000</v>
      </c>
      <c r="G24" s="25">
        <v>2700</v>
      </c>
      <c r="H24" s="55">
        <f t="shared" si="1"/>
        <v>1.8518518518518519</v>
      </c>
    </row>
    <row r="25" spans="5:13" x14ac:dyDescent="0.2">
      <c r="E25" s="49" t="s">
        <v>89</v>
      </c>
      <c r="F25">
        <f t="shared" si="0"/>
        <v>20000</v>
      </c>
      <c r="G25" s="27">
        <v>3000</v>
      </c>
      <c r="H25" s="55">
        <f t="shared" si="1"/>
        <v>6.666666666666667</v>
      </c>
    </row>
    <row r="26" spans="5:13" x14ac:dyDescent="0.2">
      <c r="E26" s="48" t="s">
        <v>89</v>
      </c>
      <c r="F26">
        <f t="shared" si="0"/>
        <v>20000</v>
      </c>
      <c r="G26" s="25">
        <v>5200</v>
      </c>
      <c r="H26" s="55">
        <f t="shared" si="1"/>
        <v>3.8461538461538463</v>
      </c>
    </row>
    <row r="27" spans="5:13" x14ac:dyDescent="0.2">
      <c r="E27" s="49" t="s">
        <v>60</v>
      </c>
      <c r="F27">
        <f t="shared" si="0"/>
        <v>60000</v>
      </c>
      <c r="G27" s="27">
        <v>9700</v>
      </c>
      <c r="H27" s="55">
        <f t="shared" si="1"/>
        <v>6.1855670103092786</v>
      </c>
    </row>
    <row r="28" spans="5:13" x14ac:dyDescent="0.2">
      <c r="E28" s="48" t="s">
        <v>45</v>
      </c>
      <c r="F28">
        <f t="shared" si="0"/>
        <v>40000</v>
      </c>
      <c r="G28" s="25">
        <v>8200</v>
      </c>
      <c r="H28" s="55">
        <f t="shared" si="1"/>
        <v>4.8780487804878048</v>
      </c>
    </row>
    <row r="29" spans="5:13" x14ac:dyDescent="0.2">
      <c r="E29" s="49" t="s">
        <v>89</v>
      </c>
      <c r="F29">
        <f t="shared" si="0"/>
        <v>20000</v>
      </c>
      <c r="G29" s="27">
        <v>2400</v>
      </c>
      <c r="H29" s="55">
        <f t="shared" si="1"/>
        <v>8.3333333333333339</v>
      </c>
      <c r="J29" s="53" t="s">
        <v>1523</v>
      </c>
    </row>
    <row r="30" spans="5:13" x14ac:dyDescent="0.2">
      <c r="E30" s="48" t="s">
        <v>182</v>
      </c>
      <c r="F30">
        <f t="shared" si="0"/>
        <v>5000</v>
      </c>
      <c r="G30" s="25">
        <v>2900</v>
      </c>
      <c r="H30" s="55">
        <f t="shared" si="1"/>
        <v>1.7241379310344827</v>
      </c>
    </row>
    <row r="31" spans="5:13" ht="14.25" x14ac:dyDescent="0.2">
      <c r="E31" s="49" t="s">
        <v>60</v>
      </c>
      <c r="F31">
        <f t="shared" si="0"/>
        <v>60000</v>
      </c>
      <c r="G31" s="27">
        <v>9500</v>
      </c>
      <c r="H31" s="55">
        <f t="shared" si="1"/>
        <v>6.3157894736842106</v>
      </c>
      <c r="J31" s="85" t="s">
        <v>1536</v>
      </c>
      <c r="K31" s="85" t="s">
        <v>1546</v>
      </c>
      <c r="L31" s="85" t="s">
        <v>1547</v>
      </c>
      <c r="M31" s="85" t="s">
        <v>1545</v>
      </c>
    </row>
    <row r="32" spans="5:13" ht="14.25" x14ac:dyDescent="0.2">
      <c r="E32" s="48" t="s">
        <v>45</v>
      </c>
      <c r="F32">
        <f t="shared" si="0"/>
        <v>40000</v>
      </c>
      <c r="G32" s="25">
        <v>5200</v>
      </c>
      <c r="H32" s="55">
        <f t="shared" si="1"/>
        <v>7.6923076923076925</v>
      </c>
      <c r="J32" s="86" t="s">
        <v>182</v>
      </c>
      <c r="K32" s="87">
        <f>AVERAGEIF($E$2:$E$568, "below 10,000", $G$2:$G$568)</f>
        <v>1309.04</v>
      </c>
      <c r="L32" s="86">
        <v>319.39466666666658</v>
      </c>
      <c r="M32" s="87">
        <f>COUNTIF(E2:E568,"below 10,000")</f>
        <v>125</v>
      </c>
    </row>
    <row r="33" spans="5:13" ht="14.25" x14ac:dyDescent="0.2">
      <c r="E33" s="49" t="s">
        <v>109</v>
      </c>
      <c r="F33">
        <f t="shared" si="0"/>
        <v>85000</v>
      </c>
      <c r="G33" s="27">
        <v>8500</v>
      </c>
      <c r="H33" s="55">
        <f t="shared" si="1"/>
        <v>10</v>
      </c>
      <c r="J33" s="86" t="s">
        <v>89</v>
      </c>
      <c r="K33" s="87">
        <f>AVERAGEIF($E$2:$E$568, "10,000-30,000", $G$2:$G$568)</f>
        <v>2049.0495049504952</v>
      </c>
      <c r="L33" s="86">
        <v>418.69660537482315</v>
      </c>
      <c r="M33" s="87">
        <f>COUNTIF(E2:E568,"10,000-30,000")</f>
        <v>101</v>
      </c>
    </row>
    <row r="34" spans="5:13" ht="14.25" x14ac:dyDescent="0.2">
      <c r="E34" s="48" t="s">
        <v>89</v>
      </c>
      <c r="F34">
        <f t="shared" si="0"/>
        <v>20000</v>
      </c>
      <c r="G34" s="25">
        <v>7000</v>
      </c>
      <c r="H34" s="55">
        <f t="shared" si="1"/>
        <v>2.8571428571428572</v>
      </c>
      <c r="J34" s="86" t="s">
        <v>45</v>
      </c>
      <c r="K34" s="87">
        <f>AVERAGEIF($E$2:$E$568, "30,000-50,000", $G$2:$G$568)</f>
        <v>3577.6847290640394</v>
      </c>
      <c r="L34" s="86">
        <v>803.53026038001371</v>
      </c>
      <c r="M34" s="87">
        <f>COUNTIF($E$2:$E$568,"30,000-50,000")</f>
        <v>203</v>
      </c>
    </row>
    <row r="35" spans="5:13" ht="14.25" x14ac:dyDescent="0.2">
      <c r="E35" s="49" t="s">
        <v>60</v>
      </c>
      <c r="F35">
        <f t="shared" si="0"/>
        <v>60000</v>
      </c>
      <c r="G35" s="27">
        <v>5500</v>
      </c>
      <c r="H35" s="55">
        <f t="shared" si="1"/>
        <v>10.909090909090908</v>
      </c>
      <c r="J35" s="86" t="s">
        <v>60</v>
      </c>
      <c r="K35" s="87">
        <f>AVERAGEIF($E$2:$E$568, "50,000-70,000", $G$2:$G$568)</f>
        <v>4925.908163265306</v>
      </c>
      <c r="L35" s="86">
        <v>1075.3976190476189</v>
      </c>
      <c r="M35" s="87">
        <f>COUNTIF($E$2:$E$568,"50,000-70,000")</f>
        <v>98</v>
      </c>
    </row>
    <row r="36" spans="5:13" ht="14.25" x14ac:dyDescent="0.2">
      <c r="E36" s="48" t="s">
        <v>45</v>
      </c>
      <c r="F36">
        <f t="shared" si="0"/>
        <v>40000</v>
      </c>
      <c r="G36" s="25">
        <v>900</v>
      </c>
      <c r="H36" s="55">
        <f t="shared" si="1"/>
        <v>44.444444444444443</v>
      </c>
      <c r="J36" s="86" t="s">
        <v>109</v>
      </c>
      <c r="K36" s="87">
        <f>AVERAGEIF($E$2:$E$568, "70,000-1,00,000", $G$2:$G$568)</f>
        <v>6133.478260869565</v>
      </c>
      <c r="L36" s="86">
        <v>1446.8478260869565</v>
      </c>
      <c r="M36" s="87">
        <f>COUNTIF($E$2:$E$568,"70,000-1,00,000")</f>
        <v>23</v>
      </c>
    </row>
    <row r="37" spans="5:13" ht="14.25" x14ac:dyDescent="0.2">
      <c r="E37" s="49" t="s">
        <v>89</v>
      </c>
      <c r="F37">
        <f t="shared" si="0"/>
        <v>20000</v>
      </c>
      <c r="G37" s="27">
        <v>5200</v>
      </c>
      <c r="H37" s="55">
        <f t="shared" si="1"/>
        <v>3.8461538461538463</v>
      </c>
      <c r="J37" s="86" t="s">
        <v>155</v>
      </c>
      <c r="K37" s="87">
        <f>AVERAGEIF($E$2:$E$568, "above 1,00,000", $G$2:$G$568)</f>
        <v>10064.705882352941</v>
      </c>
      <c r="L37" s="86">
        <v>2428.627450980392</v>
      </c>
      <c r="M37" s="87">
        <f>COUNTIF($E$2:$E$568,"above 1,00,000")</f>
        <v>17</v>
      </c>
    </row>
    <row r="38" spans="5:13" ht="14.25" x14ac:dyDescent="0.2">
      <c r="E38" s="48" t="s">
        <v>182</v>
      </c>
      <c r="F38">
        <f t="shared" si="0"/>
        <v>5000</v>
      </c>
      <c r="G38" s="25">
        <v>650</v>
      </c>
      <c r="H38" s="55">
        <f t="shared" si="1"/>
        <v>7.6923076923076925</v>
      </c>
      <c r="J38" s="88" t="s">
        <v>1548</v>
      </c>
      <c r="K38" s="85">
        <f>K2</f>
        <v>0.51836595776042127</v>
      </c>
      <c r="L38" s="85">
        <f>K3</f>
        <v>567</v>
      </c>
      <c r="M38" s="85">
        <f>SUM(M32:M37)</f>
        <v>567</v>
      </c>
    </row>
    <row r="39" spans="5:13" x14ac:dyDescent="0.2">
      <c r="E39" s="49" t="s">
        <v>109</v>
      </c>
      <c r="F39">
        <f t="shared" si="0"/>
        <v>85000</v>
      </c>
      <c r="G39" s="27">
        <v>12000</v>
      </c>
      <c r="H39" s="55">
        <f t="shared" si="1"/>
        <v>7.083333333333333</v>
      </c>
    </row>
    <row r="40" spans="5:13" x14ac:dyDescent="0.2">
      <c r="E40" s="48" t="s">
        <v>60</v>
      </c>
      <c r="F40">
        <f t="shared" si="0"/>
        <v>60000</v>
      </c>
      <c r="G40" s="25">
        <v>2400</v>
      </c>
      <c r="H40" s="55">
        <f t="shared" si="1"/>
        <v>25</v>
      </c>
    </row>
    <row r="41" spans="5:13" x14ac:dyDescent="0.2">
      <c r="E41" s="49" t="s">
        <v>89</v>
      </c>
      <c r="F41">
        <f t="shared" si="0"/>
        <v>20000</v>
      </c>
      <c r="G41" s="27">
        <v>1500</v>
      </c>
      <c r="H41" s="55">
        <f t="shared" si="1"/>
        <v>13.333333333333334</v>
      </c>
    </row>
    <row r="42" spans="5:13" x14ac:dyDescent="0.2">
      <c r="E42" s="48" t="s">
        <v>182</v>
      </c>
      <c r="F42">
        <f t="shared" si="0"/>
        <v>5000</v>
      </c>
      <c r="G42" s="25">
        <v>500</v>
      </c>
      <c r="H42" s="55">
        <f t="shared" si="1"/>
        <v>10</v>
      </c>
    </row>
    <row r="43" spans="5:13" x14ac:dyDescent="0.2">
      <c r="E43" s="49" t="s">
        <v>155</v>
      </c>
      <c r="F43">
        <f t="shared" si="0"/>
        <v>125000</v>
      </c>
      <c r="G43" s="27">
        <v>5800</v>
      </c>
      <c r="H43" s="55">
        <f t="shared" si="1"/>
        <v>21.551724137931036</v>
      </c>
    </row>
    <row r="44" spans="5:13" x14ac:dyDescent="0.2">
      <c r="E44" s="48" t="s">
        <v>182</v>
      </c>
      <c r="F44">
        <f t="shared" si="0"/>
        <v>5000</v>
      </c>
      <c r="G44" s="25">
        <v>850</v>
      </c>
      <c r="H44" s="55">
        <f t="shared" si="1"/>
        <v>5.882352941176471</v>
      </c>
    </row>
    <row r="45" spans="5:13" x14ac:dyDescent="0.2">
      <c r="E45" s="49" t="s">
        <v>89</v>
      </c>
      <c r="F45">
        <f t="shared" si="0"/>
        <v>20000</v>
      </c>
      <c r="G45" s="27">
        <v>1400</v>
      </c>
      <c r="H45" s="55">
        <f t="shared" si="1"/>
        <v>14.285714285714286</v>
      </c>
    </row>
    <row r="46" spans="5:13" x14ac:dyDescent="0.2">
      <c r="E46" s="48" t="s">
        <v>45</v>
      </c>
      <c r="F46">
        <f t="shared" si="0"/>
        <v>40000</v>
      </c>
      <c r="G46" s="25">
        <v>3200</v>
      </c>
      <c r="H46" s="55">
        <f t="shared" si="1"/>
        <v>12.5</v>
      </c>
    </row>
    <row r="47" spans="5:13" x14ac:dyDescent="0.2">
      <c r="E47" s="49" t="s">
        <v>45</v>
      </c>
      <c r="F47">
        <f t="shared" si="0"/>
        <v>40000</v>
      </c>
      <c r="G47" s="27">
        <v>6800</v>
      </c>
      <c r="H47" s="55">
        <f t="shared" si="1"/>
        <v>5.882352941176471</v>
      </c>
    </row>
    <row r="48" spans="5:13" x14ac:dyDescent="0.2">
      <c r="E48" s="48" t="s">
        <v>89</v>
      </c>
      <c r="F48">
        <f t="shared" si="0"/>
        <v>20000</v>
      </c>
      <c r="G48" s="25">
        <v>700</v>
      </c>
      <c r="H48" s="55">
        <f t="shared" si="1"/>
        <v>28.571428571428573</v>
      </c>
    </row>
    <row r="49" spans="5:8" x14ac:dyDescent="0.2">
      <c r="E49" s="49" t="s">
        <v>109</v>
      </c>
      <c r="F49">
        <f t="shared" si="0"/>
        <v>85000</v>
      </c>
      <c r="G49" s="27">
        <v>11000</v>
      </c>
      <c r="H49" s="55">
        <f t="shared" si="1"/>
        <v>7.7272727272727275</v>
      </c>
    </row>
    <row r="50" spans="5:8" x14ac:dyDescent="0.2">
      <c r="E50" s="48" t="s">
        <v>182</v>
      </c>
      <c r="F50">
        <f t="shared" si="0"/>
        <v>5000</v>
      </c>
      <c r="G50" s="25">
        <v>850</v>
      </c>
      <c r="H50" s="55">
        <f t="shared" si="1"/>
        <v>5.882352941176471</v>
      </c>
    </row>
    <row r="51" spans="5:8" x14ac:dyDescent="0.2">
      <c r="E51" s="49" t="s">
        <v>60</v>
      </c>
      <c r="F51">
        <f t="shared" si="0"/>
        <v>60000</v>
      </c>
      <c r="G51" s="27">
        <v>4500</v>
      </c>
      <c r="H51" s="55">
        <f t="shared" si="1"/>
        <v>13.333333333333334</v>
      </c>
    </row>
    <row r="52" spans="5:8" x14ac:dyDescent="0.2">
      <c r="E52" s="48" t="s">
        <v>182</v>
      </c>
      <c r="F52">
        <f t="shared" si="0"/>
        <v>5000</v>
      </c>
      <c r="G52" s="25">
        <v>200</v>
      </c>
      <c r="H52" s="55">
        <f t="shared" si="1"/>
        <v>25</v>
      </c>
    </row>
    <row r="53" spans="5:8" x14ac:dyDescent="0.2">
      <c r="E53" s="49" t="s">
        <v>45</v>
      </c>
      <c r="F53">
        <f t="shared" si="0"/>
        <v>40000</v>
      </c>
      <c r="G53" s="27">
        <v>2700</v>
      </c>
      <c r="H53" s="55">
        <f t="shared" si="1"/>
        <v>14.814814814814815</v>
      </c>
    </row>
    <row r="54" spans="5:8" x14ac:dyDescent="0.2">
      <c r="E54" s="48" t="s">
        <v>89</v>
      </c>
      <c r="F54">
        <f t="shared" si="0"/>
        <v>20000</v>
      </c>
      <c r="G54" s="25">
        <v>5000</v>
      </c>
      <c r="H54" s="55">
        <f t="shared" si="1"/>
        <v>4</v>
      </c>
    </row>
    <row r="55" spans="5:8" x14ac:dyDescent="0.2">
      <c r="E55" s="49" t="s">
        <v>182</v>
      </c>
      <c r="F55">
        <f t="shared" si="0"/>
        <v>5000</v>
      </c>
      <c r="G55" s="27">
        <v>750</v>
      </c>
      <c r="H55" s="55">
        <f t="shared" si="1"/>
        <v>6.666666666666667</v>
      </c>
    </row>
    <row r="56" spans="5:8" x14ac:dyDescent="0.2">
      <c r="E56" s="48" t="s">
        <v>182</v>
      </c>
      <c r="F56">
        <f t="shared" si="0"/>
        <v>5000</v>
      </c>
      <c r="G56" s="25">
        <v>650</v>
      </c>
      <c r="H56" s="55">
        <f t="shared" si="1"/>
        <v>7.6923076923076925</v>
      </c>
    </row>
    <row r="57" spans="5:8" x14ac:dyDescent="0.2">
      <c r="E57" s="49" t="s">
        <v>45</v>
      </c>
      <c r="F57">
        <f t="shared" si="0"/>
        <v>40000</v>
      </c>
      <c r="G57" s="27">
        <v>4000</v>
      </c>
      <c r="H57" s="55">
        <f t="shared" si="1"/>
        <v>10</v>
      </c>
    </row>
    <row r="58" spans="5:8" x14ac:dyDescent="0.2">
      <c r="E58" s="48" t="s">
        <v>182</v>
      </c>
      <c r="F58">
        <f t="shared" si="0"/>
        <v>5000</v>
      </c>
      <c r="G58" s="25">
        <v>650</v>
      </c>
      <c r="H58" s="55">
        <f t="shared" si="1"/>
        <v>7.6923076923076925</v>
      </c>
    </row>
    <row r="59" spans="5:8" x14ac:dyDescent="0.2">
      <c r="E59" s="49" t="s">
        <v>89</v>
      </c>
      <c r="F59">
        <f t="shared" si="0"/>
        <v>20000</v>
      </c>
      <c r="G59" s="27">
        <v>650</v>
      </c>
      <c r="H59" s="55">
        <f t="shared" si="1"/>
        <v>30.76923076923077</v>
      </c>
    </row>
    <row r="60" spans="5:8" x14ac:dyDescent="0.2">
      <c r="E60" s="48" t="s">
        <v>89</v>
      </c>
      <c r="F60">
        <f t="shared" si="0"/>
        <v>20000</v>
      </c>
      <c r="G60" s="25">
        <v>650</v>
      </c>
      <c r="H60" s="55">
        <f t="shared" si="1"/>
        <v>30.76923076923077</v>
      </c>
    </row>
    <row r="61" spans="5:8" x14ac:dyDescent="0.2">
      <c r="E61" s="49" t="s">
        <v>182</v>
      </c>
      <c r="F61">
        <f t="shared" si="0"/>
        <v>5000</v>
      </c>
      <c r="G61" s="27">
        <v>1000</v>
      </c>
      <c r="H61" s="55">
        <f t="shared" si="1"/>
        <v>5</v>
      </c>
    </row>
    <row r="62" spans="5:8" x14ac:dyDescent="0.2">
      <c r="E62" s="48" t="s">
        <v>182</v>
      </c>
      <c r="F62">
        <f t="shared" si="0"/>
        <v>5000</v>
      </c>
      <c r="G62" s="25">
        <v>1000</v>
      </c>
      <c r="H62" s="55">
        <f t="shared" si="1"/>
        <v>5</v>
      </c>
    </row>
    <row r="63" spans="5:8" x14ac:dyDescent="0.2">
      <c r="E63" s="49" t="s">
        <v>45</v>
      </c>
      <c r="F63">
        <f t="shared" si="0"/>
        <v>40000</v>
      </c>
      <c r="G63" s="27">
        <v>7500</v>
      </c>
      <c r="H63" s="55">
        <f t="shared" si="1"/>
        <v>5.333333333333333</v>
      </c>
    </row>
    <row r="64" spans="5:8" x14ac:dyDescent="0.2">
      <c r="E64" s="48" t="s">
        <v>89</v>
      </c>
      <c r="F64">
        <f t="shared" si="0"/>
        <v>20000</v>
      </c>
      <c r="G64" s="25">
        <v>900</v>
      </c>
      <c r="H64" s="55">
        <f t="shared" si="1"/>
        <v>22.222222222222221</v>
      </c>
    </row>
    <row r="65" spans="5:8" x14ac:dyDescent="0.2">
      <c r="E65" s="49" t="s">
        <v>60</v>
      </c>
      <c r="F65">
        <f t="shared" si="0"/>
        <v>60000</v>
      </c>
      <c r="G65" s="27">
        <v>5500</v>
      </c>
      <c r="H65" s="55">
        <f t="shared" si="1"/>
        <v>10.909090909090908</v>
      </c>
    </row>
    <row r="66" spans="5:8" x14ac:dyDescent="0.2">
      <c r="E66" s="48" t="s">
        <v>182</v>
      </c>
      <c r="F66">
        <f t="shared" si="0"/>
        <v>5000</v>
      </c>
      <c r="G66" s="25">
        <v>700</v>
      </c>
      <c r="H66" s="55">
        <f t="shared" si="1"/>
        <v>7.1428571428571432</v>
      </c>
    </row>
    <row r="67" spans="5:8" x14ac:dyDescent="0.2">
      <c r="E67" s="49" t="s">
        <v>89</v>
      </c>
      <c r="F67">
        <f t="shared" ref="F67:F130" si="2">IF(E67="below 10,000",5000, IF(E67="10,000-30,000", 20000, IF(E67="30,000-50,000", 40000, IF(E67="50,000-70,000", 60000, IF(E67="70,000-1,00,000",85000,IF(E67="above 1,00,000",125000," "))))))</f>
        <v>20000</v>
      </c>
      <c r="G67" s="27">
        <v>1200</v>
      </c>
      <c r="H67" s="55">
        <f t="shared" ref="H67:H130" si="3">F67/G67</f>
        <v>16.666666666666668</v>
      </c>
    </row>
    <row r="68" spans="5:8" x14ac:dyDescent="0.2">
      <c r="E68" s="48" t="s">
        <v>109</v>
      </c>
      <c r="F68">
        <f t="shared" si="2"/>
        <v>85000</v>
      </c>
      <c r="G68" s="25">
        <v>3200</v>
      </c>
      <c r="H68" s="55">
        <f t="shared" si="3"/>
        <v>26.5625</v>
      </c>
    </row>
    <row r="69" spans="5:8" x14ac:dyDescent="0.2">
      <c r="E69" s="49" t="s">
        <v>45</v>
      </c>
      <c r="F69">
        <f t="shared" si="2"/>
        <v>40000</v>
      </c>
      <c r="G69" s="27">
        <v>4800</v>
      </c>
      <c r="H69" s="55">
        <f t="shared" si="3"/>
        <v>8.3333333333333339</v>
      </c>
    </row>
    <row r="70" spans="5:8" x14ac:dyDescent="0.2">
      <c r="E70" s="48" t="s">
        <v>182</v>
      </c>
      <c r="F70">
        <f t="shared" si="2"/>
        <v>5000</v>
      </c>
      <c r="G70" s="25">
        <v>750</v>
      </c>
      <c r="H70" s="55">
        <f t="shared" si="3"/>
        <v>6.666666666666667</v>
      </c>
    </row>
    <row r="71" spans="5:8" x14ac:dyDescent="0.2">
      <c r="E71" s="49" t="s">
        <v>60</v>
      </c>
      <c r="F71">
        <f t="shared" si="2"/>
        <v>60000</v>
      </c>
      <c r="G71" s="27">
        <v>10000</v>
      </c>
      <c r="H71" s="55">
        <f t="shared" si="3"/>
        <v>6</v>
      </c>
    </row>
    <row r="72" spans="5:8" x14ac:dyDescent="0.2">
      <c r="E72" s="48" t="s">
        <v>45</v>
      </c>
      <c r="F72">
        <f t="shared" si="2"/>
        <v>40000</v>
      </c>
      <c r="G72" s="25">
        <v>2300</v>
      </c>
      <c r="H72" s="55">
        <f t="shared" si="3"/>
        <v>17.391304347826086</v>
      </c>
    </row>
    <row r="73" spans="5:8" x14ac:dyDescent="0.2">
      <c r="E73" s="49" t="s">
        <v>45</v>
      </c>
      <c r="F73">
        <f t="shared" si="2"/>
        <v>40000</v>
      </c>
      <c r="G73" s="27">
        <v>2000</v>
      </c>
      <c r="H73" s="55">
        <f t="shared" si="3"/>
        <v>20</v>
      </c>
    </row>
    <row r="74" spans="5:8" x14ac:dyDescent="0.2">
      <c r="E74" s="48" t="s">
        <v>45</v>
      </c>
      <c r="F74">
        <f t="shared" si="2"/>
        <v>40000</v>
      </c>
      <c r="G74" s="25">
        <v>5000</v>
      </c>
      <c r="H74" s="55">
        <f t="shared" si="3"/>
        <v>8</v>
      </c>
    </row>
    <row r="75" spans="5:8" x14ac:dyDescent="0.2">
      <c r="E75" s="49" t="s">
        <v>182</v>
      </c>
      <c r="F75">
        <f t="shared" si="2"/>
        <v>5000</v>
      </c>
      <c r="G75" s="27">
        <v>1000</v>
      </c>
      <c r="H75" s="55">
        <f t="shared" si="3"/>
        <v>5</v>
      </c>
    </row>
    <row r="76" spans="5:8" x14ac:dyDescent="0.2">
      <c r="E76" s="48" t="s">
        <v>89</v>
      </c>
      <c r="F76">
        <f t="shared" si="2"/>
        <v>20000</v>
      </c>
      <c r="G76" s="25">
        <v>9500</v>
      </c>
      <c r="H76" s="55">
        <f t="shared" si="3"/>
        <v>2.1052631578947367</v>
      </c>
    </row>
    <row r="77" spans="5:8" x14ac:dyDescent="0.2">
      <c r="E77" s="49" t="s">
        <v>60</v>
      </c>
      <c r="F77">
        <f t="shared" si="2"/>
        <v>60000</v>
      </c>
      <c r="G77" s="27">
        <v>4800</v>
      </c>
      <c r="H77" s="55">
        <f t="shared" si="3"/>
        <v>12.5</v>
      </c>
    </row>
    <row r="78" spans="5:8" x14ac:dyDescent="0.2">
      <c r="E78" s="48" t="s">
        <v>155</v>
      </c>
      <c r="F78">
        <f t="shared" si="2"/>
        <v>125000</v>
      </c>
      <c r="G78" s="25">
        <v>14000</v>
      </c>
      <c r="H78" s="55">
        <f t="shared" si="3"/>
        <v>8.9285714285714288</v>
      </c>
    </row>
    <row r="79" spans="5:8" x14ac:dyDescent="0.2">
      <c r="E79" s="49" t="s">
        <v>89</v>
      </c>
      <c r="F79">
        <f t="shared" si="2"/>
        <v>20000</v>
      </c>
      <c r="G79" s="27">
        <v>1500</v>
      </c>
      <c r="H79" s="55">
        <f t="shared" si="3"/>
        <v>13.333333333333334</v>
      </c>
    </row>
    <row r="80" spans="5:8" x14ac:dyDescent="0.2">
      <c r="E80" s="48" t="s">
        <v>182</v>
      </c>
      <c r="F80">
        <f t="shared" si="2"/>
        <v>5000</v>
      </c>
      <c r="G80" s="25">
        <v>2000</v>
      </c>
      <c r="H80" s="55">
        <f t="shared" si="3"/>
        <v>2.5</v>
      </c>
    </row>
    <row r="81" spans="5:8" x14ac:dyDescent="0.2">
      <c r="E81" s="49" t="s">
        <v>182</v>
      </c>
      <c r="F81">
        <f t="shared" si="2"/>
        <v>5000</v>
      </c>
      <c r="G81" s="27">
        <v>1200</v>
      </c>
      <c r="H81" s="55">
        <f t="shared" si="3"/>
        <v>4.166666666666667</v>
      </c>
    </row>
    <row r="82" spans="5:8" x14ac:dyDescent="0.2">
      <c r="E82" s="48" t="s">
        <v>60</v>
      </c>
      <c r="F82">
        <f t="shared" si="2"/>
        <v>60000</v>
      </c>
      <c r="G82" s="25">
        <v>3200</v>
      </c>
      <c r="H82" s="55">
        <f t="shared" si="3"/>
        <v>18.75</v>
      </c>
    </row>
    <row r="83" spans="5:8" x14ac:dyDescent="0.2">
      <c r="E83" s="49" t="s">
        <v>89</v>
      </c>
      <c r="F83">
        <f t="shared" si="2"/>
        <v>20000</v>
      </c>
      <c r="G83" s="27">
        <v>900</v>
      </c>
      <c r="H83" s="55">
        <f t="shared" si="3"/>
        <v>22.222222222222221</v>
      </c>
    </row>
    <row r="84" spans="5:8" x14ac:dyDescent="0.2">
      <c r="E84" s="48" t="s">
        <v>45</v>
      </c>
      <c r="F84">
        <f t="shared" si="2"/>
        <v>40000</v>
      </c>
      <c r="G84" s="25">
        <v>12000</v>
      </c>
      <c r="H84" s="55">
        <f t="shared" si="3"/>
        <v>3.3333333333333335</v>
      </c>
    </row>
    <row r="85" spans="5:8" x14ac:dyDescent="0.2">
      <c r="E85" s="49" t="s">
        <v>60</v>
      </c>
      <c r="F85">
        <f t="shared" si="2"/>
        <v>60000</v>
      </c>
      <c r="G85" s="27">
        <v>650</v>
      </c>
      <c r="H85" s="55">
        <f t="shared" si="3"/>
        <v>92.307692307692307</v>
      </c>
    </row>
    <row r="86" spans="5:8" x14ac:dyDescent="0.2">
      <c r="E86" s="48" t="s">
        <v>45</v>
      </c>
      <c r="F86">
        <f t="shared" si="2"/>
        <v>40000</v>
      </c>
      <c r="G86" s="25">
        <v>4200</v>
      </c>
      <c r="H86" s="55">
        <f t="shared" si="3"/>
        <v>9.5238095238095237</v>
      </c>
    </row>
    <row r="87" spans="5:8" x14ac:dyDescent="0.2">
      <c r="E87" s="49" t="s">
        <v>60</v>
      </c>
      <c r="F87">
        <f t="shared" si="2"/>
        <v>60000</v>
      </c>
      <c r="G87" s="27">
        <v>2600</v>
      </c>
      <c r="H87" s="55">
        <f t="shared" si="3"/>
        <v>23.076923076923077</v>
      </c>
    </row>
    <row r="88" spans="5:8" x14ac:dyDescent="0.2">
      <c r="E88" s="48" t="s">
        <v>89</v>
      </c>
      <c r="F88">
        <f t="shared" si="2"/>
        <v>20000</v>
      </c>
      <c r="G88" s="25">
        <v>1100</v>
      </c>
      <c r="H88" s="55">
        <f t="shared" si="3"/>
        <v>18.181818181818183</v>
      </c>
    </row>
    <row r="89" spans="5:8" x14ac:dyDescent="0.2">
      <c r="E89" s="49" t="s">
        <v>182</v>
      </c>
      <c r="F89">
        <f t="shared" si="2"/>
        <v>5000</v>
      </c>
      <c r="G89" s="27">
        <v>650</v>
      </c>
      <c r="H89" s="55">
        <f t="shared" si="3"/>
        <v>7.6923076923076925</v>
      </c>
    </row>
    <row r="90" spans="5:8" x14ac:dyDescent="0.2">
      <c r="E90" s="48" t="s">
        <v>45</v>
      </c>
      <c r="F90">
        <f t="shared" si="2"/>
        <v>40000</v>
      </c>
      <c r="G90" s="25">
        <v>3600</v>
      </c>
      <c r="H90" s="55">
        <f t="shared" si="3"/>
        <v>11.111111111111111</v>
      </c>
    </row>
    <row r="91" spans="5:8" x14ac:dyDescent="0.2">
      <c r="E91" s="49" t="s">
        <v>89</v>
      </c>
      <c r="F91">
        <f t="shared" si="2"/>
        <v>20000</v>
      </c>
      <c r="G91" s="27">
        <v>1300</v>
      </c>
      <c r="H91" s="55">
        <f t="shared" si="3"/>
        <v>15.384615384615385</v>
      </c>
    </row>
    <row r="92" spans="5:8" x14ac:dyDescent="0.2">
      <c r="E92" s="48" t="s">
        <v>89</v>
      </c>
      <c r="F92">
        <f t="shared" si="2"/>
        <v>20000</v>
      </c>
      <c r="G92" s="25">
        <v>650</v>
      </c>
      <c r="H92" s="55">
        <f t="shared" si="3"/>
        <v>30.76923076923077</v>
      </c>
    </row>
    <row r="93" spans="5:8" x14ac:dyDescent="0.2">
      <c r="E93" s="49" t="s">
        <v>45</v>
      </c>
      <c r="F93">
        <f t="shared" si="2"/>
        <v>40000</v>
      </c>
      <c r="G93" s="27">
        <v>3800</v>
      </c>
      <c r="H93" s="55">
        <f t="shared" si="3"/>
        <v>10.526315789473685</v>
      </c>
    </row>
    <row r="94" spans="5:8" x14ac:dyDescent="0.2">
      <c r="E94" s="48" t="s">
        <v>89</v>
      </c>
      <c r="F94">
        <f t="shared" si="2"/>
        <v>20000</v>
      </c>
      <c r="G94" s="25">
        <v>720</v>
      </c>
      <c r="H94" s="55">
        <f t="shared" si="3"/>
        <v>27.777777777777779</v>
      </c>
    </row>
    <row r="95" spans="5:8" x14ac:dyDescent="0.2">
      <c r="E95" s="49" t="s">
        <v>45</v>
      </c>
      <c r="F95">
        <f t="shared" si="2"/>
        <v>40000</v>
      </c>
      <c r="G95" s="27">
        <v>2300</v>
      </c>
      <c r="H95" s="55">
        <f t="shared" si="3"/>
        <v>17.391304347826086</v>
      </c>
    </row>
    <row r="96" spans="5:8" x14ac:dyDescent="0.2">
      <c r="E96" s="48" t="s">
        <v>89</v>
      </c>
      <c r="F96">
        <f t="shared" si="2"/>
        <v>20000</v>
      </c>
      <c r="G96" s="25">
        <v>1200</v>
      </c>
      <c r="H96" s="55">
        <f t="shared" si="3"/>
        <v>16.666666666666668</v>
      </c>
    </row>
    <row r="97" spans="5:8" x14ac:dyDescent="0.2">
      <c r="E97" s="49" t="s">
        <v>182</v>
      </c>
      <c r="F97">
        <f t="shared" si="2"/>
        <v>5000</v>
      </c>
      <c r="G97" s="27">
        <v>600</v>
      </c>
      <c r="H97" s="55">
        <f t="shared" si="3"/>
        <v>8.3333333333333339</v>
      </c>
    </row>
    <row r="98" spans="5:8" x14ac:dyDescent="0.2">
      <c r="E98" s="48" t="s">
        <v>45</v>
      </c>
      <c r="F98">
        <f t="shared" si="2"/>
        <v>40000</v>
      </c>
      <c r="G98" s="25">
        <v>8200</v>
      </c>
      <c r="H98" s="55">
        <f t="shared" si="3"/>
        <v>4.8780487804878048</v>
      </c>
    </row>
    <row r="99" spans="5:8" x14ac:dyDescent="0.2">
      <c r="E99" s="49" t="s">
        <v>60</v>
      </c>
      <c r="F99">
        <f t="shared" si="2"/>
        <v>60000</v>
      </c>
      <c r="G99" s="27">
        <v>9000</v>
      </c>
      <c r="H99" s="55">
        <f t="shared" si="3"/>
        <v>6.666666666666667</v>
      </c>
    </row>
    <row r="100" spans="5:8" x14ac:dyDescent="0.2">
      <c r="E100" s="48" t="s">
        <v>45</v>
      </c>
      <c r="F100">
        <f t="shared" si="2"/>
        <v>40000</v>
      </c>
      <c r="G100" s="25">
        <v>2400</v>
      </c>
      <c r="H100" s="55">
        <f t="shared" si="3"/>
        <v>16.666666666666668</v>
      </c>
    </row>
    <row r="101" spans="5:8" x14ac:dyDescent="0.2">
      <c r="E101" s="49" t="s">
        <v>89</v>
      </c>
      <c r="F101">
        <f t="shared" si="2"/>
        <v>20000</v>
      </c>
      <c r="G101" s="27">
        <v>7000</v>
      </c>
      <c r="H101" s="55">
        <f t="shared" si="3"/>
        <v>2.8571428571428572</v>
      </c>
    </row>
    <row r="102" spans="5:8" x14ac:dyDescent="0.2">
      <c r="E102" s="48" t="s">
        <v>182</v>
      </c>
      <c r="F102">
        <f t="shared" si="2"/>
        <v>5000</v>
      </c>
      <c r="G102" s="25">
        <v>700</v>
      </c>
      <c r="H102" s="55">
        <f t="shared" si="3"/>
        <v>7.1428571428571432</v>
      </c>
    </row>
    <row r="103" spans="5:8" x14ac:dyDescent="0.2">
      <c r="E103" s="49" t="s">
        <v>45</v>
      </c>
      <c r="F103">
        <f t="shared" si="2"/>
        <v>40000</v>
      </c>
      <c r="G103" s="27">
        <v>4300</v>
      </c>
      <c r="H103" s="55">
        <f t="shared" si="3"/>
        <v>9.3023255813953494</v>
      </c>
    </row>
    <row r="104" spans="5:8" x14ac:dyDescent="0.2">
      <c r="E104" s="48" t="s">
        <v>45</v>
      </c>
      <c r="F104">
        <f t="shared" si="2"/>
        <v>40000</v>
      </c>
      <c r="G104" s="25">
        <v>3400</v>
      </c>
      <c r="H104" s="55">
        <f t="shared" si="3"/>
        <v>11.764705882352942</v>
      </c>
    </row>
    <row r="105" spans="5:8" x14ac:dyDescent="0.2">
      <c r="E105" s="49" t="s">
        <v>89</v>
      </c>
      <c r="F105">
        <f t="shared" si="2"/>
        <v>20000</v>
      </c>
      <c r="G105" s="27">
        <v>600</v>
      </c>
      <c r="H105" s="55">
        <f t="shared" si="3"/>
        <v>33.333333333333336</v>
      </c>
    </row>
    <row r="106" spans="5:8" x14ac:dyDescent="0.2">
      <c r="E106" s="48" t="s">
        <v>45</v>
      </c>
      <c r="F106">
        <f t="shared" si="2"/>
        <v>40000</v>
      </c>
      <c r="G106" s="25">
        <v>4800</v>
      </c>
      <c r="H106" s="55">
        <f t="shared" si="3"/>
        <v>8.3333333333333339</v>
      </c>
    </row>
    <row r="107" spans="5:8" x14ac:dyDescent="0.2">
      <c r="E107" s="49" t="s">
        <v>89</v>
      </c>
      <c r="F107">
        <f t="shared" si="2"/>
        <v>20000</v>
      </c>
      <c r="G107" s="27">
        <v>5800</v>
      </c>
      <c r="H107" s="55">
        <f t="shared" si="3"/>
        <v>3.4482758620689653</v>
      </c>
    </row>
    <row r="108" spans="5:8" x14ac:dyDescent="0.2">
      <c r="E108" s="48" t="s">
        <v>45</v>
      </c>
      <c r="F108">
        <f t="shared" si="2"/>
        <v>40000</v>
      </c>
      <c r="G108" s="25">
        <v>750</v>
      </c>
      <c r="H108" s="55">
        <f t="shared" si="3"/>
        <v>53.333333333333336</v>
      </c>
    </row>
    <row r="109" spans="5:8" x14ac:dyDescent="0.2">
      <c r="E109" s="49" t="s">
        <v>45</v>
      </c>
      <c r="F109">
        <f t="shared" si="2"/>
        <v>40000</v>
      </c>
      <c r="G109" s="27">
        <v>1100</v>
      </c>
      <c r="H109" s="55">
        <f t="shared" si="3"/>
        <v>36.363636363636367</v>
      </c>
    </row>
    <row r="110" spans="5:8" x14ac:dyDescent="0.2">
      <c r="E110" s="48" t="s">
        <v>89</v>
      </c>
      <c r="F110">
        <f t="shared" si="2"/>
        <v>20000</v>
      </c>
      <c r="G110" s="25">
        <v>8500</v>
      </c>
      <c r="H110" s="55">
        <f t="shared" si="3"/>
        <v>2.3529411764705883</v>
      </c>
    </row>
    <row r="111" spans="5:8" x14ac:dyDescent="0.2">
      <c r="E111" s="49" t="s">
        <v>60</v>
      </c>
      <c r="F111">
        <f t="shared" si="2"/>
        <v>60000</v>
      </c>
      <c r="G111" s="27">
        <v>9500</v>
      </c>
      <c r="H111" s="55">
        <f t="shared" si="3"/>
        <v>6.3157894736842106</v>
      </c>
    </row>
    <row r="112" spans="5:8" x14ac:dyDescent="0.2">
      <c r="E112" s="48" t="s">
        <v>45</v>
      </c>
      <c r="F112">
        <f t="shared" si="2"/>
        <v>40000</v>
      </c>
      <c r="G112" s="25">
        <v>2500</v>
      </c>
      <c r="H112" s="55">
        <f t="shared" si="3"/>
        <v>16</v>
      </c>
    </row>
    <row r="113" spans="5:8" x14ac:dyDescent="0.2">
      <c r="E113" s="49" t="s">
        <v>182</v>
      </c>
      <c r="F113">
        <f t="shared" si="2"/>
        <v>5000</v>
      </c>
      <c r="G113" s="27">
        <v>700</v>
      </c>
      <c r="H113" s="55">
        <f t="shared" si="3"/>
        <v>7.1428571428571432</v>
      </c>
    </row>
    <row r="114" spans="5:8" x14ac:dyDescent="0.2">
      <c r="E114" s="48" t="s">
        <v>60</v>
      </c>
      <c r="F114">
        <f t="shared" si="2"/>
        <v>60000</v>
      </c>
      <c r="G114" s="25">
        <v>5500</v>
      </c>
      <c r="H114" s="55">
        <f t="shared" si="3"/>
        <v>10.909090909090908</v>
      </c>
    </row>
    <row r="115" spans="5:8" x14ac:dyDescent="0.2">
      <c r="E115" s="49" t="s">
        <v>89</v>
      </c>
      <c r="F115">
        <f t="shared" si="2"/>
        <v>20000</v>
      </c>
      <c r="G115" s="27">
        <v>650</v>
      </c>
      <c r="H115" s="55">
        <f t="shared" si="3"/>
        <v>30.76923076923077</v>
      </c>
    </row>
    <row r="116" spans="5:8" x14ac:dyDescent="0.2">
      <c r="E116" s="48" t="s">
        <v>109</v>
      </c>
      <c r="F116">
        <f t="shared" si="2"/>
        <v>85000</v>
      </c>
      <c r="G116" s="25">
        <v>5200</v>
      </c>
      <c r="H116" s="55">
        <f t="shared" si="3"/>
        <v>16.346153846153847</v>
      </c>
    </row>
    <row r="117" spans="5:8" x14ac:dyDescent="0.2">
      <c r="E117" s="49" t="s">
        <v>89</v>
      </c>
      <c r="F117">
        <f t="shared" si="2"/>
        <v>20000</v>
      </c>
      <c r="G117" s="27">
        <v>650</v>
      </c>
      <c r="H117" s="55">
        <f t="shared" si="3"/>
        <v>30.76923076923077</v>
      </c>
    </row>
    <row r="118" spans="5:8" x14ac:dyDescent="0.2">
      <c r="E118" s="48" t="s">
        <v>155</v>
      </c>
      <c r="F118">
        <f t="shared" si="2"/>
        <v>125000</v>
      </c>
      <c r="G118" s="25">
        <v>8200</v>
      </c>
      <c r="H118" s="55">
        <f t="shared" si="3"/>
        <v>15.24390243902439</v>
      </c>
    </row>
    <row r="119" spans="5:8" x14ac:dyDescent="0.2">
      <c r="E119" s="49" t="s">
        <v>45</v>
      </c>
      <c r="F119">
        <f t="shared" si="2"/>
        <v>40000</v>
      </c>
      <c r="G119" s="27">
        <v>1400</v>
      </c>
      <c r="H119" s="55">
        <f t="shared" si="3"/>
        <v>28.571428571428573</v>
      </c>
    </row>
    <row r="120" spans="5:8" x14ac:dyDescent="0.2">
      <c r="E120" s="48" t="s">
        <v>89</v>
      </c>
      <c r="F120">
        <f t="shared" si="2"/>
        <v>20000</v>
      </c>
      <c r="G120" s="25">
        <v>600</v>
      </c>
      <c r="H120" s="55">
        <f t="shared" si="3"/>
        <v>33.333333333333336</v>
      </c>
    </row>
    <row r="121" spans="5:8" x14ac:dyDescent="0.2">
      <c r="E121" s="49" t="s">
        <v>89</v>
      </c>
      <c r="F121">
        <f t="shared" si="2"/>
        <v>20000</v>
      </c>
      <c r="G121" s="27">
        <v>750</v>
      </c>
      <c r="H121" s="55">
        <f t="shared" si="3"/>
        <v>26.666666666666668</v>
      </c>
    </row>
    <row r="122" spans="5:8" x14ac:dyDescent="0.2">
      <c r="E122" s="48" t="s">
        <v>89</v>
      </c>
      <c r="F122">
        <f t="shared" si="2"/>
        <v>20000</v>
      </c>
      <c r="G122" s="25">
        <v>20000</v>
      </c>
      <c r="H122" s="55">
        <f t="shared" si="3"/>
        <v>1</v>
      </c>
    </row>
    <row r="123" spans="5:8" x14ac:dyDescent="0.2">
      <c r="E123" s="49" t="s">
        <v>182</v>
      </c>
      <c r="F123">
        <f t="shared" si="2"/>
        <v>5000</v>
      </c>
      <c r="G123" s="27">
        <v>3000</v>
      </c>
      <c r="H123" s="55">
        <f t="shared" si="3"/>
        <v>1.6666666666666667</v>
      </c>
    </row>
    <row r="124" spans="5:8" x14ac:dyDescent="0.2">
      <c r="E124" s="48" t="s">
        <v>89</v>
      </c>
      <c r="F124">
        <f t="shared" si="2"/>
        <v>20000</v>
      </c>
      <c r="G124" s="28">
        <v>950</v>
      </c>
      <c r="H124" s="55">
        <f t="shared" si="3"/>
        <v>21.05263157894737</v>
      </c>
    </row>
    <row r="125" spans="5:8" x14ac:dyDescent="0.2">
      <c r="E125" s="49" t="s">
        <v>45</v>
      </c>
      <c r="F125">
        <f t="shared" si="2"/>
        <v>40000</v>
      </c>
      <c r="G125" s="27">
        <v>5600</v>
      </c>
      <c r="H125" s="55">
        <f t="shared" si="3"/>
        <v>7.1428571428571432</v>
      </c>
    </row>
    <row r="126" spans="5:8" x14ac:dyDescent="0.2">
      <c r="E126" s="48" t="s">
        <v>182</v>
      </c>
      <c r="F126">
        <f t="shared" si="2"/>
        <v>5000</v>
      </c>
      <c r="G126" s="25">
        <v>580</v>
      </c>
      <c r="H126" s="55">
        <f t="shared" si="3"/>
        <v>8.6206896551724146</v>
      </c>
    </row>
    <row r="127" spans="5:8" x14ac:dyDescent="0.2">
      <c r="E127" s="49" t="s">
        <v>60</v>
      </c>
      <c r="F127">
        <f t="shared" si="2"/>
        <v>60000</v>
      </c>
      <c r="G127" s="27">
        <v>7100</v>
      </c>
      <c r="H127" s="55">
        <f t="shared" si="3"/>
        <v>8.4507042253521121</v>
      </c>
    </row>
    <row r="128" spans="5:8" x14ac:dyDescent="0.2">
      <c r="E128" s="48" t="s">
        <v>89</v>
      </c>
      <c r="F128">
        <f t="shared" si="2"/>
        <v>20000</v>
      </c>
      <c r="G128" s="25">
        <v>650</v>
      </c>
      <c r="H128" s="55">
        <f t="shared" si="3"/>
        <v>30.76923076923077</v>
      </c>
    </row>
    <row r="129" spans="5:8" x14ac:dyDescent="0.2">
      <c r="E129" s="49" t="s">
        <v>89</v>
      </c>
      <c r="F129">
        <f t="shared" si="2"/>
        <v>20000</v>
      </c>
      <c r="G129" s="27">
        <v>5200</v>
      </c>
      <c r="H129" s="55">
        <f t="shared" si="3"/>
        <v>3.8461538461538463</v>
      </c>
    </row>
    <row r="130" spans="5:8" x14ac:dyDescent="0.2">
      <c r="E130" s="48" t="s">
        <v>182</v>
      </c>
      <c r="F130">
        <f t="shared" si="2"/>
        <v>5000</v>
      </c>
      <c r="G130" s="25">
        <v>500</v>
      </c>
      <c r="H130" s="55">
        <f t="shared" si="3"/>
        <v>10</v>
      </c>
    </row>
    <row r="131" spans="5:8" x14ac:dyDescent="0.2">
      <c r="E131" s="49" t="s">
        <v>155</v>
      </c>
      <c r="F131">
        <f t="shared" ref="F131:F194" si="4">IF(E131="below 10,000",5000, IF(E131="10,000-30,000", 20000, IF(E131="30,000-50,000", 40000, IF(E131="50,000-70,000", 60000, IF(E131="70,000-1,00,000",85000,IF(E131="above 1,00,000",125000," "))))))</f>
        <v>125000</v>
      </c>
      <c r="G131" s="27">
        <v>10200</v>
      </c>
      <c r="H131" s="55">
        <f t="shared" ref="H131:H194" si="5">F131/G131</f>
        <v>12.254901960784315</v>
      </c>
    </row>
    <row r="132" spans="5:8" x14ac:dyDescent="0.2">
      <c r="E132" s="48" t="s">
        <v>182</v>
      </c>
      <c r="F132">
        <f t="shared" si="4"/>
        <v>5000</v>
      </c>
      <c r="G132" s="25">
        <v>720</v>
      </c>
      <c r="H132" s="55">
        <f t="shared" si="5"/>
        <v>6.9444444444444446</v>
      </c>
    </row>
    <row r="133" spans="5:8" x14ac:dyDescent="0.2">
      <c r="E133" s="49" t="s">
        <v>89</v>
      </c>
      <c r="F133">
        <f t="shared" si="4"/>
        <v>20000</v>
      </c>
      <c r="G133" s="27">
        <v>900</v>
      </c>
      <c r="H133" s="55">
        <f t="shared" si="5"/>
        <v>22.222222222222221</v>
      </c>
    </row>
    <row r="134" spans="5:8" x14ac:dyDescent="0.2">
      <c r="E134" s="48" t="s">
        <v>45</v>
      </c>
      <c r="F134">
        <f t="shared" si="4"/>
        <v>40000</v>
      </c>
      <c r="G134" s="25">
        <v>780</v>
      </c>
      <c r="H134" s="55">
        <f t="shared" si="5"/>
        <v>51.282051282051285</v>
      </c>
    </row>
    <row r="135" spans="5:8" x14ac:dyDescent="0.2">
      <c r="E135" s="49" t="s">
        <v>45</v>
      </c>
      <c r="F135">
        <f t="shared" si="4"/>
        <v>40000</v>
      </c>
      <c r="G135" s="27">
        <v>4800</v>
      </c>
      <c r="H135" s="55">
        <f t="shared" si="5"/>
        <v>8.3333333333333339</v>
      </c>
    </row>
    <row r="136" spans="5:8" x14ac:dyDescent="0.2">
      <c r="E136" s="48" t="s">
        <v>182</v>
      </c>
      <c r="F136">
        <f t="shared" si="4"/>
        <v>5000</v>
      </c>
      <c r="G136" s="25">
        <v>850</v>
      </c>
      <c r="H136" s="55">
        <f t="shared" si="5"/>
        <v>5.882352941176471</v>
      </c>
    </row>
    <row r="137" spans="5:8" x14ac:dyDescent="0.2">
      <c r="E137" s="49" t="s">
        <v>45</v>
      </c>
      <c r="F137">
        <f t="shared" si="4"/>
        <v>40000</v>
      </c>
      <c r="G137" s="27">
        <v>6400</v>
      </c>
      <c r="H137" s="55">
        <f t="shared" si="5"/>
        <v>6.25</v>
      </c>
    </row>
    <row r="138" spans="5:8" x14ac:dyDescent="0.2">
      <c r="E138" s="48" t="s">
        <v>89</v>
      </c>
      <c r="F138">
        <f t="shared" si="4"/>
        <v>20000</v>
      </c>
      <c r="G138" s="25">
        <v>800</v>
      </c>
      <c r="H138" s="55">
        <f t="shared" si="5"/>
        <v>25</v>
      </c>
    </row>
    <row r="139" spans="5:8" x14ac:dyDescent="0.2">
      <c r="E139" s="49" t="s">
        <v>60</v>
      </c>
      <c r="F139">
        <f t="shared" si="4"/>
        <v>60000</v>
      </c>
      <c r="G139" s="27">
        <v>4900</v>
      </c>
      <c r="H139" s="55">
        <f t="shared" si="5"/>
        <v>12.244897959183673</v>
      </c>
    </row>
    <row r="140" spans="5:8" x14ac:dyDescent="0.2">
      <c r="E140" s="48" t="s">
        <v>182</v>
      </c>
      <c r="F140">
        <f t="shared" si="4"/>
        <v>5000</v>
      </c>
      <c r="G140" s="25">
        <v>720</v>
      </c>
      <c r="H140" s="55">
        <f t="shared" si="5"/>
        <v>6.9444444444444446</v>
      </c>
    </row>
    <row r="141" spans="5:8" x14ac:dyDescent="0.2">
      <c r="E141" s="49" t="s">
        <v>155</v>
      </c>
      <c r="F141">
        <f t="shared" si="4"/>
        <v>125000</v>
      </c>
      <c r="G141" s="27">
        <v>9900</v>
      </c>
      <c r="H141" s="55">
        <f t="shared" si="5"/>
        <v>12.626262626262626</v>
      </c>
    </row>
    <row r="142" spans="5:8" x14ac:dyDescent="0.2">
      <c r="E142" s="48" t="s">
        <v>182</v>
      </c>
      <c r="F142">
        <f t="shared" si="4"/>
        <v>5000</v>
      </c>
      <c r="G142" s="25">
        <v>650</v>
      </c>
      <c r="H142" s="55">
        <f t="shared" si="5"/>
        <v>7.6923076923076925</v>
      </c>
    </row>
    <row r="143" spans="5:8" x14ac:dyDescent="0.2">
      <c r="E143" s="49" t="s">
        <v>45</v>
      </c>
      <c r="F143">
        <f t="shared" si="4"/>
        <v>40000</v>
      </c>
      <c r="G143" s="27">
        <v>990</v>
      </c>
      <c r="H143" s="55">
        <f t="shared" si="5"/>
        <v>40.404040404040401</v>
      </c>
    </row>
    <row r="144" spans="5:8" x14ac:dyDescent="0.2">
      <c r="E144" s="48" t="s">
        <v>89</v>
      </c>
      <c r="F144">
        <f t="shared" si="4"/>
        <v>20000</v>
      </c>
      <c r="G144" s="25">
        <v>600</v>
      </c>
      <c r="H144" s="55">
        <f t="shared" si="5"/>
        <v>33.333333333333336</v>
      </c>
    </row>
    <row r="145" spans="5:8" x14ac:dyDescent="0.2">
      <c r="E145" s="49" t="s">
        <v>45</v>
      </c>
      <c r="F145">
        <f t="shared" si="4"/>
        <v>40000</v>
      </c>
      <c r="G145" s="27">
        <v>5000</v>
      </c>
      <c r="H145" s="55">
        <f t="shared" si="5"/>
        <v>8</v>
      </c>
    </row>
    <row r="146" spans="5:8" x14ac:dyDescent="0.2">
      <c r="E146" s="48" t="s">
        <v>89</v>
      </c>
      <c r="F146">
        <f t="shared" si="4"/>
        <v>20000</v>
      </c>
      <c r="G146" s="25">
        <v>1000</v>
      </c>
      <c r="H146" s="55">
        <f t="shared" si="5"/>
        <v>20</v>
      </c>
    </row>
    <row r="147" spans="5:8" x14ac:dyDescent="0.2">
      <c r="E147" s="49" t="s">
        <v>89</v>
      </c>
      <c r="F147">
        <f t="shared" si="4"/>
        <v>20000</v>
      </c>
      <c r="G147" s="27">
        <v>1000</v>
      </c>
      <c r="H147" s="55">
        <f t="shared" si="5"/>
        <v>20</v>
      </c>
    </row>
    <row r="148" spans="5:8" x14ac:dyDescent="0.2">
      <c r="E148" s="48" t="s">
        <v>89</v>
      </c>
      <c r="F148">
        <f t="shared" si="4"/>
        <v>20000</v>
      </c>
      <c r="G148" s="25">
        <v>15000</v>
      </c>
      <c r="H148" s="55">
        <f t="shared" si="5"/>
        <v>1.3333333333333333</v>
      </c>
    </row>
    <row r="149" spans="5:8" x14ac:dyDescent="0.2">
      <c r="E149" s="49" t="s">
        <v>89</v>
      </c>
      <c r="F149">
        <f t="shared" si="4"/>
        <v>20000</v>
      </c>
      <c r="G149" s="27">
        <v>4200</v>
      </c>
      <c r="H149" s="55">
        <f t="shared" si="5"/>
        <v>4.7619047619047619</v>
      </c>
    </row>
    <row r="150" spans="5:8" x14ac:dyDescent="0.2">
      <c r="E150" s="48" t="s">
        <v>182</v>
      </c>
      <c r="F150">
        <f t="shared" si="4"/>
        <v>5000</v>
      </c>
      <c r="G150" s="25">
        <v>700</v>
      </c>
      <c r="H150" s="55">
        <f t="shared" si="5"/>
        <v>7.1428571428571432</v>
      </c>
    </row>
    <row r="151" spans="5:8" x14ac:dyDescent="0.2">
      <c r="E151" s="49" t="s">
        <v>45</v>
      </c>
      <c r="F151">
        <f t="shared" si="4"/>
        <v>40000</v>
      </c>
      <c r="G151" s="27">
        <v>4200</v>
      </c>
      <c r="H151" s="55">
        <f t="shared" si="5"/>
        <v>9.5238095238095237</v>
      </c>
    </row>
    <row r="152" spans="5:8" x14ac:dyDescent="0.2">
      <c r="E152" s="48" t="s">
        <v>60</v>
      </c>
      <c r="F152">
        <f t="shared" si="4"/>
        <v>60000</v>
      </c>
      <c r="G152" s="25">
        <v>5200</v>
      </c>
      <c r="H152" s="55">
        <f t="shared" si="5"/>
        <v>11.538461538461538</v>
      </c>
    </row>
    <row r="153" spans="5:8" x14ac:dyDescent="0.2">
      <c r="E153" s="49" t="s">
        <v>182</v>
      </c>
      <c r="F153">
        <f t="shared" si="4"/>
        <v>5000</v>
      </c>
      <c r="G153" s="27">
        <v>600</v>
      </c>
      <c r="H153" s="55">
        <f t="shared" si="5"/>
        <v>8.3333333333333339</v>
      </c>
    </row>
    <row r="154" spans="5:8" x14ac:dyDescent="0.2">
      <c r="E154" s="48" t="s">
        <v>45</v>
      </c>
      <c r="F154">
        <f t="shared" si="4"/>
        <v>40000</v>
      </c>
      <c r="G154" s="25">
        <v>9500</v>
      </c>
      <c r="H154" s="55">
        <f t="shared" si="5"/>
        <v>4.2105263157894735</v>
      </c>
    </row>
    <row r="155" spans="5:8" x14ac:dyDescent="0.2">
      <c r="E155" s="49" t="s">
        <v>182</v>
      </c>
      <c r="F155">
        <f t="shared" si="4"/>
        <v>5000</v>
      </c>
      <c r="G155" s="27">
        <v>600</v>
      </c>
      <c r="H155" s="55">
        <f t="shared" si="5"/>
        <v>8.3333333333333339</v>
      </c>
    </row>
    <row r="156" spans="5:8" x14ac:dyDescent="0.2">
      <c r="E156" s="48" t="s">
        <v>109</v>
      </c>
      <c r="F156">
        <f t="shared" si="4"/>
        <v>85000</v>
      </c>
      <c r="G156" s="25">
        <v>4900</v>
      </c>
      <c r="H156" s="55">
        <f t="shared" si="5"/>
        <v>17.346938775510203</v>
      </c>
    </row>
    <row r="157" spans="5:8" x14ac:dyDescent="0.2">
      <c r="E157" s="49" t="s">
        <v>89</v>
      </c>
      <c r="F157">
        <f t="shared" si="4"/>
        <v>20000</v>
      </c>
      <c r="G157" s="27">
        <v>650</v>
      </c>
      <c r="H157" s="55">
        <f t="shared" si="5"/>
        <v>30.76923076923077</v>
      </c>
    </row>
    <row r="158" spans="5:8" x14ac:dyDescent="0.2">
      <c r="E158" s="48" t="s">
        <v>45</v>
      </c>
      <c r="F158">
        <f t="shared" si="4"/>
        <v>40000</v>
      </c>
      <c r="G158" s="25">
        <v>1700</v>
      </c>
      <c r="H158" s="55">
        <f t="shared" si="5"/>
        <v>23.529411764705884</v>
      </c>
    </row>
    <row r="159" spans="5:8" x14ac:dyDescent="0.2">
      <c r="E159" s="49" t="s">
        <v>45</v>
      </c>
      <c r="F159">
        <f t="shared" si="4"/>
        <v>40000</v>
      </c>
      <c r="G159" s="27">
        <v>3800</v>
      </c>
      <c r="H159" s="55">
        <f t="shared" si="5"/>
        <v>10.526315789473685</v>
      </c>
    </row>
    <row r="160" spans="5:8" x14ac:dyDescent="0.2">
      <c r="E160" s="48" t="s">
        <v>45</v>
      </c>
      <c r="F160">
        <f t="shared" si="4"/>
        <v>40000</v>
      </c>
      <c r="G160" s="25">
        <v>8700</v>
      </c>
      <c r="H160" s="55">
        <f t="shared" si="5"/>
        <v>4.5977011494252871</v>
      </c>
    </row>
    <row r="161" spans="5:8" x14ac:dyDescent="0.2">
      <c r="E161" s="49" t="s">
        <v>182</v>
      </c>
      <c r="F161">
        <f t="shared" si="4"/>
        <v>5000</v>
      </c>
      <c r="G161" s="27">
        <v>500</v>
      </c>
      <c r="H161" s="55">
        <f t="shared" si="5"/>
        <v>10</v>
      </c>
    </row>
    <row r="162" spans="5:8" x14ac:dyDescent="0.2">
      <c r="E162" s="48" t="s">
        <v>89</v>
      </c>
      <c r="F162">
        <f t="shared" si="4"/>
        <v>20000</v>
      </c>
      <c r="G162" s="25">
        <v>4200</v>
      </c>
      <c r="H162" s="55">
        <f t="shared" si="5"/>
        <v>4.7619047619047619</v>
      </c>
    </row>
    <row r="163" spans="5:8" x14ac:dyDescent="0.2">
      <c r="E163" s="49" t="s">
        <v>182</v>
      </c>
      <c r="F163">
        <f t="shared" si="4"/>
        <v>5000</v>
      </c>
      <c r="G163" s="27">
        <v>1000</v>
      </c>
      <c r="H163" s="55">
        <f t="shared" si="5"/>
        <v>5</v>
      </c>
    </row>
    <row r="164" spans="5:8" x14ac:dyDescent="0.2">
      <c r="E164" s="48" t="s">
        <v>45</v>
      </c>
      <c r="F164">
        <f t="shared" si="4"/>
        <v>40000</v>
      </c>
      <c r="G164" s="25">
        <v>4800</v>
      </c>
      <c r="H164" s="55">
        <f t="shared" si="5"/>
        <v>8.3333333333333339</v>
      </c>
    </row>
    <row r="165" spans="5:8" x14ac:dyDescent="0.2">
      <c r="E165" s="49" t="s">
        <v>182</v>
      </c>
      <c r="F165">
        <f t="shared" si="4"/>
        <v>5000</v>
      </c>
      <c r="G165" s="27">
        <v>900</v>
      </c>
      <c r="H165" s="55">
        <f t="shared" si="5"/>
        <v>5.5555555555555554</v>
      </c>
    </row>
    <row r="166" spans="5:8" x14ac:dyDescent="0.2">
      <c r="E166" s="48" t="s">
        <v>60</v>
      </c>
      <c r="F166">
        <f t="shared" si="4"/>
        <v>60000</v>
      </c>
      <c r="G166" s="25">
        <v>9200</v>
      </c>
      <c r="H166" s="55">
        <f t="shared" si="5"/>
        <v>6.5217391304347823</v>
      </c>
    </row>
    <row r="167" spans="5:8" x14ac:dyDescent="0.2">
      <c r="E167" s="49" t="s">
        <v>45</v>
      </c>
      <c r="F167">
        <f t="shared" si="4"/>
        <v>40000</v>
      </c>
      <c r="G167" s="27">
        <v>3500</v>
      </c>
      <c r="H167" s="55">
        <f t="shared" si="5"/>
        <v>11.428571428571429</v>
      </c>
    </row>
    <row r="168" spans="5:8" x14ac:dyDescent="0.2">
      <c r="E168" s="48" t="s">
        <v>45</v>
      </c>
      <c r="F168">
        <f t="shared" si="4"/>
        <v>40000</v>
      </c>
      <c r="G168" s="25">
        <v>4000</v>
      </c>
      <c r="H168" s="55">
        <f t="shared" si="5"/>
        <v>10</v>
      </c>
    </row>
    <row r="169" spans="5:8" x14ac:dyDescent="0.2">
      <c r="E169" s="49" t="s">
        <v>45</v>
      </c>
      <c r="F169">
        <f t="shared" si="4"/>
        <v>40000</v>
      </c>
      <c r="G169" s="27">
        <v>1600</v>
      </c>
      <c r="H169" s="55">
        <f t="shared" si="5"/>
        <v>25</v>
      </c>
    </row>
    <row r="170" spans="5:8" x14ac:dyDescent="0.2">
      <c r="E170" s="48" t="s">
        <v>109</v>
      </c>
      <c r="F170">
        <f t="shared" si="4"/>
        <v>85000</v>
      </c>
      <c r="G170" s="25">
        <v>12000</v>
      </c>
      <c r="H170" s="55">
        <f t="shared" si="5"/>
        <v>7.083333333333333</v>
      </c>
    </row>
    <row r="171" spans="5:8" x14ac:dyDescent="0.2">
      <c r="E171" s="49" t="s">
        <v>182</v>
      </c>
      <c r="F171">
        <f t="shared" si="4"/>
        <v>5000</v>
      </c>
      <c r="G171" s="27">
        <v>850</v>
      </c>
      <c r="H171" s="55">
        <f t="shared" si="5"/>
        <v>5.882352941176471</v>
      </c>
    </row>
    <row r="172" spans="5:8" x14ac:dyDescent="0.2">
      <c r="E172" s="48" t="s">
        <v>60</v>
      </c>
      <c r="F172">
        <f t="shared" si="4"/>
        <v>60000</v>
      </c>
      <c r="G172" s="25">
        <v>6000</v>
      </c>
      <c r="H172" s="55">
        <f t="shared" si="5"/>
        <v>10</v>
      </c>
    </row>
    <row r="173" spans="5:8" x14ac:dyDescent="0.2">
      <c r="E173" s="49" t="s">
        <v>45</v>
      </c>
      <c r="F173">
        <f t="shared" si="4"/>
        <v>40000</v>
      </c>
      <c r="G173" s="27">
        <v>550</v>
      </c>
      <c r="H173" s="55">
        <f t="shared" si="5"/>
        <v>72.727272727272734</v>
      </c>
    </row>
    <row r="174" spans="5:8" x14ac:dyDescent="0.2">
      <c r="E174" s="48" t="s">
        <v>155</v>
      </c>
      <c r="F174">
        <f t="shared" si="4"/>
        <v>125000</v>
      </c>
      <c r="G174" s="25">
        <v>9000</v>
      </c>
      <c r="H174" s="55">
        <f t="shared" si="5"/>
        <v>13.888888888888889</v>
      </c>
    </row>
    <row r="175" spans="5:8" x14ac:dyDescent="0.2">
      <c r="E175" s="49" t="s">
        <v>109</v>
      </c>
      <c r="F175">
        <f t="shared" si="4"/>
        <v>85000</v>
      </c>
      <c r="G175" s="27">
        <v>5000</v>
      </c>
      <c r="H175" s="55">
        <f t="shared" si="5"/>
        <v>17</v>
      </c>
    </row>
    <row r="176" spans="5:8" x14ac:dyDescent="0.2">
      <c r="E176" s="48" t="s">
        <v>89</v>
      </c>
      <c r="F176">
        <f t="shared" si="4"/>
        <v>20000</v>
      </c>
      <c r="G176" s="25">
        <v>1500</v>
      </c>
      <c r="H176" s="55">
        <f t="shared" si="5"/>
        <v>13.333333333333334</v>
      </c>
    </row>
    <row r="177" spans="5:8" x14ac:dyDescent="0.2">
      <c r="E177" s="49" t="s">
        <v>182</v>
      </c>
      <c r="F177">
        <f t="shared" si="4"/>
        <v>5000</v>
      </c>
      <c r="G177" s="27">
        <v>550</v>
      </c>
      <c r="H177" s="55">
        <f t="shared" si="5"/>
        <v>9.0909090909090917</v>
      </c>
    </row>
    <row r="178" spans="5:8" x14ac:dyDescent="0.2">
      <c r="E178" s="48" t="s">
        <v>60</v>
      </c>
      <c r="F178">
        <f t="shared" si="4"/>
        <v>60000</v>
      </c>
      <c r="G178" s="25">
        <v>7000</v>
      </c>
      <c r="H178" s="55">
        <f t="shared" si="5"/>
        <v>8.5714285714285712</v>
      </c>
    </row>
    <row r="179" spans="5:8" x14ac:dyDescent="0.2">
      <c r="E179" s="49" t="s">
        <v>45</v>
      </c>
      <c r="F179">
        <f t="shared" si="4"/>
        <v>40000</v>
      </c>
      <c r="G179" s="27">
        <v>1600</v>
      </c>
      <c r="H179" s="55">
        <f t="shared" si="5"/>
        <v>25</v>
      </c>
    </row>
    <row r="180" spans="5:8" x14ac:dyDescent="0.2">
      <c r="E180" s="48" t="s">
        <v>182</v>
      </c>
      <c r="F180">
        <f t="shared" si="4"/>
        <v>5000</v>
      </c>
      <c r="G180" s="25">
        <v>600</v>
      </c>
      <c r="H180" s="55">
        <f t="shared" si="5"/>
        <v>8.3333333333333339</v>
      </c>
    </row>
    <row r="181" spans="5:8" x14ac:dyDescent="0.2">
      <c r="E181" s="49" t="s">
        <v>45</v>
      </c>
      <c r="F181">
        <f t="shared" si="4"/>
        <v>40000</v>
      </c>
      <c r="G181" s="27">
        <v>9000</v>
      </c>
      <c r="H181" s="55">
        <f t="shared" si="5"/>
        <v>4.4444444444444446</v>
      </c>
    </row>
    <row r="182" spans="5:8" x14ac:dyDescent="0.2">
      <c r="E182" s="48" t="s">
        <v>109</v>
      </c>
      <c r="F182">
        <f t="shared" si="4"/>
        <v>85000</v>
      </c>
      <c r="G182" s="25">
        <v>5200</v>
      </c>
      <c r="H182" s="55">
        <f t="shared" si="5"/>
        <v>16.346153846153847</v>
      </c>
    </row>
    <row r="183" spans="5:8" x14ac:dyDescent="0.2">
      <c r="E183" s="49" t="s">
        <v>60</v>
      </c>
      <c r="F183">
        <f t="shared" si="4"/>
        <v>60000</v>
      </c>
      <c r="G183" s="27">
        <v>1800</v>
      </c>
      <c r="H183" s="55">
        <f t="shared" si="5"/>
        <v>33.333333333333336</v>
      </c>
    </row>
    <row r="184" spans="5:8" x14ac:dyDescent="0.2">
      <c r="E184" s="48" t="s">
        <v>89</v>
      </c>
      <c r="F184">
        <f t="shared" si="4"/>
        <v>20000</v>
      </c>
      <c r="G184" s="25">
        <v>14000</v>
      </c>
      <c r="H184" s="55">
        <f t="shared" si="5"/>
        <v>1.4285714285714286</v>
      </c>
    </row>
    <row r="185" spans="5:8" x14ac:dyDescent="0.2">
      <c r="E185" s="49" t="s">
        <v>182</v>
      </c>
      <c r="F185">
        <f t="shared" si="4"/>
        <v>5000</v>
      </c>
      <c r="G185" s="27">
        <v>500</v>
      </c>
      <c r="H185" s="55">
        <f t="shared" si="5"/>
        <v>10</v>
      </c>
    </row>
    <row r="186" spans="5:8" x14ac:dyDescent="0.2">
      <c r="E186" s="48" t="s">
        <v>182</v>
      </c>
      <c r="F186">
        <f t="shared" si="4"/>
        <v>5000</v>
      </c>
      <c r="G186" s="25">
        <v>850</v>
      </c>
      <c r="H186" s="55">
        <f t="shared" si="5"/>
        <v>5.882352941176471</v>
      </c>
    </row>
    <row r="187" spans="5:8" x14ac:dyDescent="0.2">
      <c r="E187" s="49" t="s">
        <v>182</v>
      </c>
      <c r="F187">
        <f t="shared" si="4"/>
        <v>5000</v>
      </c>
      <c r="G187" s="27">
        <v>450</v>
      </c>
      <c r="H187" s="55">
        <f t="shared" si="5"/>
        <v>11.111111111111111</v>
      </c>
    </row>
    <row r="188" spans="5:8" x14ac:dyDescent="0.2">
      <c r="E188" s="48" t="s">
        <v>89</v>
      </c>
      <c r="F188">
        <f t="shared" si="4"/>
        <v>20000</v>
      </c>
      <c r="G188" s="25">
        <v>750</v>
      </c>
      <c r="H188" s="55">
        <f t="shared" si="5"/>
        <v>26.666666666666668</v>
      </c>
    </row>
    <row r="189" spans="5:8" x14ac:dyDescent="0.2">
      <c r="E189" s="49" t="s">
        <v>45</v>
      </c>
      <c r="F189">
        <f t="shared" si="4"/>
        <v>40000</v>
      </c>
      <c r="G189" s="27">
        <v>8200</v>
      </c>
      <c r="H189" s="55">
        <f t="shared" si="5"/>
        <v>4.8780487804878048</v>
      </c>
    </row>
    <row r="190" spans="5:8" x14ac:dyDescent="0.2">
      <c r="E190" s="48" t="s">
        <v>182</v>
      </c>
      <c r="F190">
        <f t="shared" si="4"/>
        <v>5000</v>
      </c>
      <c r="G190" s="25">
        <v>1500</v>
      </c>
      <c r="H190" s="55">
        <f t="shared" si="5"/>
        <v>3.3333333333333335</v>
      </c>
    </row>
    <row r="191" spans="5:8" x14ac:dyDescent="0.2">
      <c r="E191" s="49" t="s">
        <v>182</v>
      </c>
      <c r="F191">
        <f t="shared" si="4"/>
        <v>5000</v>
      </c>
      <c r="G191" s="27">
        <v>3000</v>
      </c>
      <c r="H191" s="55">
        <f t="shared" si="5"/>
        <v>1.6666666666666667</v>
      </c>
    </row>
    <row r="192" spans="5:8" x14ac:dyDescent="0.2">
      <c r="E192" s="48" t="s">
        <v>89</v>
      </c>
      <c r="F192">
        <f t="shared" si="4"/>
        <v>20000</v>
      </c>
      <c r="G192" s="25">
        <v>500</v>
      </c>
      <c r="H192" s="55">
        <f t="shared" si="5"/>
        <v>40</v>
      </c>
    </row>
    <row r="193" spans="5:8" x14ac:dyDescent="0.2">
      <c r="E193" s="49" t="s">
        <v>182</v>
      </c>
      <c r="F193">
        <f t="shared" si="4"/>
        <v>5000</v>
      </c>
      <c r="G193" s="27">
        <v>20000</v>
      </c>
      <c r="H193" s="55">
        <f t="shared" si="5"/>
        <v>0.25</v>
      </c>
    </row>
    <row r="194" spans="5:8" x14ac:dyDescent="0.2">
      <c r="E194" s="48" t="s">
        <v>182</v>
      </c>
      <c r="F194">
        <f t="shared" si="4"/>
        <v>5000</v>
      </c>
      <c r="G194" s="28">
        <v>850</v>
      </c>
      <c r="H194" s="55">
        <f t="shared" si="5"/>
        <v>5.882352941176471</v>
      </c>
    </row>
    <row r="195" spans="5:8" x14ac:dyDescent="0.2">
      <c r="E195" s="49" t="s">
        <v>89</v>
      </c>
      <c r="F195">
        <f t="shared" ref="F195:F258" si="6">IF(E195="below 10,000",5000, IF(E195="10,000-30,000", 20000, IF(E195="30,000-50,000", 40000, IF(E195="50,000-70,000", 60000, IF(E195="70,000-1,00,000",85000,IF(E195="above 1,00,000",125000," "))))))</f>
        <v>20000</v>
      </c>
      <c r="G195" s="29">
        <v>1000</v>
      </c>
      <c r="H195" s="55">
        <f t="shared" ref="H195:H258" si="7">F195/G195</f>
        <v>20</v>
      </c>
    </row>
    <row r="196" spans="5:8" x14ac:dyDescent="0.2">
      <c r="E196" s="48" t="s">
        <v>155</v>
      </c>
      <c r="F196">
        <f t="shared" si="6"/>
        <v>125000</v>
      </c>
      <c r="G196" s="25">
        <v>10000</v>
      </c>
      <c r="H196" s="55">
        <f t="shared" si="7"/>
        <v>12.5</v>
      </c>
    </row>
    <row r="197" spans="5:8" x14ac:dyDescent="0.2">
      <c r="E197" s="49" t="s">
        <v>182</v>
      </c>
      <c r="F197">
        <f t="shared" si="6"/>
        <v>5000</v>
      </c>
      <c r="G197" s="27">
        <v>1000</v>
      </c>
      <c r="H197" s="55">
        <f t="shared" si="7"/>
        <v>5</v>
      </c>
    </row>
    <row r="198" spans="5:8" x14ac:dyDescent="0.2">
      <c r="E198" s="48" t="s">
        <v>182</v>
      </c>
      <c r="F198">
        <f t="shared" si="6"/>
        <v>5000</v>
      </c>
      <c r="G198" s="25">
        <v>5500</v>
      </c>
      <c r="H198" s="55">
        <f t="shared" si="7"/>
        <v>0.90909090909090906</v>
      </c>
    </row>
    <row r="199" spans="5:8" x14ac:dyDescent="0.2">
      <c r="E199" s="49" t="s">
        <v>182</v>
      </c>
      <c r="F199">
        <f t="shared" si="6"/>
        <v>5000</v>
      </c>
      <c r="G199" s="27">
        <v>400</v>
      </c>
      <c r="H199" s="55">
        <f t="shared" si="7"/>
        <v>12.5</v>
      </c>
    </row>
    <row r="200" spans="5:8" x14ac:dyDescent="0.2">
      <c r="E200" s="48" t="s">
        <v>182</v>
      </c>
      <c r="F200">
        <f t="shared" si="6"/>
        <v>5000</v>
      </c>
      <c r="G200" s="25">
        <v>7000</v>
      </c>
      <c r="H200" s="55">
        <f t="shared" si="7"/>
        <v>0.7142857142857143</v>
      </c>
    </row>
    <row r="201" spans="5:8" x14ac:dyDescent="0.2">
      <c r="E201" s="49" t="s">
        <v>182</v>
      </c>
      <c r="F201">
        <f t="shared" si="6"/>
        <v>5000</v>
      </c>
      <c r="G201" s="29">
        <v>850</v>
      </c>
      <c r="H201" s="55">
        <f t="shared" si="7"/>
        <v>5.882352941176471</v>
      </c>
    </row>
    <row r="202" spans="5:8" x14ac:dyDescent="0.2">
      <c r="E202" s="48" t="s">
        <v>182</v>
      </c>
      <c r="F202">
        <f t="shared" si="6"/>
        <v>5000</v>
      </c>
      <c r="G202" s="25">
        <v>7500</v>
      </c>
      <c r="H202" s="55">
        <f t="shared" si="7"/>
        <v>0.66666666666666663</v>
      </c>
    </row>
    <row r="203" spans="5:8" x14ac:dyDescent="0.2">
      <c r="E203" s="49" t="s">
        <v>60</v>
      </c>
      <c r="F203">
        <f t="shared" si="6"/>
        <v>60000</v>
      </c>
      <c r="G203" s="29">
        <v>750</v>
      </c>
      <c r="H203" s="55">
        <f t="shared" si="7"/>
        <v>80</v>
      </c>
    </row>
    <row r="204" spans="5:8" x14ac:dyDescent="0.2">
      <c r="E204" s="48" t="s">
        <v>89</v>
      </c>
      <c r="F204">
        <f t="shared" si="6"/>
        <v>20000</v>
      </c>
      <c r="G204" s="25">
        <v>2000</v>
      </c>
      <c r="H204" s="55">
        <f t="shared" si="7"/>
        <v>10</v>
      </c>
    </row>
    <row r="205" spans="5:8" x14ac:dyDescent="0.2">
      <c r="E205" s="49" t="s">
        <v>89</v>
      </c>
      <c r="F205">
        <f t="shared" si="6"/>
        <v>20000</v>
      </c>
      <c r="G205" s="27">
        <v>4000</v>
      </c>
      <c r="H205" s="55">
        <f t="shared" si="7"/>
        <v>5</v>
      </c>
    </row>
    <row r="206" spans="5:8" x14ac:dyDescent="0.2">
      <c r="E206" s="48" t="s">
        <v>109</v>
      </c>
      <c r="F206">
        <f t="shared" si="6"/>
        <v>85000</v>
      </c>
      <c r="G206" s="28">
        <v>1000</v>
      </c>
      <c r="H206" s="55">
        <f t="shared" si="7"/>
        <v>85</v>
      </c>
    </row>
    <row r="207" spans="5:8" x14ac:dyDescent="0.2">
      <c r="E207" s="49" t="s">
        <v>45</v>
      </c>
      <c r="F207">
        <f t="shared" si="6"/>
        <v>40000</v>
      </c>
      <c r="G207" s="29">
        <v>1000</v>
      </c>
      <c r="H207" s="55">
        <f t="shared" si="7"/>
        <v>40</v>
      </c>
    </row>
    <row r="208" spans="5:8" x14ac:dyDescent="0.2">
      <c r="E208" s="48" t="s">
        <v>45</v>
      </c>
      <c r="F208">
        <f t="shared" si="6"/>
        <v>40000</v>
      </c>
      <c r="G208" s="28">
        <v>1000</v>
      </c>
      <c r="H208" s="55">
        <f t="shared" si="7"/>
        <v>40</v>
      </c>
    </row>
    <row r="209" spans="5:8" x14ac:dyDescent="0.2">
      <c r="E209" s="49" t="s">
        <v>89</v>
      </c>
      <c r="F209">
        <f t="shared" si="6"/>
        <v>20000</v>
      </c>
      <c r="G209" s="29">
        <v>1500</v>
      </c>
      <c r="H209" s="55">
        <f t="shared" si="7"/>
        <v>13.333333333333334</v>
      </c>
    </row>
    <row r="210" spans="5:8" x14ac:dyDescent="0.2">
      <c r="E210" s="48" t="s">
        <v>182</v>
      </c>
      <c r="F210">
        <f t="shared" si="6"/>
        <v>5000</v>
      </c>
      <c r="G210" s="25">
        <v>5000</v>
      </c>
      <c r="H210" s="55">
        <f t="shared" si="7"/>
        <v>1</v>
      </c>
    </row>
    <row r="211" spans="5:8" x14ac:dyDescent="0.2">
      <c r="E211" s="49" t="s">
        <v>182</v>
      </c>
      <c r="F211">
        <f t="shared" si="6"/>
        <v>5000</v>
      </c>
      <c r="G211" s="27">
        <v>1000</v>
      </c>
      <c r="H211" s="55">
        <f t="shared" si="7"/>
        <v>5</v>
      </c>
    </row>
    <row r="212" spans="5:8" x14ac:dyDescent="0.2">
      <c r="E212" s="48" t="s">
        <v>182</v>
      </c>
      <c r="F212">
        <f t="shared" si="6"/>
        <v>5000</v>
      </c>
      <c r="G212" s="28">
        <v>1000</v>
      </c>
      <c r="H212" s="55">
        <f t="shared" si="7"/>
        <v>5</v>
      </c>
    </row>
    <row r="213" spans="5:8" x14ac:dyDescent="0.2">
      <c r="E213" s="49" t="s">
        <v>182</v>
      </c>
      <c r="F213">
        <f t="shared" si="6"/>
        <v>5000</v>
      </c>
      <c r="G213" s="29">
        <v>1500</v>
      </c>
      <c r="H213" s="55">
        <f t="shared" si="7"/>
        <v>3.3333333333333335</v>
      </c>
    </row>
    <row r="214" spans="5:8" x14ac:dyDescent="0.2">
      <c r="E214" s="48" t="s">
        <v>182</v>
      </c>
      <c r="F214">
        <f t="shared" si="6"/>
        <v>5000</v>
      </c>
      <c r="G214" s="28">
        <v>550</v>
      </c>
      <c r="H214" s="55">
        <f t="shared" si="7"/>
        <v>9.0909090909090917</v>
      </c>
    </row>
    <row r="215" spans="5:8" x14ac:dyDescent="0.2">
      <c r="E215" s="49" t="s">
        <v>182</v>
      </c>
      <c r="F215">
        <f t="shared" si="6"/>
        <v>5000</v>
      </c>
      <c r="G215" s="29">
        <v>1000</v>
      </c>
      <c r="H215" s="55">
        <f t="shared" si="7"/>
        <v>5</v>
      </c>
    </row>
    <row r="216" spans="5:8" x14ac:dyDescent="0.2">
      <c r="E216" s="48" t="s">
        <v>45</v>
      </c>
      <c r="F216">
        <f t="shared" si="6"/>
        <v>40000</v>
      </c>
      <c r="G216" s="28">
        <v>950</v>
      </c>
      <c r="H216" s="55">
        <f t="shared" si="7"/>
        <v>42.10526315789474</v>
      </c>
    </row>
    <row r="217" spans="5:8" x14ac:dyDescent="0.2">
      <c r="E217" s="49" t="s">
        <v>89</v>
      </c>
      <c r="F217">
        <f t="shared" si="6"/>
        <v>20000</v>
      </c>
      <c r="G217" s="29">
        <v>550</v>
      </c>
      <c r="H217" s="55">
        <f t="shared" si="7"/>
        <v>36.363636363636367</v>
      </c>
    </row>
    <row r="218" spans="5:8" x14ac:dyDescent="0.2">
      <c r="E218" s="48" t="s">
        <v>45</v>
      </c>
      <c r="F218">
        <f t="shared" si="6"/>
        <v>40000</v>
      </c>
      <c r="G218" s="25">
        <v>6000</v>
      </c>
      <c r="H218" s="55">
        <f t="shared" si="7"/>
        <v>6.666666666666667</v>
      </c>
    </row>
    <row r="219" spans="5:8" x14ac:dyDescent="0.2">
      <c r="E219" s="49" t="s">
        <v>60</v>
      </c>
      <c r="F219">
        <f t="shared" si="6"/>
        <v>60000</v>
      </c>
      <c r="G219" s="27">
        <v>1800</v>
      </c>
      <c r="H219" s="55">
        <f t="shared" si="7"/>
        <v>33.333333333333336</v>
      </c>
    </row>
    <row r="220" spans="5:8" x14ac:dyDescent="0.2">
      <c r="E220" s="48" t="s">
        <v>182</v>
      </c>
      <c r="F220">
        <f t="shared" si="6"/>
        <v>5000</v>
      </c>
      <c r="G220" s="25">
        <v>400</v>
      </c>
      <c r="H220" s="55">
        <f t="shared" si="7"/>
        <v>12.5</v>
      </c>
    </row>
    <row r="221" spans="5:8" x14ac:dyDescent="0.2">
      <c r="E221" s="49" t="s">
        <v>45</v>
      </c>
      <c r="F221">
        <f t="shared" si="6"/>
        <v>40000</v>
      </c>
      <c r="G221" s="27">
        <v>4500</v>
      </c>
      <c r="H221" s="55">
        <f t="shared" si="7"/>
        <v>8.8888888888888893</v>
      </c>
    </row>
    <row r="222" spans="5:8" x14ac:dyDescent="0.2">
      <c r="E222" s="48" t="s">
        <v>45</v>
      </c>
      <c r="F222">
        <f t="shared" si="6"/>
        <v>40000</v>
      </c>
      <c r="G222" s="25">
        <v>4500</v>
      </c>
      <c r="H222" s="55">
        <f t="shared" si="7"/>
        <v>8.8888888888888893</v>
      </c>
    </row>
    <row r="223" spans="5:8" x14ac:dyDescent="0.2">
      <c r="E223" s="49" t="s">
        <v>60</v>
      </c>
      <c r="F223">
        <f t="shared" si="6"/>
        <v>60000</v>
      </c>
      <c r="G223" s="27">
        <v>900</v>
      </c>
      <c r="H223" s="55">
        <f t="shared" si="7"/>
        <v>66.666666666666671</v>
      </c>
    </row>
    <row r="224" spans="5:8" x14ac:dyDescent="0.2">
      <c r="E224" s="48" t="s">
        <v>155</v>
      </c>
      <c r="F224">
        <f t="shared" si="6"/>
        <v>125000</v>
      </c>
      <c r="G224" s="25">
        <v>14000</v>
      </c>
      <c r="H224" s="55">
        <f t="shared" si="7"/>
        <v>8.9285714285714288</v>
      </c>
    </row>
    <row r="225" spans="5:8" x14ac:dyDescent="0.2">
      <c r="E225" s="49" t="s">
        <v>182</v>
      </c>
      <c r="F225">
        <f t="shared" si="6"/>
        <v>5000</v>
      </c>
      <c r="G225" s="27">
        <v>750</v>
      </c>
      <c r="H225" s="55">
        <f t="shared" si="7"/>
        <v>6.666666666666667</v>
      </c>
    </row>
    <row r="226" spans="5:8" x14ac:dyDescent="0.2">
      <c r="E226" s="48" t="s">
        <v>60</v>
      </c>
      <c r="F226">
        <f t="shared" si="6"/>
        <v>60000</v>
      </c>
      <c r="G226" s="25">
        <v>7000</v>
      </c>
      <c r="H226" s="55">
        <f t="shared" si="7"/>
        <v>8.5714285714285712</v>
      </c>
    </row>
    <row r="227" spans="5:8" x14ac:dyDescent="0.2">
      <c r="E227" s="49" t="s">
        <v>45</v>
      </c>
      <c r="F227">
        <f t="shared" si="6"/>
        <v>40000</v>
      </c>
      <c r="G227" s="27">
        <v>1200</v>
      </c>
      <c r="H227" s="55">
        <f t="shared" si="7"/>
        <v>33.333333333333336</v>
      </c>
    </row>
    <row r="228" spans="5:8" x14ac:dyDescent="0.2">
      <c r="E228" s="48" t="s">
        <v>155</v>
      </c>
      <c r="F228">
        <f t="shared" si="6"/>
        <v>125000</v>
      </c>
      <c r="G228" s="25">
        <v>12500</v>
      </c>
      <c r="H228" s="55">
        <f t="shared" si="7"/>
        <v>10</v>
      </c>
    </row>
    <row r="229" spans="5:8" x14ac:dyDescent="0.2">
      <c r="E229" s="49" t="s">
        <v>89</v>
      </c>
      <c r="F229">
        <f t="shared" si="6"/>
        <v>20000</v>
      </c>
      <c r="G229" s="27">
        <v>3000</v>
      </c>
      <c r="H229" s="55">
        <f t="shared" si="7"/>
        <v>6.666666666666667</v>
      </c>
    </row>
    <row r="230" spans="5:8" x14ac:dyDescent="0.2">
      <c r="E230" s="48" t="s">
        <v>45</v>
      </c>
      <c r="F230">
        <f t="shared" si="6"/>
        <v>40000</v>
      </c>
      <c r="G230" s="25">
        <v>8000</v>
      </c>
      <c r="H230" s="55">
        <f t="shared" si="7"/>
        <v>5</v>
      </c>
    </row>
    <row r="231" spans="5:8" x14ac:dyDescent="0.2">
      <c r="E231" s="49" t="s">
        <v>182</v>
      </c>
      <c r="F231">
        <f t="shared" si="6"/>
        <v>5000</v>
      </c>
      <c r="G231" s="27">
        <v>900</v>
      </c>
      <c r="H231" s="55">
        <f t="shared" si="7"/>
        <v>5.5555555555555554</v>
      </c>
    </row>
    <row r="232" spans="5:8" x14ac:dyDescent="0.2">
      <c r="E232" s="48" t="s">
        <v>45</v>
      </c>
      <c r="F232">
        <f t="shared" si="6"/>
        <v>40000</v>
      </c>
      <c r="G232" s="25">
        <v>1400</v>
      </c>
      <c r="H232" s="55">
        <f t="shared" si="7"/>
        <v>28.571428571428573</v>
      </c>
    </row>
    <row r="233" spans="5:8" x14ac:dyDescent="0.2">
      <c r="E233" s="49" t="s">
        <v>182</v>
      </c>
      <c r="F233">
        <f t="shared" si="6"/>
        <v>5000</v>
      </c>
      <c r="G233" s="27">
        <v>600</v>
      </c>
      <c r="H233" s="55">
        <f t="shared" si="7"/>
        <v>8.3333333333333339</v>
      </c>
    </row>
    <row r="234" spans="5:8" x14ac:dyDescent="0.2">
      <c r="E234" s="48" t="s">
        <v>45</v>
      </c>
      <c r="F234">
        <f t="shared" si="6"/>
        <v>40000</v>
      </c>
      <c r="G234" s="25">
        <v>7800</v>
      </c>
      <c r="H234" s="55">
        <f t="shared" si="7"/>
        <v>5.1282051282051286</v>
      </c>
    </row>
    <row r="235" spans="5:8" x14ac:dyDescent="0.2">
      <c r="E235" s="49" t="s">
        <v>60</v>
      </c>
      <c r="F235">
        <f t="shared" si="6"/>
        <v>60000</v>
      </c>
      <c r="G235" s="27">
        <v>3200</v>
      </c>
      <c r="H235" s="55">
        <f t="shared" si="7"/>
        <v>18.75</v>
      </c>
    </row>
    <row r="236" spans="5:8" x14ac:dyDescent="0.2">
      <c r="E236" s="48" t="s">
        <v>155</v>
      </c>
      <c r="F236">
        <f t="shared" si="6"/>
        <v>125000</v>
      </c>
      <c r="G236" s="25">
        <v>13200</v>
      </c>
      <c r="H236" s="55">
        <f t="shared" si="7"/>
        <v>9.4696969696969688</v>
      </c>
    </row>
    <row r="237" spans="5:8" x14ac:dyDescent="0.2">
      <c r="E237" s="49" t="s">
        <v>89</v>
      </c>
      <c r="F237">
        <f t="shared" si="6"/>
        <v>20000</v>
      </c>
      <c r="G237" s="27">
        <v>500</v>
      </c>
      <c r="H237" s="55">
        <f t="shared" si="7"/>
        <v>40</v>
      </c>
    </row>
    <row r="238" spans="5:8" x14ac:dyDescent="0.2">
      <c r="E238" s="48" t="s">
        <v>45</v>
      </c>
      <c r="F238">
        <f t="shared" si="6"/>
        <v>40000</v>
      </c>
      <c r="G238" s="25">
        <v>3800</v>
      </c>
      <c r="H238" s="55">
        <f t="shared" si="7"/>
        <v>10.526315789473685</v>
      </c>
    </row>
    <row r="239" spans="5:8" x14ac:dyDescent="0.2">
      <c r="E239" s="49" t="s">
        <v>182</v>
      </c>
      <c r="F239">
        <f t="shared" si="6"/>
        <v>5000</v>
      </c>
      <c r="G239" s="27">
        <v>850</v>
      </c>
      <c r="H239" s="55">
        <f t="shared" si="7"/>
        <v>5.882352941176471</v>
      </c>
    </row>
    <row r="240" spans="5:8" x14ac:dyDescent="0.2">
      <c r="E240" s="48" t="s">
        <v>45</v>
      </c>
      <c r="F240">
        <f t="shared" si="6"/>
        <v>40000</v>
      </c>
      <c r="G240" s="25">
        <v>6700</v>
      </c>
      <c r="H240" s="55">
        <f t="shared" si="7"/>
        <v>5.9701492537313436</v>
      </c>
    </row>
    <row r="241" spans="5:8" x14ac:dyDescent="0.2">
      <c r="E241" s="49" t="s">
        <v>45</v>
      </c>
      <c r="F241">
        <f t="shared" si="6"/>
        <v>40000</v>
      </c>
      <c r="G241" s="27">
        <v>4600</v>
      </c>
      <c r="H241" s="55">
        <f t="shared" si="7"/>
        <v>8.695652173913043</v>
      </c>
    </row>
    <row r="242" spans="5:8" x14ac:dyDescent="0.2">
      <c r="E242" s="48" t="s">
        <v>45</v>
      </c>
      <c r="F242">
        <f t="shared" si="6"/>
        <v>40000</v>
      </c>
      <c r="G242" s="25">
        <v>1300</v>
      </c>
      <c r="H242" s="55">
        <f t="shared" si="7"/>
        <v>30.76923076923077</v>
      </c>
    </row>
    <row r="243" spans="5:8" x14ac:dyDescent="0.2">
      <c r="E243" s="49" t="s">
        <v>45</v>
      </c>
      <c r="F243">
        <f t="shared" si="6"/>
        <v>40000</v>
      </c>
      <c r="G243" s="27">
        <v>750</v>
      </c>
      <c r="H243" s="55">
        <f t="shared" si="7"/>
        <v>53.333333333333336</v>
      </c>
    </row>
    <row r="244" spans="5:8" x14ac:dyDescent="0.2">
      <c r="E244" s="48" t="s">
        <v>109</v>
      </c>
      <c r="F244">
        <f t="shared" si="6"/>
        <v>85000</v>
      </c>
      <c r="G244" s="25">
        <v>3900</v>
      </c>
      <c r="H244" s="55">
        <f t="shared" si="7"/>
        <v>21.794871794871796</v>
      </c>
    </row>
    <row r="245" spans="5:8" x14ac:dyDescent="0.2">
      <c r="E245" s="49" t="s">
        <v>182</v>
      </c>
      <c r="F245">
        <f t="shared" si="6"/>
        <v>5000</v>
      </c>
      <c r="G245" s="27">
        <v>1000</v>
      </c>
      <c r="H245" s="55">
        <f t="shared" si="7"/>
        <v>5</v>
      </c>
    </row>
    <row r="246" spans="5:8" x14ac:dyDescent="0.2">
      <c r="E246" s="48" t="s">
        <v>60</v>
      </c>
      <c r="F246">
        <f t="shared" si="6"/>
        <v>60000</v>
      </c>
      <c r="G246" s="25">
        <v>8500</v>
      </c>
      <c r="H246" s="55">
        <f t="shared" si="7"/>
        <v>7.0588235294117645</v>
      </c>
    </row>
    <row r="247" spans="5:8" x14ac:dyDescent="0.2">
      <c r="E247" s="49" t="s">
        <v>60</v>
      </c>
      <c r="F247">
        <f t="shared" si="6"/>
        <v>60000</v>
      </c>
      <c r="G247" s="27">
        <v>3600</v>
      </c>
      <c r="H247" s="55">
        <f t="shared" si="7"/>
        <v>16.666666666666668</v>
      </c>
    </row>
    <row r="248" spans="5:8" x14ac:dyDescent="0.2">
      <c r="E248" s="48" t="s">
        <v>89</v>
      </c>
      <c r="F248">
        <f t="shared" si="6"/>
        <v>20000</v>
      </c>
      <c r="G248" s="25">
        <v>400</v>
      </c>
      <c r="H248" s="55">
        <f t="shared" si="7"/>
        <v>50</v>
      </c>
    </row>
    <row r="249" spans="5:8" x14ac:dyDescent="0.2">
      <c r="E249" s="49" t="s">
        <v>45</v>
      </c>
      <c r="F249">
        <f t="shared" si="6"/>
        <v>40000</v>
      </c>
      <c r="G249" s="27">
        <v>1600</v>
      </c>
      <c r="H249" s="55">
        <f t="shared" si="7"/>
        <v>25</v>
      </c>
    </row>
    <row r="250" spans="5:8" x14ac:dyDescent="0.2">
      <c r="E250" s="48" t="s">
        <v>60</v>
      </c>
      <c r="F250">
        <f t="shared" si="6"/>
        <v>60000</v>
      </c>
      <c r="G250" s="25">
        <v>1200</v>
      </c>
      <c r="H250" s="55">
        <f t="shared" si="7"/>
        <v>50</v>
      </c>
    </row>
    <row r="251" spans="5:8" x14ac:dyDescent="0.2">
      <c r="E251" s="49" t="s">
        <v>45</v>
      </c>
      <c r="F251">
        <f t="shared" si="6"/>
        <v>40000</v>
      </c>
      <c r="G251" s="27">
        <v>3900</v>
      </c>
      <c r="H251" s="55">
        <f t="shared" si="7"/>
        <v>10.256410256410257</v>
      </c>
    </row>
    <row r="252" spans="5:8" x14ac:dyDescent="0.2">
      <c r="E252" s="48" t="s">
        <v>45</v>
      </c>
      <c r="F252">
        <f t="shared" si="6"/>
        <v>40000</v>
      </c>
      <c r="G252" s="25">
        <v>1450</v>
      </c>
      <c r="H252" s="55">
        <f t="shared" si="7"/>
        <v>27.586206896551722</v>
      </c>
    </row>
    <row r="253" spans="5:8" x14ac:dyDescent="0.2">
      <c r="E253" s="49" t="s">
        <v>89</v>
      </c>
      <c r="F253">
        <f t="shared" si="6"/>
        <v>20000</v>
      </c>
      <c r="G253" s="27">
        <v>500</v>
      </c>
      <c r="H253" s="55">
        <f t="shared" si="7"/>
        <v>40</v>
      </c>
    </row>
    <row r="254" spans="5:8" x14ac:dyDescent="0.2">
      <c r="E254" s="48" t="s">
        <v>60</v>
      </c>
      <c r="F254">
        <f t="shared" si="6"/>
        <v>60000</v>
      </c>
      <c r="G254" s="25">
        <v>9000</v>
      </c>
      <c r="H254" s="55">
        <f t="shared" si="7"/>
        <v>6.666666666666667</v>
      </c>
    </row>
    <row r="255" spans="5:8" x14ac:dyDescent="0.2">
      <c r="E255" s="49" t="s">
        <v>45</v>
      </c>
      <c r="F255">
        <f t="shared" si="6"/>
        <v>40000</v>
      </c>
      <c r="G255" s="27">
        <v>4500</v>
      </c>
      <c r="H255" s="55">
        <f t="shared" si="7"/>
        <v>8.8888888888888893</v>
      </c>
    </row>
    <row r="256" spans="5:8" x14ac:dyDescent="0.2">
      <c r="E256" s="48" t="s">
        <v>45</v>
      </c>
      <c r="F256">
        <f t="shared" si="6"/>
        <v>40000</v>
      </c>
      <c r="G256" s="25">
        <v>500</v>
      </c>
      <c r="H256" s="55">
        <f t="shared" si="7"/>
        <v>80</v>
      </c>
    </row>
    <row r="257" spans="5:8" x14ac:dyDescent="0.2">
      <c r="E257" s="49" t="s">
        <v>45</v>
      </c>
      <c r="F257">
        <f t="shared" si="6"/>
        <v>40000</v>
      </c>
      <c r="G257" s="27">
        <v>4200</v>
      </c>
      <c r="H257" s="55">
        <f t="shared" si="7"/>
        <v>9.5238095238095237</v>
      </c>
    </row>
    <row r="258" spans="5:8" x14ac:dyDescent="0.2">
      <c r="E258" s="48" t="s">
        <v>45</v>
      </c>
      <c r="F258">
        <f t="shared" si="6"/>
        <v>40000</v>
      </c>
      <c r="G258" s="25">
        <v>650</v>
      </c>
      <c r="H258" s="55">
        <f t="shared" si="7"/>
        <v>61.53846153846154</v>
      </c>
    </row>
    <row r="259" spans="5:8" x14ac:dyDescent="0.2">
      <c r="E259" s="49" t="s">
        <v>155</v>
      </c>
      <c r="F259">
        <f t="shared" ref="F259:F322" si="8">IF(E259="below 10,000",5000, IF(E259="10,000-30,000", 20000, IF(E259="30,000-50,000", 40000, IF(E259="50,000-70,000", 60000, IF(E259="70,000-1,00,000",85000,IF(E259="above 1,00,000",125000," "))))))</f>
        <v>125000</v>
      </c>
      <c r="G259" s="27">
        <v>13800</v>
      </c>
      <c r="H259" s="55">
        <f t="shared" ref="H259:H322" si="9">F259/G259</f>
        <v>9.0579710144927539</v>
      </c>
    </row>
    <row r="260" spans="5:8" x14ac:dyDescent="0.2">
      <c r="E260" s="48" t="s">
        <v>182</v>
      </c>
      <c r="F260">
        <f t="shared" si="8"/>
        <v>5000</v>
      </c>
      <c r="G260" s="25">
        <v>1100</v>
      </c>
      <c r="H260" s="55">
        <f t="shared" si="9"/>
        <v>4.5454545454545459</v>
      </c>
    </row>
    <row r="261" spans="5:8" x14ac:dyDescent="0.2">
      <c r="E261" s="49" t="s">
        <v>60</v>
      </c>
      <c r="F261">
        <f t="shared" si="8"/>
        <v>60000</v>
      </c>
      <c r="G261" s="27">
        <v>10200</v>
      </c>
      <c r="H261" s="55">
        <f t="shared" si="9"/>
        <v>5.882352941176471</v>
      </c>
    </row>
    <row r="262" spans="5:8" x14ac:dyDescent="0.2">
      <c r="E262" s="48" t="s">
        <v>45</v>
      </c>
      <c r="F262">
        <f t="shared" si="8"/>
        <v>40000</v>
      </c>
      <c r="G262" s="25">
        <v>1150</v>
      </c>
      <c r="H262" s="55">
        <f t="shared" si="9"/>
        <v>34.782608695652172</v>
      </c>
    </row>
    <row r="263" spans="5:8" x14ac:dyDescent="0.2">
      <c r="E263" s="49" t="s">
        <v>45</v>
      </c>
      <c r="F263">
        <f t="shared" si="8"/>
        <v>40000</v>
      </c>
      <c r="G263" s="27">
        <v>650</v>
      </c>
      <c r="H263" s="55">
        <f t="shared" si="9"/>
        <v>61.53846153846154</v>
      </c>
    </row>
    <row r="264" spans="5:8" x14ac:dyDescent="0.2">
      <c r="E264" s="48" t="s">
        <v>109</v>
      </c>
      <c r="F264">
        <f t="shared" si="8"/>
        <v>85000</v>
      </c>
      <c r="G264" s="25">
        <v>14500</v>
      </c>
      <c r="H264" s="55">
        <f t="shared" si="9"/>
        <v>5.8620689655172411</v>
      </c>
    </row>
    <row r="265" spans="5:8" x14ac:dyDescent="0.2">
      <c r="E265" s="49" t="s">
        <v>45</v>
      </c>
      <c r="F265">
        <f t="shared" si="8"/>
        <v>40000</v>
      </c>
      <c r="G265" s="27">
        <v>3800</v>
      </c>
      <c r="H265" s="55">
        <f t="shared" si="9"/>
        <v>10.526315789473685</v>
      </c>
    </row>
    <row r="266" spans="5:8" x14ac:dyDescent="0.2">
      <c r="E266" s="48" t="s">
        <v>45</v>
      </c>
      <c r="F266">
        <f t="shared" si="8"/>
        <v>40000</v>
      </c>
      <c r="G266" s="25">
        <v>1000</v>
      </c>
      <c r="H266" s="55">
        <f t="shared" si="9"/>
        <v>40</v>
      </c>
    </row>
    <row r="267" spans="5:8" x14ac:dyDescent="0.2">
      <c r="E267" s="49" t="s">
        <v>182</v>
      </c>
      <c r="F267">
        <f t="shared" si="8"/>
        <v>5000</v>
      </c>
      <c r="G267" s="27">
        <v>1250</v>
      </c>
      <c r="H267" s="55">
        <f t="shared" si="9"/>
        <v>4</v>
      </c>
    </row>
    <row r="268" spans="5:8" x14ac:dyDescent="0.2">
      <c r="E268" s="48" t="s">
        <v>60</v>
      </c>
      <c r="F268">
        <f t="shared" si="8"/>
        <v>60000</v>
      </c>
      <c r="G268" s="25">
        <v>10800</v>
      </c>
      <c r="H268" s="55">
        <f t="shared" si="9"/>
        <v>5.5555555555555554</v>
      </c>
    </row>
    <row r="269" spans="5:8" x14ac:dyDescent="0.2">
      <c r="E269" s="49" t="s">
        <v>45</v>
      </c>
      <c r="F269">
        <f t="shared" si="8"/>
        <v>40000</v>
      </c>
      <c r="G269" s="27">
        <v>650</v>
      </c>
      <c r="H269" s="55">
        <f t="shared" si="9"/>
        <v>61.53846153846154</v>
      </c>
    </row>
    <row r="270" spans="5:8" x14ac:dyDescent="0.2">
      <c r="E270" s="48" t="s">
        <v>155</v>
      </c>
      <c r="F270">
        <f t="shared" si="8"/>
        <v>125000</v>
      </c>
      <c r="G270" s="25">
        <v>15600</v>
      </c>
      <c r="H270" s="55">
        <f t="shared" si="9"/>
        <v>8.0128205128205128</v>
      </c>
    </row>
    <row r="271" spans="5:8" x14ac:dyDescent="0.2">
      <c r="E271" s="49" t="s">
        <v>89</v>
      </c>
      <c r="F271">
        <f t="shared" si="8"/>
        <v>20000</v>
      </c>
      <c r="G271" s="27">
        <v>4400</v>
      </c>
      <c r="H271" s="55">
        <f t="shared" si="9"/>
        <v>4.5454545454545459</v>
      </c>
    </row>
    <row r="272" spans="5:8" x14ac:dyDescent="0.2">
      <c r="E272" s="48" t="s">
        <v>45</v>
      </c>
      <c r="F272">
        <f t="shared" si="8"/>
        <v>40000</v>
      </c>
      <c r="G272" s="25">
        <v>1800</v>
      </c>
      <c r="H272" s="55">
        <f t="shared" si="9"/>
        <v>22.222222222222221</v>
      </c>
    </row>
    <row r="273" spans="5:8" x14ac:dyDescent="0.2">
      <c r="E273" s="49" t="s">
        <v>182</v>
      </c>
      <c r="F273">
        <f t="shared" si="8"/>
        <v>5000</v>
      </c>
      <c r="G273" s="27">
        <v>520</v>
      </c>
      <c r="H273" s="55">
        <f t="shared" si="9"/>
        <v>9.615384615384615</v>
      </c>
    </row>
    <row r="274" spans="5:8" x14ac:dyDescent="0.2">
      <c r="E274" s="48" t="s">
        <v>60</v>
      </c>
      <c r="F274">
        <f t="shared" si="8"/>
        <v>60000</v>
      </c>
      <c r="G274" s="25">
        <v>3609</v>
      </c>
      <c r="H274" s="55">
        <f t="shared" si="9"/>
        <v>16.625103906899419</v>
      </c>
    </row>
    <row r="275" spans="5:8" x14ac:dyDescent="0.2">
      <c r="E275" s="49" t="s">
        <v>45</v>
      </c>
      <c r="F275">
        <f t="shared" si="8"/>
        <v>40000</v>
      </c>
      <c r="G275" s="27">
        <v>9200</v>
      </c>
      <c r="H275" s="55">
        <f t="shared" si="9"/>
        <v>4.3478260869565215</v>
      </c>
    </row>
    <row r="276" spans="5:8" x14ac:dyDescent="0.2">
      <c r="E276" s="48" t="s">
        <v>45</v>
      </c>
      <c r="F276">
        <f t="shared" si="8"/>
        <v>40000</v>
      </c>
      <c r="G276" s="25">
        <v>3700</v>
      </c>
      <c r="H276" s="55">
        <f t="shared" si="9"/>
        <v>10.810810810810811</v>
      </c>
    </row>
    <row r="277" spans="5:8" x14ac:dyDescent="0.2">
      <c r="E277" s="49" t="s">
        <v>45</v>
      </c>
      <c r="F277">
        <f t="shared" si="8"/>
        <v>40000</v>
      </c>
      <c r="G277" s="27">
        <v>900</v>
      </c>
      <c r="H277" s="55">
        <f t="shared" si="9"/>
        <v>44.444444444444443</v>
      </c>
    </row>
    <row r="278" spans="5:8" x14ac:dyDescent="0.2">
      <c r="E278" s="48" t="s">
        <v>45</v>
      </c>
      <c r="F278">
        <f t="shared" si="8"/>
        <v>40000</v>
      </c>
      <c r="G278" s="25">
        <v>650</v>
      </c>
      <c r="H278" s="55">
        <f t="shared" si="9"/>
        <v>61.53846153846154</v>
      </c>
    </row>
    <row r="279" spans="5:8" x14ac:dyDescent="0.2">
      <c r="E279" s="49" t="s">
        <v>155</v>
      </c>
      <c r="F279">
        <f t="shared" si="8"/>
        <v>125000</v>
      </c>
      <c r="G279" s="27">
        <v>14800</v>
      </c>
      <c r="H279" s="55">
        <f t="shared" si="9"/>
        <v>8.4459459459459456</v>
      </c>
    </row>
    <row r="280" spans="5:8" x14ac:dyDescent="0.2">
      <c r="E280" s="48" t="s">
        <v>182</v>
      </c>
      <c r="F280">
        <f t="shared" si="8"/>
        <v>5000</v>
      </c>
      <c r="G280" s="25">
        <v>1000</v>
      </c>
      <c r="H280" s="55">
        <f t="shared" si="9"/>
        <v>5</v>
      </c>
    </row>
    <row r="281" spans="5:8" x14ac:dyDescent="0.2">
      <c r="E281" s="49" t="s">
        <v>60</v>
      </c>
      <c r="F281">
        <f t="shared" si="8"/>
        <v>60000</v>
      </c>
      <c r="G281" s="27">
        <v>1900</v>
      </c>
      <c r="H281" s="55">
        <f t="shared" si="9"/>
        <v>31.578947368421051</v>
      </c>
    </row>
    <row r="282" spans="5:8" x14ac:dyDescent="0.2">
      <c r="E282" s="48" t="s">
        <v>182</v>
      </c>
      <c r="F282">
        <f t="shared" si="8"/>
        <v>5000</v>
      </c>
      <c r="G282" s="25">
        <v>1300</v>
      </c>
      <c r="H282" s="55">
        <f t="shared" si="9"/>
        <v>3.8461538461538463</v>
      </c>
    </row>
    <row r="283" spans="5:8" x14ac:dyDescent="0.2">
      <c r="E283" s="49" t="s">
        <v>89</v>
      </c>
      <c r="F283">
        <f t="shared" si="8"/>
        <v>20000</v>
      </c>
      <c r="G283" s="27">
        <v>400</v>
      </c>
      <c r="H283" s="55">
        <f t="shared" si="9"/>
        <v>50</v>
      </c>
    </row>
    <row r="284" spans="5:8" x14ac:dyDescent="0.2">
      <c r="E284" s="48" t="s">
        <v>60</v>
      </c>
      <c r="F284">
        <f t="shared" si="8"/>
        <v>60000</v>
      </c>
      <c r="G284" s="25">
        <v>9700</v>
      </c>
      <c r="H284" s="55">
        <f t="shared" si="9"/>
        <v>6.1855670103092786</v>
      </c>
    </row>
    <row r="285" spans="5:8" x14ac:dyDescent="0.2">
      <c r="E285" s="49" t="s">
        <v>182</v>
      </c>
      <c r="F285">
        <f t="shared" si="8"/>
        <v>5000</v>
      </c>
      <c r="G285" s="27">
        <v>1100</v>
      </c>
      <c r="H285" s="55">
        <f t="shared" si="9"/>
        <v>4.5454545454545459</v>
      </c>
    </row>
    <row r="286" spans="5:8" x14ac:dyDescent="0.2">
      <c r="E286" s="48" t="s">
        <v>45</v>
      </c>
      <c r="F286">
        <f t="shared" si="8"/>
        <v>40000</v>
      </c>
      <c r="G286" s="25">
        <v>3900</v>
      </c>
      <c r="H286" s="55">
        <f t="shared" si="9"/>
        <v>10.256410256410257</v>
      </c>
    </row>
    <row r="287" spans="5:8" x14ac:dyDescent="0.2">
      <c r="E287" s="49" t="s">
        <v>60</v>
      </c>
      <c r="F287">
        <f t="shared" si="8"/>
        <v>60000</v>
      </c>
      <c r="G287" s="27">
        <v>3700</v>
      </c>
      <c r="H287" s="55">
        <f t="shared" si="9"/>
        <v>16.216216216216218</v>
      </c>
    </row>
    <row r="288" spans="5:8" x14ac:dyDescent="0.2">
      <c r="E288" s="48" t="s">
        <v>45</v>
      </c>
      <c r="F288">
        <f t="shared" si="8"/>
        <v>40000</v>
      </c>
      <c r="G288" s="25">
        <v>550</v>
      </c>
      <c r="H288" s="55">
        <f t="shared" si="9"/>
        <v>72.727272727272734</v>
      </c>
    </row>
    <row r="289" spans="5:8" x14ac:dyDescent="0.2">
      <c r="E289" s="49" t="s">
        <v>45</v>
      </c>
      <c r="F289">
        <f t="shared" si="8"/>
        <v>40000</v>
      </c>
      <c r="G289" s="27">
        <v>11000</v>
      </c>
      <c r="H289" s="55">
        <f t="shared" si="9"/>
        <v>3.6363636363636362</v>
      </c>
    </row>
    <row r="290" spans="5:8" x14ac:dyDescent="0.2">
      <c r="E290" s="48" t="s">
        <v>182</v>
      </c>
      <c r="F290">
        <f t="shared" si="8"/>
        <v>5000</v>
      </c>
      <c r="G290" s="25">
        <v>1000</v>
      </c>
      <c r="H290" s="55">
        <f t="shared" si="9"/>
        <v>5</v>
      </c>
    </row>
    <row r="291" spans="5:8" x14ac:dyDescent="0.2">
      <c r="E291" s="49" t="s">
        <v>45</v>
      </c>
      <c r="F291">
        <f t="shared" si="8"/>
        <v>40000</v>
      </c>
      <c r="G291" s="27">
        <v>4000</v>
      </c>
      <c r="H291" s="55">
        <f t="shared" si="9"/>
        <v>10</v>
      </c>
    </row>
    <row r="292" spans="5:8" x14ac:dyDescent="0.2">
      <c r="E292" s="48" t="s">
        <v>45</v>
      </c>
      <c r="F292">
        <f t="shared" si="8"/>
        <v>40000</v>
      </c>
      <c r="G292" s="25">
        <v>1550</v>
      </c>
      <c r="H292" s="55">
        <f t="shared" si="9"/>
        <v>25.806451612903224</v>
      </c>
    </row>
    <row r="293" spans="5:8" x14ac:dyDescent="0.2">
      <c r="E293" s="49" t="s">
        <v>182</v>
      </c>
      <c r="F293">
        <f t="shared" si="8"/>
        <v>5000</v>
      </c>
      <c r="G293" s="27">
        <v>780</v>
      </c>
      <c r="H293" s="55">
        <f t="shared" si="9"/>
        <v>6.4102564102564106</v>
      </c>
    </row>
    <row r="294" spans="5:8" x14ac:dyDescent="0.2">
      <c r="E294" s="48" t="s">
        <v>45</v>
      </c>
      <c r="F294">
        <f t="shared" si="8"/>
        <v>40000</v>
      </c>
      <c r="G294" s="25">
        <v>11500</v>
      </c>
      <c r="H294" s="55">
        <f t="shared" si="9"/>
        <v>3.4782608695652173</v>
      </c>
    </row>
    <row r="295" spans="5:8" x14ac:dyDescent="0.2">
      <c r="E295" s="49" t="s">
        <v>45</v>
      </c>
      <c r="F295">
        <f t="shared" si="8"/>
        <v>40000</v>
      </c>
      <c r="G295" s="27">
        <v>4000</v>
      </c>
      <c r="H295" s="55">
        <f t="shared" si="9"/>
        <v>10</v>
      </c>
    </row>
    <row r="296" spans="5:8" x14ac:dyDescent="0.2">
      <c r="E296" s="48" t="s">
        <v>60</v>
      </c>
      <c r="F296">
        <f t="shared" si="8"/>
        <v>60000</v>
      </c>
      <c r="G296" s="25">
        <v>4200</v>
      </c>
      <c r="H296" s="55">
        <f t="shared" si="9"/>
        <v>14.285714285714286</v>
      </c>
    </row>
    <row r="297" spans="5:8" x14ac:dyDescent="0.2">
      <c r="E297" s="49" t="s">
        <v>182</v>
      </c>
      <c r="F297">
        <f t="shared" si="8"/>
        <v>5000</v>
      </c>
      <c r="G297" s="27">
        <v>1100</v>
      </c>
      <c r="H297" s="55">
        <f t="shared" si="9"/>
        <v>4.5454545454545459</v>
      </c>
    </row>
    <row r="298" spans="5:8" x14ac:dyDescent="0.2">
      <c r="E298" s="48" t="s">
        <v>60</v>
      </c>
      <c r="F298">
        <f t="shared" si="8"/>
        <v>60000</v>
      </c>
      <c r="G298" s="25">
        <v>12000</v>
      </c>
      <c r="H298" s="55">
        <f t="shared" si="9"/>
        <v>5</v>
      </c>
    </row>
    <row r="299" spans="5:8" x14ac:dyDescent="0.2">
      <c r="E299" s="49" t="s">
        <v>45</v>
      </c>
      <c r="F299">
        <f t="shared" si="8"/>
        <v>40000</v>
      </c>
      <c r="G299" s="27">
        <v>4700</v>
      </c>
      <c r="H299" s="55">
        <f t="shared" si="9"/>
        <v>8.5106382978723403</v>
      </c>
    </row>
    <row r="300" spans="5:8" x14ac:dyDescent="0.2">
      <c r="E300" s="48" t="s">
        <v>89</v>
      </c>
      <c r="F300">
        <f t="shared" si="8"/>
        <v>20000</v>
      </c>
      <c r="G300" s="25">
        <v>520</v>
      </c>
      <c r="H300" s="55">
        <f t="shared" si="9"/>
        <v>38.46153846153846</v>
      </c>
    </row>
    <row r="301" spans="5:8" x14ac:dyDescent="0.2">
      <c r="E301" s="49" t="s">
        <v>60</v>
      </c>
      <c r="F301">
        <f t="shared" si="8"/>
        <v>60000</v>
      </c>
      <c r="G301" s="27">
        <v>4200</v>
      </c>
      <c r="H301" s="55">
        <f t="shared" si="9"/>
        <v>14.285714285714286</v>
      </c>
    </row>
    <row r="302" spans="5:8" x14ac:dyDescent="0.2">
      <c r="E302" s="48" t="s">
        <v>45</v>
      </c>
      <c r="F302">
        <f t="shared" si="8"/>
        <v>40000</v>
      </c>
      <c r="G302" s="25">
        <v>1450</v>
      </c>
      <c r="H302" s="55">
        <f t="shared" si="9"/>
        <v>27.586206896551722</v>
      </c>
    </row>
    <row r="303" spans="5:8" x14ac:dyDescent="0.2">
      <c r="E303" s="49" t="s">
        <v>182</v>
      </c>
      <c r="F303">
        <f t="shared" si="8"/>
        <v>5000</v>
      </c>
      <c r="G303" s="27">
        <v>650</v>
      </c>
      <c r="H303" s="55">
        <f t="shared" si="9"/>
        <v>7.6923076923076925</v>
      </c>
    </row>
    <row r="304" spans="5:8" x14ac:dyDescent="0.2">
      <c r="E304" s="48" t="s">
        <v>60</v>
      </c>
      <c r="F304">
        <f t="shared" si="8"/>
        <v>60000</v>
      </c>
      <c r="G304" s="25">
        <v>12800</v>
      </c>
      <c r="H304" s="55">
        <f t="shared" si="9"/>
        <v>4.6875</v>
      </c>
    </row>
    <row r="305" spans="5:8" x14ac:dyDescent="0.2">
      <c r="E305" s="49" t="s">
        <v>45</v>
      </c>
      <c r="F305">
        <f t="shared" si="8"/>
        <v>40000</v>
      </c>
      <c r="G305" s="27">
        <v>4000</v>
      </c>
      <c r="H305" s="55">
        <f t="shared" si="9"/>
        <v>10</v>
      </c>
    </row>
    <row r="306" spans="5:8" x14ac:dyDescent="0.2">
      <c r="E306" s="48" t="s">
        <v>60</v>
      </c>
      <c r="F306">
        <f t="shared" si="8"/>
        <v>60000</v>
      </c>
      <c r="G306" s="25">
        <v>4000</v>
      </c>
      <c r="H306" s="55">
        <f t="shared" si="9"/>
        <v>15</v>
      </c>
    </row>
    <row r="307" spans="5:8" x14ac:dyDescent="0.2">
      <c r="E307" s="49" t="s">
        <v>45</v>
      </c>
      <c r="F307">
        <f t="shared" si="8"/>
        <v>40000</v>
      </c>
      <c r="G307" s="27">
        <v>650</v>
      </c>
      <c r="H307" s="55">
        <f t="shared" si="9"/>
        <v>61.53846153846154</v>
      </c>
    </row>
    <row r="308" spans="5:8" x14ac:dyDescent="0.2">
      <c r="E308" s="48" t="s">
        <v>45</v>
      </c>
      <c r="F308">
        <f t="shared" si="8"/>
        <v>40000</v>
      </c>
      <c r="G308" s="25">
        <v>11800</v>
      </c>
      <c r="H308" s="55">
        <f t="shared" si="9"/>
        <v>3.3898305084745761</v>
      </c>
    </row>
    <row r="309" spans="5:8" x14ac:dyDescent="0.2">
      <c r="E309" s="49" t="s">
        <v>45</v>
      </c>
      <c r="F309">
        <f t="shared" si="8"/>
        <v>40000</v>
      </c>
      <c r="G309" s="27">
        <v>4400</v>
      </c>
      <c r="H309" s="55">
        <f t="shared" si="9"/>
        <v>9.0909090909090917</v>
      </c>
    </row>
    <row r="310" spans="5:8" x14ac:dyDescent="0.2">
      <c r="E310" s="48" t="s">
        <v>89</v>
      </c>
      <c r="F310">
        <f t="shared" si="8"/>
        <v>20000</v>
      </c>
      <c r="G310" s="25">
        <v>520</v>
      </c>
      <c r="H310" s="55">
        <f t="shared" si="9"/>
        <v>38.46153846153846</v>
      </c>
    </row>
    <row r="311" spans="5:8" x14ac:dyDescent="0.2">
      <c r="E311" s="49" t="s">
        <v>60</v>
      </c>
      <c r="F311">
        <f t="shared" si="8"/>
        <v>60000</v>
      </c>
      <c r="G311" s="27">
        <v>4500</v>
      </c>
      <c r="H311" s="55">
        <f t="shared" si="9"/>
        <v>13.333333333333334</v>
      </c>
    </row>
    <row r="312" spans="5:8" x14ac:dyDescent="0.2">
      <c r="E312" s="48" t="s">
        <v>45</v>
      </c>
      <c r="F312">
        <f t="shared" si="8"/>
        <v>40000</v>
      </c>
      <c r="G312" s="25">
        <v>1300</v>
      </c>
      <c r="H312" s="55">
        <f t="shared" si="9"/>
        <v>30.76923076923077</v>
      </c>
    </row>
    <row r="313" spans="5:8" x14ac:dyDescent="0.2">
      <c r="E313" s="49" t="s">
        <v>45</v>
      </c>
      <c r="F313">
        <f t="shared" si="8"/>
        <v>40000</v>
      </c>
      <c r="G313" s="27">
        <v>3600</v>
      </c>
      <c r="H313" s="55">
        <f t="shared" si="9"/>
        <v>11.111111111111111</v>
      </c>
    </row>
    <row r="314" spans="5:8" x14ac:dyDescent="0.2">
      <c r="E314" s="48" t="s">
        <v>45</v>
      </c>
      <c r="F314">
        <f t="shared" si="8"/>
        <v>40000</v>
      </c>
      <c r="G314" s="25">
        <v>11000</v>
      </c>
      <c r="H314" s="55">
        <f t="shared" si="9"/>
        <v>3.6363636363636362</v>
      </c>
    </row>
    <row r="315" spans="5:8" x14ac:dyDescent="0.2">
      <c r="E315" s="49" t="s">
        <v>182</v>
      </c>
      <c r="F315">
        <f t="shared" si="8"/>
        <v>5000</v>
      </c>
      <c r="G315" s="27">
        <v>650</v>
      </c>
      <c r="H315" s="55">
        <f t="shared" si="9"/>
        <v>7.6923076923076925</v>
      </c>
    </row>
    <row r="316" spans="5:8" x14ac:dyDescent="0.2">
      <c r="E316" s="48" t="s">
        <v>45</v>
      </c>
      <c r="F316">
        <f t="shared" si="8"/>
        <v>40000</v>
      </c>
      <c r="G316" s="25">
        <v>1000</v>
      </c>
      <c r="H316" s="55">
        <f t="shared" si="9"/>
        <v>40</v>
      </c>
    </row>
    <row r="317" spans="5:8" x14ac:dyDescent="0.2">
      <c r="E317" s="49" t="s">
        <v>89</v>
      </c>
      <c r="F317">
        <f t="shared" si="8"/>
        <v>20000</v>
      </c>
      <c r="G317" s="27">
        <v>420</v>
      </c>
      <c r="H317" s="55">
        <f t="shared" si="9"/>
        <v>47.61904761904762</v>
      </c>
    </row>
    <row r="318" spans="5:8" x14ac:dyDescent="0.2">
      <c r="E318" s="48" t="s">
        <v>60</v>
      </c>
      <c r="F318">
        <f t="shared" si="8"/>
        <v>60000</v>
      </c>
      <c r="G318" s="25">
        <v>10800</v>
      </c>
      <c r="H318" s="55">
        <f t="shared" si="9"/>
        <v>5.5555555555555554</v>
      </c>
    </row>
    <row r="319" spans="5:8" x14ac:dyDescent="0.2">
      <c r="E319" s="49" t="s">
        <v>60</v>
      </c>
      <c r="F319">
        <f t="shared" si="8"/>
        <v>60000</v>
      </c>
      <c r="G319" s="27">
        <v>4000</v>
      </c>
      <c r="H319" s="55">
        <f t="shared" si="9"/>
        <v>15</v>
      </c>
    </row>
    <row r="320" spans="5:8" x14ac:dyDescent="0.2">
      <c r="E320" s="48" t="s">
        <v>89</v>
      </c>
      <c r="F320">
        <f t="shared" si="8"/>
        <v>20000</v>
      </c>
      <c r="G320" s="25">
        <v>1000</v>
      </c>
      <c r="H320" s="55">
        <f t="shared" si="9"/>
        <v>20</v>
      </c>
    </row>
    <row r="321" spans="5:8" x14ac:dyDescent="0.2">
      <c r="E321" s="49" t="s">
        <v>45</v>
      </c>
      <c r="F321">
        <f t="shared" si="8"/>
        <v>40000</v>
      </c>
      <c r="G321" s="27">
        <v>4000</v>
      </c>
      <c r="H321" s="55">
        <f t="shared" si="9"/>
        <v>10</v>
      </c>
    </row>
    <row r="322" spans="5:8" x14ac:dyDescent="0.2">
      <c r="E322" s="48" t="s">
        <v>45</v>
      </c>
      <c r="F322">
        <f t="shared" si="8"/>
        <v>40000</v>
      </c>
      <c r="G322" s="25">
        <v>1300</v>
      </c>
      <c r="H322" s="55">
        <f t="shared" si="9"/>
        <v>30.76923076923077</v>
      </c>
    </row>
    <row r="323" spans="5:8" x14ac:dyDescent="0.2">
      <c r="E323" s="49" t="s">
        <v>182</v>
      </c>
      <c r="F323">
        <f t="shared" ref="F323:F386" si="10">IF(E323="below 10,000",5000, IF(E323="10,000-30,000", 20000, IF(E323="30,000-50,000", 40000, IF(E323="50,000-70,000", 60000, IF(E323="70,000-1,00,000",85000,IF(E323="above 1,00,000",125000," "))))))</f>
        <v>5000</v>
      </c>
      <c r="G323" s="27">
        <v>390</v>
      </c>
      <c r="H323" s="55">
        <f t="shared" ref="H323:H386" si="11">F323/G323</f>
        <v>12.820512820512821</v>
      </c>
    </row>
    <row r="324" spans="5:8" x14ac:dyDescent="0.2">
      <c r="E324" s="48" t="s">
        <v>89</v>
      </c>
      <c r="F324">
        <f t="shared" si="10"/>
        <v>20000</v>
      </c>
      <c r="G324" s="25">
        <v>3000</v>
      </c>
      <c r="H324" s="55">
        <f t="shared" si="11"/>
        <v>6.666666666666667</v>
      </c>
    </row>
    <row r="325" spans="5:8" x14ac:dyDescent="0.2">
      <c r="E325" s="49" t="s">
        <v>45</v>
      </c>
      <c r="F325">
        <f t="shared" si="10"/>
        <v>40000</v>
      </c>
      <c r="G325" s="27">
        <v>11600</v>
      </c>
      <c r="H325" s="55">
        <f t="shared" si="11"/>
        <v>3.4482758620689653</v>
      </c>
    </row>
    <row r="326" spans="5:8" x14ac:dyDescent="0.2">
      <c r="E326" s="48" t="s">
        <v>45</v>
      </c>
      <c r="F326">
        <f t="shared" si="10"/>
        <v>40000</v>
      </c>
      <c r="G326" s="25">
        <v>650</v>
      </c>
      <c r="H326" s="55">
        <f t="shared" si="11"/>
        <v>61.53846153846154</v>
      </c>
    </row>
    <row r="327" spans="5:8" x14ac:dyDescent="0.2">
      <c r="E327" s="49" t="s">
        <v>60</v>
      </c>
      <c r="F327">
        <f t="shared" si="10"/>
        <v>60000</v>
      </c>
      <c r="G327" s="27">
        <v>4300</v>
      </c>
      <c r="H327" s="55">
        <f t="shared" si="11"/>
        <v>13.953488372093023</v>
      </c>
    </row>
    <row r="328" spans="5:8" x14ac:dyDescent="0.2">
      <c r="E328" s="48" t="s">
        <v>182</v>
      </c>
      <c r="F328">
        <f t="shared" si="10"/>
        <v>5000</v>
      </c>
      <c r="G328" s="25">
        <v>850</v>
      </c>
      <c r="H328" s="55">
        <f t="shared" si="11"/>
        <v>5.882352941176471</v>
      </c>
    </row>
    <row r="329" spans="5:8" x14ac:dyDescent="0.2">
      <c r="E329" s="49" t="s">
        <v>45</v>
      </c>
      <c r="F329">
        <f t="shared" si="10"/>
        <v>40000</v>
      </c>
      <c r="G329" s="27">
        <v>3000</v>
      </c>
      <c r="H329" s="55">
        <f t="shared" si="11"/>
        <v>13.333333333333334</v>
      </c>
    </row>
    <row r="330" spans="5:8" x14ac:dyDescent="0.2">
      <c r="E330" s="48" t="s">
        <v>89</v>
      </c>
      <c r="F330">
        <f t="shared" si="10"/>
        <v>20000</v>
      </c>
      <c r="G330" s="25">
        <v>300</v>
      </c>
      <c r="H330" s="55">
        <f t="shared" si="11"/>
        <v>66.666666666666671</v>
      </c>
    </row>
    <row r="331" spans="5:8" x14ac:dyDescent="0.2">
      <c r="E331" s="49" t="s">
        <v>45</v>
      </c>
      <c r="F331">
        <f t="shared" si="10"/>
        <v>40000</v>
      </c>
      <c r="G331" s="27">
        <v>2800</v>
      </c>
      <c r="H331" s="55">
        <f t="shared" si="11"/>
        <v>14.285714285714286</v>
      </c>
    </row>
    <row r="332" spans="5:8" x14ac:dyDescent="0.2">
      <c r="E332" s="48" t="s">
        <v>45</v>
      </c>
      <c r="F332">
        <f t="shared" si="10"/>
        <v>40000</v>
      </c>
      <c r="G332" s="25">
        <v>900</v>
      </c>
      <c r="H332" s="55">
        <f t="shared" si="11"/>
        <v>44.444444444444443</v>
      </c>
    </row>
    <row r="333" spans="5:8" x14ac:dyDescent="0.2">
      <c r="E333" s="49" t="s">
        <v>45</v>
      </c>
      <c r="F333">
        <f t="shared" si="10"/>
        <v>40000</v>
      </c>
      <c r="G333" s="27">
        <v>4000</v>
      </c>
      <c r="H333" s="55">
        <f t="shared" si="11"/>
        <v>10</v>
      </c>
    </row>
    <row r="334" spans="5:8" x14ac:dyDescent="0.2">
      <c r="E334" s="48" t="s">
        <v>182</v>
      </c>
      <c r="F334">
        <f t="shared" si="10"/>
        <v>5000</v>
      </c>
      <c r="G334" s="25">
        <v>650</v>
      </c>
      <c r="H334" s="55">
        <f t="shared" si="11"/>
        <v>7.6923076923076925</v>
      </c>
    </row>
    <row r="335" spans="5:8" x14ac:dyDescent="0.2">
      <c r="E335" s="49" t="s">
        <v>45</v>
      </c>
      <c r="F335">
        <f t="shared" si="10"/>
        <v>40000</v>
      </c>
      <c r="G335" s="27">
        <v>12000</v>
      </c>
      <c r="H335" s="55">
        <f t="shared" si="11"/>
        <v>3.3333333333333335</v>
      </c>
    </row>
    <row r="336" spans="5:8" x14ac:dyDescent="0.2">
      <c r="E336" s="48" t="s">
        <v>89</v>
      </c>
      <c r="F336">
        <f t="shared" si="10"/>
        <v>20000</v>
      </c>
      <c r="G336" s="25">
        <v>1000</v>
      </c>
      <c r="H336" s="55">
        <f t="shared" si="11"/>
        <v>20</v>
      </c>
    </row>
    <row r="337" spans="5:8" x14ac:dyDescent="0.2">
      <c r="E337" s="49" t="s">
        <v>60</v>
      </c>
      <c r="F337">
        <f t="shared" si="10"/>
        <v>60000</v>
      </c>
      <c r="G337" s="27">
        <v>3000</v>
      </c>
      <c r="H337" s="55">
        <f t="shared" si="11"/>
        <v>20</v>
      </c>
    </row>
    <row r="338" spans="5:8" x14ac:dyDescent="0.2">
      <c r="E338" s="48" t="s">
        <v>182</v>
      </c>
      <c r="F338">
        <f t="shared" si="10"/>
        <v>5000</v>
      </c>
      <c r="G338" s="25">
        <v>850</v>
      </c>
      <c r="H338" s="55">
        <f t="shared" si="11"/>
        <v>5.882352941176471</v>
      </c>
    </row>
    <row r="339" spans="5:8" x14ac:dyDescent="0.2">
      <c r="E339" s="49" t="s">
        <v>60</v>
      </c>
      <c r="F339">
        <f t="shared" si="10"/>
        <v>60000</v>
      </c>
      <c r="G339" s="27">
        <v>11800</v>
      </c>
      <c r="H339" s="55">
        <f t="shared" si="11"/>
        <v>5.0847457627118642</v>
      </c>
    </row>
    <row r="340" spans="5:8" x14ac:dyDescent="0.2">
      <c r="E340" s="48" t="s">
        <v>45</v>
      </c>
      <c r="F340">
        <f t="shared" si="10"/>
        <v>40000</v>
      </c>
      <c r="G340" s="25">
        <v>3000</v>
      </c>
      <c r="H340" s="55">
        <f t="shared" si="11"/>
        <v>13.333333333333334</v>
      </c>
    </row>
    <row r="341" spans="5:8" x14ac:dyDescent="0.2">
      <c r="E341" s="49" t="s">
        <v>182</v>
      </c>
      <c r="F341">
        <f t="shared" si="10"/>
        <v>5000</v>
      </c>
      <c r="G341" s="27">
        <v>390</v>
      </c>
      <c r="H341" s="55">
        <f t="shared" si="11"/>
        <v>12.820512820512821</v>
      </c>
    </row>
    <row r="342" spans="5:8" x14ac:dyDescent="0.2">
      <c r="E342" s="48" t="s">
        <v>45</v>
      </c>
      <c r="F342">
        <f t="shared" si="10"/>
        <v>40000</v>
      </c>
      <c r="G342" s="25">
        <v>4000</v>
      </c>
      <c r="H342" s="55">
        <f t="shared" si="11"/>
        <v>10</v>
      </c>
    </row>
    <row r="343" spans="5:8" x14ac:dyDescent="0.2">
      <c r="E343" s="49" t="s">
        <v>45</v>
      </c>
      <c r="F343">
        <f t="shared" si="10"/>
        <v>40000</v>
      </c>
      <c r="G343" s="27">
        <v>650</v>
      </c>
      <c r="H343" s="55">
        <f t="shared" si="11"/>
        <v>61.53846153846154</v>
      </c>
    </row>
    <row r="344" spans="5:8" x14ac:dyDescent="0.2">
      <c r="E344" s="48" t="s">
        <v>45</v>
      </c>
      <c r="F344">
        <f t="shared" si="10"/>
        <v>40000</v>
      </c>
      <c r="G344" s="25">
        <v>780</v>
      </c>
      <c r="H344" s="55">
        <f t="shared" si="11"/>
        <v>51.282051282051285</v>
      </c>
    </row>
    <row r="345" spans="5:8" x14ac:dyDescent="0.2">
      <c r="E345" s="49" t="s">
        <v>60</v>
      </c>
      <c r="F345">
        <f t="shared" si="10"/>
        <v>60000</v>
      </c>
      <c r="G345" s="27">
        <v>8300</v>
      </c>
      <c r="H345" s="55">
        <f t="shared" si="11"/>
        <v>7.2289156626506026</v>
      </c>
    </row>
    <row r="346" spans="5:8" x14ac:dyDescent="0.2">
      <c r="E346" s="48" t="s">
        <v>45</v>
      </c>
      <c r="F346">
        <f t="shared" si="10"/>
        <v>40000</v>
      </c>
      <c r="G346" s="25">
        <v>4000</v>
      </c>
      <c r="H346" s="55">
        <f t="shared" si="11"/>
        <v>10</v>
      </c>
    </row>
    <row r="347" spans="5:8" x14ac:dyDescent="0.2">
      <c r="E347" s="49" t="s">
        <v>89</v>
      </c>
      <c r="F347">
        <f t="shared" si="10"/>
        <v>20000</v>
      </c>
      <c r="G347" s="27">
        <v>520</v>
      </c>
      <c r="H347" s="55">
        <f t="shared" si="11"/>
        <v>38.46153846153846</v>
      </c>
    </row>
    <row r="348" spans="5:8" x14ac:dyDescent="0.2">
      <c r="E348" s="48" t="s">
        <v>45</v>
      </c>
      <c r="F348">
        <f t="shared" si="10"/>
        <v>40000</v>
      </c>
      <c r="G348" s="25">
        <v>1500</v>
      </c>
      <c r="H348" s="55">
        <f t="shared" si="11"/>
        <v>26.666666666666668</v>
      </c>
    </row>
    <row r="349" spans="5:8" x14ac:dyDescent="0.2">
      <c r="E349" s="49" t="s">
        <v>60</v>
      </c>
      <c r="F349">
        <f t="shared" si="10"/>
        <v>60000</v>
      </c>
      <c r="G349" s="27">
        <v>330</v>
      </c>
      <c r="H349" s="55">
        <f t="shared" si="11"/>
        <v>181.81818181818181</v>
      </c>
    </row>
    <row r="350" spans="5:8" x14ac:dyDescent="0.2">
      <c r="E350" s="48" t="s">
        <v>182</v>
      </c>
      <c r="F350">
        <f t="shared" si="10"/>
        <v>5000</v>
      </c>
      <c r="G350" s="25">
        <v>520</v>
      </c>
      <c r="H350" s="55">
        <f t="shared" si="11"/>
        <v>9.615384615384615</v>
      </c>
    </row>
    <row r="351" spans="5:8" x14ac:dyDescent="0.2">
      <c r="E351" s="49" t="s">
        <v>45</v>
      </c>
      <c r="F351">
        <f t="shared" si="10"/>
        <v>40000</v>
      </c>
      <c r="G351" s="27">
        <v>9000</v>
      </c>
      <c r="H351" s="55">
        <f t="shared" si="11"/>
        <v>4.4444444444444446</v>
      </c>
    </row>
    <row r="352" spans="5:8" x14ac:dyDescent="0.2">
      <c r="E352" s="48" t="s">
        <v>45</v>
      </c>
      <c r="F352">
        <f t="shared" si="10"/>
        <v>40000</v>
      </c>
      <c r="G352" s="25">
        <v>2200</v>
      </c>
      <c r="H352" s="55">
        <f t="shared" si="11"/>
        <v>18.181818181818183</v>
      </c>
    </row>
    <row r="353" spans="5:8" x14ac:dyDescent="0.2">
      <c r="E353" s="49" t="s">
        <v>89</v>
      </c>
      <c r="F353">
        <f t="shared" si="10"/>
        <v>20000</v>
      </c>
      <c r="G353" s="27">
        <v>1300</v>
      </c>
      <c r="H353" s="55">
        <f t="shared" si="11"/>
        <v>15.384615384615385</v>
      </c>
    </row>
    <row r="354" spans="5:8" x14ac:dyDescent="0.2">
      <c r="E354" s="48" t="s">
        <v>182</v>
      </c>
      <c r="F354">
        <f t="shared" si="10"/>
        <v>5000</v>
      </c>
      <c r="G354" s="25">
        <v>520</v>
      </c>
      <c r="H354" s="55">
        <f t="shared" si="11"/>
        <v>9.615384615384615</v>
      </c>
    </row>
    <row r="355" spans="5:8" x14ac:dyDescent="0.2">
      <c r="E355" s="49" t="s">
        <v>60</v>
      </c>
      <c r="F355">
        <f t="shared" si="10"/>
        <v>60000</v>
      </c>
      <c r="G355" s="27">
        <v>3200</v>
      </c>
      <c r="H355" s="55">
        <f t="shared" si="11"/>
        <v>18.75</v>
      </c>
    </row>
    <row r="356" spans="5:8" x14ac:dyDescent="0.2">
      <c r="E356" s="48" t="s">
        <v>182</v>
      </c>
      <c r="F356">
        <f t="shared" si="10"/>
        <v>5000</v>
      </c>
      <c r="G356" s="25">
        <v>910</v>
      </c>
      <c r="H356" s="55">
        <f t="shared" si="11"/>
        <v>5.4945054945054945</v>
      </c>
    </row>
    <row r="357" spans="5:8" x14ac:dyDescent="0.2">
      <c r="E357" s="49" t="s">
        <v>60</v>
      </c>
      <c r="F357">
        <f t="shared" si="10"/>
        <v>60000</v>
      </c>
      <c r="G357" s="27">
        <v>10600</v>
      </c>
      <c r="H357" s="55">
        <f t="shared" si="11"/>
        <v>5.6603773584905657</v>
      </c>
    </row>
    <row r="358" spans="5:8" x14ac:dyDescent="0.2">
      <c r="E358" s="48" t="s">
        <v>45</v>
      </c>
      <c r="F358">
        <f t="shared" si="10"/>
        <v>40000</v>
      </c>
      <c r="G358" s="25">
        <v>3900</v>
      </c>
      <c r="H358" s="55">
        <f t="shared" si="11"/>
        <v>10.256410256410257</v>
      </c>
    </row>
    <row r="359" spans="5:8" x14ac:dyDescent="0.2">
      <c r="E359" s="49" t="s">
        <v>89</v>
      </c>
      <c r="F359">
        <f t="shared" si="10"/>
        <v>20000</v>
      </c>
      <c r="G359" s="27">
        <v>350</v>
      </c>
      <c r="H359" s="55">
        <f t="shared" si="11"/>
        <v>57.142857142857146</v>
      </c>
    </row>
    <row r="360" spans="5:8" x14ac:dyDescent="0.2">
      <c r="E360" s="48" t="s">
        <v>45</v>
      </c>
      <c r="F360">
        <f t="shared" si="10"/>
        <v>40000</v>
      </c>
      <c r="G360" s="25">
        <v>3700</v>
      </c>
      <c r="H360" s="55">
        <f t="shared" si="11"/>
        <v>10.810810810810811</v>
      </c>
    </row>
    <row r="361" spans="5:8" x14ac:dyDescent="0.2">
      <c r="E361" s="49" t="s">
        <v>45</v>
      </c>
      <c r="F361">
        <f t="shared" si="10"/>
        <v>40000</v>
      </c>
      <c r="G361" s="27">
        <v>1300</v>
      </c>
      <c r="H361" s="55">
        <f t="shared" si="11"/>
        <v>30.76923076923077</v>
      </c>
    </row>
    <row r="362" spans="5:8" x14ac:dyDescent="0.2">
      <c r="E362" s="48" t="s">
        <v>45</v>
      </c>
      <c r="F362">
        <f t="shared" si="10"/>
        <v>40000</v>
      </c>
      <c r="G362" s="25">
        <v>1000</v>
      </c>
      <c r="H362" s="55">
        <f t="shared" si="11"/>
        <v>40</v>
      </c>
    </row>
    <row r="363" spans="5:8" x14ac:dyDescent="0.2">
      <c r="E363" s="49" t="s">
        <v>45</v>
      </c>
      <c r="F363">
        <f t="shared" si="10"/>
        <v>40000</v>
      </c>
      <c r="G363" s="27">
        <v>780</v>
      </c>
      <c r="H363" s="55">
        <f t="shared" si="11"/>
        <v>51.282051282051285</v>
      </c>
    </row>
    <row r="364" spans="5:8" x14ac:dyDescent="0.2">
      <c r="E364" s="48" t="s">
        <v>45</v>
      </c>
      <c r="F364">
        <f t="shared" si="10"/>
        <v>40000</v>
      </c>
      <c r="G364" s="25">
        <v>3800</v>
      </c>
      <c r="H364" s="55">
        <f t="shared" si="11"/>
        <v>10.526315789473685</v>
      </c>
    </row>
    <row r="365" spans="5:8" x14ac:dyDescent="0.2">
      <c r="E365" s="49" t="s">
        <v>45</v>
      </c>
      <c r="F365">
        <f t="shared" si="10"/>
        <v>40000</v>
      </c>
      <c r="G365" s="27">
        <v>520</v>
      </c>
      <c r="H365" s="55">
        <f t="shared" si="11"/>
        <v>76.92307692307692</v>
      </c>
    </row>
    <row r="366" spans="5:8" x14ac:dyDescent="0.2">
      <c r="E366" s="48" t="s">
        <v>182</v>
      </c>
      <c r="F366">
        <f t="shared" si="10"/>
        <v>5000</v>
      </c>
      <c r="G366" s="25">
        <v>900</v>
      </c>
      <c r="H366" s="55">
        <f t="shared" si="11"/>
        <v>5.5555555555555554</v>
      </c>
    </row>
    <row r="367" spans="5:8" x14ac:dyDescent="0.2">
      <c r="E367" s="49" t="s">
        <v>45</v>
      </c>
      <c r="F367">
        <f t="shared" si="10"/>
        <v>40000</v>
      </c>
      <c r="G367" s="27">
        <v>9900</v>
      </c>
      <c r="H367" s="55">
        <f t="shared" si="11"/>
        <v>4.0404040404040407</v>
      </c>
    </row>
    <row r="368" spans="5:8" x14ac:dyDescent="0.2">
      <c r="E368" s="48" t="s">
        <v>45</v>
      </c>
      <c r="F368">
        <f t="shared" si="10"/>
        <v>40000</v>
      </c>
      <c r="G368" s="25">
        <v>11430</v>
      </c>
      <c r="H368" s="55">
        <f t="shared" si="11"/>
        <v>3.499562554680665</v>
      </c>
    </row>
    <row r="369" spans="5:8" x14ac:dyDescent="0.2">
      <c r="E369" s="49" t="s">
        <v>45</v>
      </c>
      <c r="F369">
        <f t="shared" si="10"/>
        <v>40000</v>
      </c>
      <c r="G369" s="27">
        <v>390</v>
      </c>
      <c r="H369" s="55">
        <f t="shared" si="11"/>
        <v>102.56410256410257</v>
      </c>
    </row>
    <row r="370" spans="5:8" x14ac:dyDescent="0.2">
      <c r="E370" s="48" t="s">
        <v>45</v>
      </c>
      <c r="F370">
        <f t="shared" si="10"/>
        <v>40000</v>
      </c>
      <c r="G370" s="25">
        <v>4000</v>
      </c>
      <c r="H370" s="55">
        <f t="shared" si="11"/>
        <v>10</v>
      </c>
    </row>
    <row r="371" spans="5:8" x14ac:dyDescent="0.2">
      <c r="E371" s="49" t="s">
        <v>60</v>
      </c>
      <c r="F371">
        <f t="shared" si="10"/>
        <v>60000</v>
      </c>
      <c r="G371" s="27">
        <v>2900</v>
      </c>
      <c r="H371" s="55">
        <f t="shared" si="11"/>
        <v>20.689655172413794</v>
      </c>
    </row>
    <row r="372" spans="5:8" x14ac:dyDescent="0.2">
      <c r="E372" s="48" t="s">
        <v>45</v>
      </c>
      <c r="F372">
        <f t="shared" si="10"/>
        <v>40000</v>
      </c>
      <c r="G372" s="25">
        <v>1070</v>
      </c>
      <c r="H372" s="55">
        <f t="shared" si="11"/>
        <v>37.383177570093459</v>
      </c>
    </row>
    <row r="373" spans="5:8" x14ac:dyDescent="0.2">
      <c r="E373" s="49" t="s">
        <v>182</v>
      </c>
      <c r="F373">
        <f t="shared" si="10"/>
        <v>5000</v>
      </c>
      <c r="G373" s="27">
        <v>1300</v>
      </c>
      <c r="H373" s="55">
        <f t="shared" si="11"/>
        <v>3.8461538461538463</v>
      </c>
    </row>
    <row r="374" spans="5:8" x14ac:dyDescent="0.2">
      <c r="E374" s="48" t="s">
        <v>45</v>
      </c>
      <c r="F374">
        <f t="shared" si="10"/>
        <v>40000</v>
      </c>
      <c r="G374" s="25">
        <v>2400</v>
      </c>
      <c r="H374" s="55">
        <f t="shared" si="11"/>
        <v>16.666666666666668</v>
      </c>
    </row>
    <row r="375" spans="5:8" x14ac:dyDescent="0.2">
      <c r="E375" s="49" t="s">
        <v>45</v>
      </c>
      <c r="F375">
        <f t="shared" si="10"/>
        <v>40000</v>
      </c>
      <c r="G375" s="27">
        <v>1700</v>
      </c>
      <c r="H375" s="55">
        <f t="shared" si="11"/>
        <v>23.529411764705884</v>
      </c>
    </row>
    <row r="376" spans="5:8" x14ac:dyDescent="0.2">
      <c r="E376" s="48" t="s">
        <v>45</v>
      </c>
      <c r="F376">
        <f t="shared" si="10"/>
        <v>40000</v>
      </c>
      <c r="G376" s="25">
        <v>6500</v>
      </c>
      <c r="H376" s="55">
        <f t="shared" si="11"/>
        <v>6.1538461538461542</v>
      </c>
    </row>
    <row r="377" spans="5:8" x14ac:dyDescent="0.2">
      <c r="E377" s="49" t="s">
        <v>182</v>
      </c>
      <c r="F377">
        <f t="shared" si="10"/>
        <v>5000</v>
      </c>
      <c r="G377" s="27">
        <v>900</v>
      </c>
      <c r="H377" s="55">
        <f t="shared" si="11"/>
        <v>5.5555555555555554</v>
      </c>
    </row>
    <row r="378" spans="5:8" x14ac:dyDescent="0.2">
      <c r="E378" s="48" t="s">
        <v>60</v>
      </c>
      <c r="F378">
        <f t="shared" si="10"/>
        <v>60000</v>
      </c>
      <c r="G378" s="25">
        <v>2000</v>
      </c>
      <c r="H378" s="55">
        <f t="shared" si="11"/>
        <v>30</v>
      </c>
    </row>
    <row r="379" spans="5:8" x14ac:dyDescent="0.2">
      <c r="E379" s="49" t="s">
        <v>45</v>
      </c>
      <c r="F379">
        <f t="shared" si="10"/>
        <v>40000</v>
      </c>
      <c r="G379" s="27">
        <v>2600</v>
      </c>
      <c r="H379" s="55">
        <f t="shared" si="11"/>
        <v>15.384615384615385</v>
      </c>
    </row>
    <row r="380" spans="5:8" x14ac:dyDescent="0.2">
      <c r="E380" s="48" t="s">
        <v>60</v>
      </c>
      <c r="F380">
        <f t="shared" si="10"/>
        <v>60000</v>
      </c>
      <c r="G380" s="25">
        <v>2200</v>
      </c>
      <c r="H380" s="55">
        <f t="shared" si="11"/>
        <v>27.272727272727273</v>
      </c>
    </row>
    <row r="381" spans="5:8" x14ac:dyDescent="0.2">
      <c r="E381" s="49" t="s">
        <v>45</v>
      </c>
      <c r="F381">
        <f t="shared" si="10"/>
        <v>40000</v>
      </c>
      <c r="G381" s="27">
        <v>3800</v>
      </c>
      <c r="H381" s="55">
        <f t="shared" si="11"/>
        <v>10.526315789473685</v>
      </c>
    </row>
    <row r="382" spans="5:8" x14ac:dyDescent="0.2">
      <c r="E382" s="48" t="s">
        <v>182</v>
      </c>
      <c r="F382">
        <f t="shared" si="10"/>
        <v>5000</v>
      </c>
      <c r="G382" s="25">
        <v>520</v>
      </c>
      <c r="H382" s="55">
        <f t="shared" si="11"/>
        <v>9.615384615384615</v>
      </c>
    </row>
    <row r="383" spans="5:8" x14ac:dyDescent="0.2">
      <c r="E383" s="49" t="s">
        <v>60</v>
      </c>
      <c r="F383">
        <f t="shared" si="10"/>
        <v>60000</v>
      </c>
      <c r="G383" s="27">
        <v>11000</v>
      </c>
      <c r="H383" s="55">
        <f t="shared" si="11"/>
        <v>5.4545454545454541</v>
      </c>
    </row>
    <row r="384" spans="5:8" x14ac:dyDescent="0.2">
      <c r="E384" s="48" t="s">
        <v>45</v>
      </c>
      <c r="F384">
        <f t="shared" si="10"/>
        <v>40000</v>
      </c>
      <c r="G384" s="25">
        <v>1000</v>
      </c>
      <c r="H384" s="55">
        <f t="shared" si="11"/>
        <v>40</v>
      </c>
    </row>
    <row r="385" spans="5:8" x14ac:dyDescent="0.2">
      <c r="E385" s="49" t="s">
        <v>45</v>
      </c>
      <c r="F385">
        <f t="shared" si="10"/>
        <v>40000</v>
      </c>
      <c r="G385" s="27">
        <v>9400</v>
      </c>
      <c r="H385" s="55">
        <f t="shared" si="11"/>
        <v>4.2553191489361701</v>
      </c>
    </row>
    <row r="386" spans="5:8" x14ac:dyDescent="0.2">
      <c r="E386" s="48" t="s">
        <v>45</v>
      </c>
      <c r="F386">
        <f t="shared" si="10"/>
        <v>40000</v>
      </c>
      <c r="G386" s="25">
        <v>6800</v>
      </c>
      <c r="H386" s="55">
        <f t="shared" si="11"/>
        <v>5.882352941176471</v>
      </c>
    </row>
    <row r="387" spans="5:8" x14ac:dyDescent="0.2">
      <c r="E387" s="49" t="s">
        <v>45</v>
      </c>
      <c r="F387">
        <f t="shared" ref="F387:F450" si="12">IF(E387="below 10,000",5000, IF(E387="10,000-30,000", 20000, IF(E387="30,000-50,000", 40000, IF(E387="50,000-70,000", 60000, IF(E387="70,000-1,00,000",85000,IF(E387="above 1,00,000",125000," "))))))</f>
        <v>40000</v>
      </c>
      <c r="G387" s="27">
        <v>4000</v>
      </c>
      <c r="H387" s="55">
        <f t="shared" ref="H387:H450" si="13">F387/G387</f>
        <v>10</v>
      </c>
    </row>
    <row r="388" spans="5:8" x14ac:dyDescent="0.2">
      <c r="E388" s="48" t="s">
        <v>89</v>
      </c>
      <c r="F388">
        <f t="shared" si="12"/>
        <v>20000</v>
      </c>
      <c r="G388" s="25">
        <v>390</v>
      </c>
      <c r="H388" s="55">
        <f t="shared" si="13"/>
        <v>51.282051282051285</v>
      </c>
    </row>
    <row r="389" spans="5:8" x14ac:dyDescent="0.2">
      <c r="E389" s="49" t="s">
        <v>60</v>
      </c>
      <c r="F389">
        <f t="shared" si="12"/>
        <v>60000</v>
      </c>
      <c r="G389" s="27">
        <v>3900</v>
      </c>
      <c r="H389" s="55">
        <f t="shared" si="13"/>
        <v>15.384615384615385</v>
      </c>
    </row>
    <row r="390" spans="5:8" x14ac:dyDescent="0.2">
      <c r="E390" s="48" t="s">
        <v>45</v>
      </c>
      <c r="F390">
        <f t="shared" si="12"/>
        <v>40000</v>
      </c>
      <c r="G390" s="25">
        <v>1070</v>
      </c>
      <c r="H390" s="55">
        <f t="shared" si="13"/>
        <v>37.383177570093459</v>
      </c>
    </row>
    <row r="391" spans="5:8" x14ac:dyDescent="0.2">
      <c r="E391" s="49" t="s">
        <v>45</v>
      </c>
      <c r="F391">
        <f t="shared" si="12"/>
        <v>40000</v>
      </c>
      <c r="G391" s="27">
        <v>1300</v>
      </c>
      <c r="H391" s="55">
        <f t="shared" si="13"/>
        <v>30.76923076923077</v>
      </c>
    </row>
    <row r="392" spans="5:8" x14ac:dyDescent="0.2">
      <c r="E392" s="48" t="s">
        <v>60</v>
      </c>
      <c r="F392">
        <f t="shared" si="12"/>
        <v>60000</v>
      </c>
      <c r="G392" s="25">
        <v>1300</v>
      </c>
      <c r="H392" s="55">
        <f t="shared" si="13"/>
        <v>46.153846153846153</v>
      </c>
    </row>
    <row r="393" spans="5:8" x14ac:dyDescent="0.2">
      <c r="E393" s="49" t="s">
        <v>45</v>
      </c>
      <c r="F393">
        <f t="shared" si="12"/>
        <v>40000</v>
      </c>
      <c r="G393" s="27">
        <v>650</v>
      </c>
      <c r="H393" s="55">
        <f t="shared" si="13"/>
        <v>61.53846153846154</v>
      </c>
    </row>
    <row r="394" spans="5:8" x14ac:dyDescent="0.2">
      <c r="E394" s="48" t="s">
        <v>45</v>
      </c>
      <c r="F394">
        <f t="shared" si="12"/>
        <v>40000</v>
      </c>
      <c r="G394" s="25">
        <v>520</v>
      </c>
      <c r="H394" s="55">
        <f t="shared" si="13"/>
        <v>76.92307692307692</v>
      </c>
    </row>
    <row r="395" spans="5:8" x14ac:dyDescent="0.2">
      <c r="E395" s="49" t="s">
        <v>89</v>
      </c>
      <c r="F395">
        <f t="shared" si="12"/>
        <v>20000</v>
      </c>
      <c r="G395" s="27">
        <v>390</v>
      </c>
      <c r="H395" s="55">
        <f t="shared" si="13"/>
        <v>51.282051282051285</v>
      </c>
    </row>
    <row r="396" spans="5:8" x14ac:dyDescent="0.2">
      <c r="E396" s="48" t="s">
        <v>60</v>
      </c>
      <c r="F396">
        <f t="shared" si="12"/>
        <v>60000</v>
      </c>
      <c r="G396" s="25">
        <v>4500</v>
      </c>
      <c r="H396" s="55">
        <f t="shared" si="13"/>
        <v>13.333333333333334</v>
      </c>
    </row>
    <row r="397" spans="5:8" x14ac:dyDescent="0.2">
      <c r="E397" s="49" t="s">
        <v>45</v>
      </c>
      <c r="F397">
        <f t="shared" si="12"/>
        <v>40000</v>
      </c>
      <c r="G397" s="27">
        <v>1430</v>
      </c>
      <c r="H397" s="55">
        <f t="shared" si="13"/>
        <v>27.972027972027973</v>
      </c>
    </row>
    <row r="398" spans="5:8" x14ac:dyDescent="0.2">
      <c r="E398" s="48" t="s">
        <v>89</v>
      </c>
      <c r="F398">
        <f t="shared" si="12"/>
        <v>20000</v>
      </c>
      <c r="G398" s="25">
        <v>260</v>
      </c>
      <c r="H398" s="55">
        <f t="shared" si="13"/>
        <v>76.92307692307692</v>
      </c>
    </row>
    <row r="399" spans="5:8" x14ac:dyDescent="0.2">
      <c r="E399" s="49" t="s">
        <v>182</v>
      </c>
      <c r="F399">
        <f t="shared" si="12"/>
        <v>5000</v>
      </c>
      <c r="G399" s="27">
        <v>1560</v>
      </c>
      <c r="H399" s="55">
        <f t="shared" si="13"/>
        <v>3.2051282051282053</v>
      </c>
    </row>
    <row r="400" spans="5:8" x14ac:dyDescent="0.2">
      <c r="E400" s="48" t="s">
        <v>45</v>
      </c>
      <c r="F400">
        <f t="shared" si="12"/>
        <v>40000</v>
      </c>
      <c r="G400" s="25">
        <v>1690</v>
      </c>
      <c r="H400" s="55">
        <f t="shared" si="13"/>
        <v>23.668639053254438</v>
      </c>
    </row>
    <row r="401" spans="5:8" x14ac:dyDescent="0.2">
      <c r="E401" s="49" t="s">
        <v>89</v>
      </c>
      <c r="F401">
        <f t="shared" si="12"/>
        <v>20000</v>
      </c>
      <c r="G401" s="27">
        <v>390</v>
      </c>
      <c r="H401" s="55">
        <f t="shared" si="13"/>
        <v>51.282051282051285</v>
      </c>
    </row>
    <row r="402" spans="5:8" x14ac:dyDescent="0.2">
      <c r="E402" s="48" t="s">
        <v>45</v>
      </c>
      <c r="F402">
        <f t="shared" si="12"/>
        <v>40000</v>
      </c>
      <c r="G402" s="25">
        <v>3600</v>
      </c>
      <c r="H402" s="55">
        <f t="shared" si="13"/>
        <v>11.111111111111111</v>
      </c>
    </row>
    <row r="403" spans="5:8" x14ac:dyDescent="0.2">
      <c r="E403" s="49" t="s">
        <v>45</v>
      </c>
      <c r="F403">
        <f t="shared" si="12"/>
        <v>40000</v>
      </c>
      <c r="G403" s="27">
        <v>650</v>
      </c>
      <c r="H403" s="55">
        <f t="shared" si="13"/>
        <v>61.53846153846154</v>
      </c>
    </row>
    <row r="404" spans="5:8" x14ac:dyDescent="0.2">
      <c r="E404" s="48" t="s">
        <v>109</v>
      </c>
      <c r="F404">
        <f t="shared" si="12"/>
        <v>85000</v>
      </c>
      <c r="G404" s="25">
        <v>9600</v>
      </c>
      <c r="H404" s="55">
        <f t="shared" si="13"/>
        <v>8.8541666666666661</v>
      </c>
    </row>
    <row r="405" spans="5:8" x14ac:dyDescent="0.2">
      <c r="E405" s="49" t="s">
        <v>182</v>
      </c>
      <c r="F405">
        <f t="shared" si="12"/>
        <v>5000</v>
      </c>
      <c r="G405" s="27">
        <v>1430</v>
      </c>
      <c r="H405" s="55">
        <f t="shared" si="13"/>
        <v>3.4965034965034967</v>
      </c>
    </row>
    <row r="406" spans="5:8" x14ac:dyDescent="0.2">
      <c r="E406" s="48" t="s">
        <v>60</v>
      </c>
      <c r="F406">
        <f t="shared" si="12"/>
        <v>60000</v>
      </c>
      <c r="G406" s="25">
        <v>9200</v>
      </c>
      <c r="H406" s="55">
        <f t="shared" si="13"/>
        <v>6.5217391304347823</v>
      </c>
    </row>
    <row r="407" spans="5:8" x14ac:dyDescent="0.2">
      <c r="E407" s="49" t="s">
        <v>182</v>
      </c>
      <c r="F407">
        <f t="shared" si="12"/>
        <v>5000</v>
      </c>
      <c r="G407" s="27">
        <v>520</v>
      </c>
      <c r="H407" s="55">
        <f t="shared" si="13"/>
        <v>9.615384615384615</v>
      </c>
    </row>
    <row r="408" spans="5:8" x14ac:dyDescent="0.2">
      <c r="E408" s="48" t="s">
        <v>45</v>
      </c>
      <c r="F408">
        <f t="shared" si="12"/>
        <v>40000</v>
      </c>
      <c r="G408" s="25">
        <v>1560</v>
      </c>
      <c r="H408" s="55">
        <f t="shared" si="13"/>
        <v>25.641025641025642</v>
      </c>
    </row>
    <row r="409" spans="5:8" x14ac:dyDescent="0.2">
      <c r="E409" s="49" t="s">
        <v>89</v>
      </c>
      <c r="F409">
        <f t="shared" si="12"/>
        <v>20000</v>
      </c>
      <c r="G409" s="27">
        <v>390</v>
      </c>
      <c r="H409" s="55">
        <f t="shared" si="13"/>
        <v>51.282051282051285</v>
      </c>
    </row>
    <row r="410" spans="5:8" x14ac:dyDescent="0.2">
      <c r="E410" s="48" t="s">
        <v>89</v>
      </c>
      <c r="F410">
        <f t="shared" si="12"/>
        <v>20000</v>
      </c>
      <c r="G410" s="25">
        <v>1820</v>
      </c>
      <c r="H410" s="55">
        <f t="shared" si="13"/>
        <v>10.989010989010989</v>
      </c>
    </row>
    <row r="411" spans="5:8" x14ac:dyDescent="0.2">
      <c r="E411" s="49" t="s">
        <v>89</v>
      </c>
      <c r="F411">
        <f t="shared" si="12"/>
        <v>20000</v>
      </c>
      <c r="G411" s="27">
        <v>260</v>
      </c>
      <c r="H411" s="55">
        <f t="shared" si="13"/>
        <v>76.92307692307692</v>
      </c>
    </row>
    <row r="412" spans="5:8" x14ac:dyDescent="0.2">
      <c r="E412" s="48" t="s">
        <v>60</v>
      </c>
      <c r="F412">
        <f t="shared" si="12"/>
        <v>60000</v>
      </c>
      <c r="G412" s="25">
        <v>3900</v>
      </c>
      <c r="H412" s="55">
        <f t="shared" si="13"/>
        <v>15.384615384615385</v>
      </c>
    </row>
    <row r="413" spans="5:8" x14ac:dyDescent="0.2">
      <c r="E413" s="49" t="s">
        <v>89</v>
      </c>
      <c r="F413">
        <f t="shared" si="12"/>
        <v>20000</v>
      </c>
      <c r="G413" s="27">
        <v>390</v>
      </c>
      <c r="H413" s="55">
        <f t="shared" si="13"/>
        <v>51.282051282051285</v>
      </c>
    </row>
    <row r="414" spans="5:8" x14ac:dyDescent="0.2">
      <c r="E414" s="48" t="s">
        <v>182</v>
      </c>
      <c r="F414">
        <f t="shared" si="12"/>
        <v>5000</v>
      </c>
      <c r="G414" s="25">
        <v>1690</v>
      </c>
      <c r="H414" s="55">
        <f t="shared" si="13"/>
        <v>2.9585798816568047</v>
      </c>
    </row>
    <row r="415" spans="5:8" x14ac:dyDescent="0.2">
      <c r="E415" s="49" t="s">
        <v>45</v>
      </c>
      <c r="F415">
        <f t="shared" si="12"/>
        <v>40000</v>
      </c>
      <c r="G415" s="27">
        <v>11000</v>
      </c>
      <c r="H415" s="55">
        <f t="shared" si="13"/>
        <v>3.6363636363636362</v>
      </c>
    </row>
    <row r="416" spans="5:8" x14ac:dyDescent="0.2">
      <c r="E416" s="48" t="s">
        <v>45</v>
      </c>
      <c r="F416">
        <f t="shared" si="12"/>
        <v>40000</v>
      </c>
      <c r="G416" s="25">
        <v>650</v>
      </c>
      <c r="H416" s="55">
        <f t="shared" si="13"/>
        <v>61.53846153846154</v>
      </c>
    </row>
    <row r="417" spans="5:8" x14ac:dyDescent="0.2">
      <c r="E417" s="49" t="s">
        <v>109</v>
      </c>
      <c r="F417">
        <f t="shared" si="12"/>
        <v>85000</v>
      </c>
      <c r="G417" s="27">
        <v>4400</v>
      </c>
      <c r="H417" s="55">
        <f t="shared" si="13"/>
        <v>19.318181818181817</v>
      </c>
    </row>
    <row r="418" spans="5:8" x14ac:dyDescent="0.2">
      <c r="E418" s="48" t="s">
        <v>89</v>
      </c>
      <c r="F418">
        <f t="shared" si="12"/>
        <v>20000</v>
      </c>
      <c r="G418" s="25">
        <v>390</v>
      </c>
      <c r="H418" s="55">
        <f t="shared" si="13"/>
        <v>51.282051282051285</v>
      </c>
    </row>
    <row r="419" spans="5:8" x14ac:dyDescent="0.2">
      <c r="E419" s="49" t="s">
        <v>60</v>
      </c>
      <c r="F419">
        <f t="shared" si="12"/>
        <v>60000</v>
      </c>
      <c r="G419" s="27">
        <v>4000</v>
      </c>
      <c r="H419" s="55">
        <f t="shared" si="13"/>
        <v>15</v>
      </c>
    </row>
    <row r="420" spans="5:8" x14ac:dyDescent="0.2">
      <c r="E420" s="48" t="s">
        <v>45</v>
      </c>
      <c r="F420">
        <f t="shared" si="12"/>
        <v>40000</v>
      </c>
      <c r="G420" s="25">
        <v>1430</v>
      </c>
      <c r="H420" s="55">
        <f t="shared" si="13"/>
        <v>27.972027972027973</v>
      </c>
    </row>
    <row r="421" spans="5:8" x14ac:dyDescent="0.2">
      <c r="E421" s="49" t="s">
        <v>45</v>
      </c>
      <c r="F421">
        <f t="shared" si="12"/>
        <v>40000</v>
      </c>
      <c r="G421" s="27">
        <v>9400</v>
      </c>
      <c r="H421" s="55">
        <f t="shared" si="13"/>
        <v>4.2553191489361701</v>
      </c>
    </row>
    <row r="422" spans="5:8" x14ac:dyDescent="0.2">
      <c r="E422" s="48" t="s">
        <v>45</v>
      </c>
      <c r="F422">
        <f t="shared" si="12"/>
        <v>40000</v>
      </c>
      <c r="G422" s="25">
        <v>8800</v>
      </c>
      <c r="H422" s="55">
        <f t="shared" si="13"/>
        <v>4.5454545454545459</v>
      </c>
    </row>
    <row r="423" spans="5:8" x14ac:dyDescent="0.2">
      <c r="E423" s="49" t="s">
        <v>182</v>
      </c>
      <c r="F423">
        <f t="shared" si="12"/>
        <v>5000</v>
      </c>
      <c r="G423" s="27">
        <v>520</v>
      </c>
      <c r="H423" s="55">
        <f t="shared" si="13"/>
        <v>9.615384615384615</v>
      </c>
    </row>
    <row r="424" spans="5:8" x14ac:dyDescent="0.2">
      <c r="E424" s="48" t="s">
        <v>60</v>
      </c>
      <c r="F424">
        <f t="shared" si="12"/>
        <v>60000</v>
      </c>
      <c r="G424" s="25">
        <v>3700</v>
      </c>
      <c r="H424" s="55">
        <f t="shared" si="13"/>
        <v>16.216216216216218</v>
      </c>
    </row>
    <row r="425" spans="5:8" x14ac:dyDescent="0.2">
      <c r="E425" s="49" t="s">
        <v>45</v>
      </c>
      <c r="F425">
        <f t="shared" si="12"/>
        <v>40000</v>
      </c>
      <c r="G425" s="27">
        <v>9200</v>
      </c>
      <c r="H425" s="55">
        <f t="shared" si="13"/>
        <v>4.3478260869565215</v>
      </c>
    </row>
    <row r="426" spans="5:8" x14ac:dyDescent="0.2">
      <c r="E426" s="48" t="s">
        <v>60</v>
      </c>
      <c r="F426">
        <f t="shared" si="12"/>
        <v>60000</v>
      </c>
      <c r="G426" s="25">
        <v>780</v>
      </c>
      <c r="H426" s="55">
        <f t="shared" si="13"/>
        <v>76.92307692307692</v>
      </c>
    </row>
    <row r="427" spans="5:8" x14ac:dyDescent="0.2">
      <c r="E427" s="49" t="s">
        <v>45</v>
      </c>
      <c r="F427">
        <f t="shared" si="12"/>
        <v>40000</v>
      </c>
      <c r="G427" s="27">
        <v>780</v>
      </c>
      <c r="H427" s="55">
        <f t="shared" si="13"/>
        <v>51.282051282051285</v>
      </c>
    </row>
    <row r="428" spans="5:8" x14ac:dyDescent="0.2">
      <c r="E428" s="48" t="s">
        <v>182</v>
      </c>
      <c r="F428">
        <f t="shared" si="12"/>
        <v>5000</v>
      </c>
      <c r="G428" s="25">
        <v>1180</v>
      </c>
      <c r="H428" s="55">
        <f t="shared" si="13"/>
        <v>4.2372881355932206</v>
      </c>
    </row>
    <row r="429" spans="5:8" x14ac:dyDescent="0.2">
      <c r="E429" s="49" t="s">
        <v>60</v>
      </c>
      <c r="F429">
        <f t="shared" si="12"/>
        <v>60000</v>
      </c>
      <c r="G429" s="27">
        <v>3600</v>
      </c>
      <c r="H429" s="55">
        <f t="shared" si="13"/>
        <v>16.666666666666668</v>
      </c>
    </row>
    <row r="430" spans="5:8" x14ac:dyDescent="0.2">
      <c r="E430" s="48" t="s">
        <v>89</v>
      </c>
      <c r="F430">
        <f t="shared" si="12"/>
        <v>20000</v>
      </c>
      <c r="G430" s="25">
        <v>520</v>
      </c>
      <c r="H430" s="55">
        <f t="shared" si="13"/>
        <v>38.46153846153846</v>
      </c>
    </row>
    <row r="431" spans="5:8" x14ac:dyDescent="0.2">
      <c r="E431" s="49" t="s">
        <v>60</v>
      </c>
      <c r="F431">
        <f t="shared" si="12"/>
        <v>60000</v>
      </c>
      <c r="G431" s="27">
        <v>2080</v>
      </c>
      <c r="H431" s="55">
        <f t="shared" si="13"/>
        <v>28.846153846153847</v>
      </c>
    </row>
    <row r="432" spans="5:8" x14ac:dyDescent="0.2">
      <c r="E432" s="48" t="s">
        <v>45</v>
      </c>
      <c r="F432">
        <f t="shared" si="12"/>
        <v>40000</v>
      </c>
      <c r="G432" s="25">
        <v>390</v>
      </c>
      <c r="H432" s="55">
        <f t="shared" si="13"/>
        <v>102.56410256410257</v>
      </c>
    </row>
    <row r="433" spans="5:8" x14ac:dyDescent="0.2">
      <c r="E433" s="49" t="s">
        <v>45</v>
      </c>
      <c r="F433">
        <f t="shared" si="12"/>
        <v>40000</v>
      </c>
      <c r="G433" s="27">
        <v>4350</v>
      </c>
      <c r="H433" s="55">
        <f t="shared" si="13"/>
        <v>9.1954022988505741</v>
      </c>
    </row>
    <row r="434" spans="5:8" x14ac:dyDescent="0.2">
      <c r="E434" s="48" t="s">
        <v>182</v>
      </c>
      <c r="F434">
        <f t="shared" si="12"/>
        <v>5000</v>
      </c>
      <c r="G434" s="25">
        <v>520</v>
      </c>
      <c r="H434" s="55">
        <f t="shared" si="13"/>
        <v>9.615384615384615</v>
      </c>
    </row>
    <row r="435" spans="5:8" x14ac:dyDescent="0.2">
      <c r="E435" s="49" t="s">
        <v>45</v>
      </c>
      <c r="F435">
        <f t="shared" si="12"/>
        <v>40000</v>
      </c>
      <c r="G435" s="27">
        <v>11430</v>
      </c>
      <c r="H435" s="55">
        <f t="shared" si="13"/>
        <v>3.499562554680665</v>
      </c>
    </row>
    <row r="436" spans="5:8" x14ac:dyDescent="0.2">
      <c r="E436" s="48" t="s">
        <v>45</v>
      </c>
      <c r="F436">
        <f t="shared" si="12"/>
        <v>40000</v>
      </c>
      <c r="G436" s="25">
        <v>900</v>
      </c>
      <c r="H436" s="55">
        <f t="shared" si="13"/>
        <v>44.444444444444443</v>
      </c>
    </row>
    <row r="437" spans="5:8" x14ac:dyDescent="0.2">
      <c r="E437" s="49" t="s">
        <v>45</v>
      </c>
      <c r="F437">
        <f t="shared" si="12"/>
        <v>40000</v>
      </c>
      <c r="G437" s="27">
        <v>910</v>
      </c>
      <c r="H437" s="55">
        <f t="shared" si="13"/>
        <v>43.956043956043956</v>
      </c>
    </row>
    <row r="438" spans="5:8" x14ac:dyDescent="0.2">
      <c r="E438" s="48" t="s">
        <v>182</v>
      </c>
      <c r="F438">
        <f t="shared" si="12"/>
        <v>5000</v>
      </c>
      <c r="G438" s="25">
        <v>1560</v>
      </c>
      <c r="H438" s="55">
        <f t="shared" si="13"/>
        <v>3.2051282051282053</v>
      </c>
    </row>
    <row r="439" spans="5:8" x14ac:dyDescent="0.2">
      <c r="E439" s="49" t="s">
        <v>60</v>
      </c>
      <c r="F439">
        <f t="shared" si="12"/>
        <v>60000</v>
      </c>
      <c r="G439" s="27">
        <v>4160</v>
      </c>
      <c r="H439" s="55">
        <f t="shared" si="13"/>
        <v>14.423076923076923</v>
      </c>
    </row>
    <row r="440" spans="5:8" x14ac:dyDescent="0.2">
      <c r="E440" s="48" t="s">
        <v>182</v>
      </c>
      <c r="F440">
        <f t="shared" si="12"/>
        <v>5000</v>
      </c>
      <c r="G440" s="25">
        <v>520</v>
      </c>
      <c r="H440" s="55">
        <f t="shared" si="13"/>
        <v>9.615384615384615</v>
      </c>
    </row>
    <row r="441" spans="5:8" x14ac:dyDescent="0.2">
      <c r="E441" s="49" t="s">
        <v>45</v>
      </c>
      <c r="F441">
        <f t="shared" si="12"/>
        <v>40000</v>
      </c>
      <c r="G441" s="27">
        <v>1560</v>
      </c>
      <c r="H441" s="55">
        <f t="shared" si="13"/>
        <v>25.641025641025642</v>
      </c>
    </row>
    <row r="442" spans="5:8" x14ac:dyDescent="0.2">
      <c r="E442" s="48" t="s">
        <v>182</v>
      </c>
      <c r="F442">
        <f t="shared" si="12"/>
        <v>5000</v>
      </c>
      <c r="G442" s="25">
        <v>390</v>
      </c>
      <c r="H442" s="55">
        <f t="shared" si="13"/>
        <v>12.820512820512821</v>
      </c>
    </row>
    <row r="443" spans="5:8" x14ac:dyDescent="0.2">
      <c r="E443" s="49" t="s">
        <v>45</v>
      </c>
      <c r="F443">
        <f t="shared" si="12"/>
        <v>40000</v>
      </c>
      <c r="G443" s="27">
        <v>4550</v>
      </c>
      <c r="H443" s="55">
        <f t="shared" si="13"/>
        <v>8.791208791208792</v>
      </c>
    </row>
    <row r="444" spans="5:8" x14ac:dyDescent="0.2">
      <c r="E444" s="48" t="s">
        <v>45</v>
      </c>
      <c r="F444">
        <f t="shared" si="12"/>
        <v>40000</v>
      </c>
      <c r="G444" s="25">
        <v>650</v>
      </c>
      <c r="H444" s="55">
        <f t="shared" si="13"/>
        <v>61.53846153846154</v>
      </c>
    </row>
    <row r="445" spans="5:8" x14ac:dyDescent="0.2">
      <c r="E445" s="49" t="s">
        <v>60</v>
      </c>
      <c r="F445">
        <f t="shared" si="12"/>
        <v>60000</v>
      </c>
      <c r="G445" s="27">
        <v>1430</v>
      </c>
      <c r="H445" s="55">
        <f t="shared" si="13"/>
        <v>41.95804195804196</v>
      </c>
    </row>
    <row r="446" spans="5:8" x14ac:dyDescent="0.2">
      <c r="E446" s="48" t="s">
        <v>45</v>
      </c>
      <c r="F446">
        <f t="shared" si="12"/>
        <v>40000</v>
      </c>
      <c r="G446" s="25">
        <v>1040</v>
      </c>
      <c r="H446" s="55">
        <f t="shared" si="13"/>
        <v>38.46153846153846</v>
      </c>
    </row>
    <row r="447" spans="5:8" x14ac:dyDescent="0.2">
      <c r="E447" s="49" t="s">
        <v>45</v>
      </c>
      <c r="F447">
        <f t="shared" si="12"/>
        <v>40000</v>
      </c>
      <c r="G447" s="27">
        <v>780</v>
      </c>
      <c r="H447" s="55">
        <f t="shared" si="13"/>
        <v>51.282051282051285</v>
      </c>
    </row>
    <row r="448" spans="5:8" x14ac:dyDescent="0.2">
      <c r="E448" s="48" t="s">
        <v>60</v>
      </c>
      <c r="F448">
        <f t="shared" si="12"/>
        <v>60000</v>
      </c>
      <c r="G448" s="25">
        <v>7200</v>
      </c>
      <c r="H448" s="55">
        <f t="shared" si="13"/>
        <v>8.3333333333333339</v>
      </c>
    </row>
    <row r="449" spans="5:8" x14ac:dyDescent="0.2">
      <c r="E449" s="49" t="s">
        <v>182</v>
      </c>
      <c r="F449">
        <f t="shared" si="12"/>
        <v>5000</v>
      </c>
      <c r="G449" s="27">
        <v>1170</v>
      </c>
      <c r="H449" s="55">
        <f t="shared" si="13"/>
        <v>4.2735042735042734</v>
      </c>
    </row>
    <row r="450" spans="5:8" x14ac:dyDescent="0.2">
      <c r="E450" s="48" t="s">
        <v>109</v>
      </c>
      <c r="F450">
        <f t="shared" si="12"/>
        <v>85000</v>
      </c>
      <c r="G450" s="25">
        <v>3250</v>
      </c>
      <c r="H450" s="55">
        <f t="shared" si="13"/>
        <v>26.153846153846153</v>
      </c>
    </row>
    <row r="451" spans="5:8" x14ac:dyDescent="0.2">
      <c r="E451" s="49" t="s">
        <v>45</v>
      </c>
      <c r="F451">
        <f t="shared" ref="F451:F514" si="14">IF(E451="below 10,000",5000, IF(E451="10,000-30,000", 20000, IF(E451="30,000-50,000", 40000, IF(E451="50,000-70,000", 60000, IF(E451="70,000-1,00,000",85000,IF(E451="above 1,00,000",125000," "))))))</f>
        <v>40000</v>
      </c>
      <c r="G451" s="27">
        <v>4550</v>
      </c>
      <c r="H451" s="55">
        <f t="shared" ref="H451:H514" si="15">F451/G451</f>
        <v>8.791208791208792</v>
      </c>
    </row>
    <row r="452" spans="5:8" x14ac:dyDescent="0.2">
      <c r="E452" s="48" t="s">
        <v>89</v>
      </c>
      <c r="F452">
        <f t="shared" si="14"/>
        <v>20000</v>
      </c>
      <c r="G452" s="25">
        <v>520</v>
      </c>
      <c r="H452" s="55">
        <f t="shared" si="15"/>
        <v>38.46153846153846</v>
      </c>
    </row>
    <row r="453" spans="5:8" x14ac:dyDescent="0.2">
      <c r="E453" s="49" t="s">
        <v>182</v>
      </c>
      <c r="F453">
        <f t="shared" si="14"/>
        <v>5000</v>
      </c>
      <c r="G453" s="27">
        <v>1430</v>
      </c>
      <c r="H453" s="55">
        <f t="shared" si="15"/>
        <v>3.4965034965034967</v>
      </c>
    </row>
    <row r="454" spans="5:8" x14ac:dyDescent="0.2">
      <c r="E454" s="48" t="s">
        <v>60</v>
      </c>
      <c r="F454">
        <f t="shared" si="14"/>
        <v>60000</v>
      </c>
      <c r="G454" s="25">
        <v>780</v>
      </c>
      <c r="H454" s="55">
        <f t="shared" si="15"/>
        <v>76.92307692307692</v>
      </c>
    </row>
    <row r="455" spans="5:8" x14ac:dyDescent="0.2">
      <c r="E455" s="49" t="s">
        <v>155</v>
      </c>
      <c r="F455">
        <f t="shared" si="14"/>
        <v>125000</v>
      </c>
      <c r="G455" s="27">
        <v>4100</v>
      </c>
      <c r="H455" s="55">
        <f t="shared" si="15"/>
        <v>30.487804878048781</v>
      </c>
    </row>
    <row r="456" spans="5:8" x14ac:dyDescent="0.2">
      <c r="E456" s="48" t="s">
        <v>89</v>
      </c>
      <c r="F456">
        <f t="shared" si="14"/>
        <v>20000</v>
      </c>
      <c r="G456" s="25">
        <v>910</v>
      </c>
      <c r="H456" s="55">
        <f t="shared" si="15"/>
        <v>21.978021978021978</v>
      </c>
    </row>
    <row r="457" spans="5:8" x14ac:dyDescent="0.2">
      <c r="E457" s="49" t="s">
        <v>45</v>
      </c>
      <c r="F457">
        <f t="shared" si="14"/>
        <v>40000</v>
      </c>
      <c r="G457" s="27">
        <v>910</v>
      </c>
      <c r="H457" s="55">
        <f t="shared" si="15"/>
        <v>43.956043956043956</v>
      </c>
    </row>
    <row r="458" spans="5:8" x14ac:dyDescent="0.2">
      <c r="E458" s="48" t="s">
        <v>89</v>
      </c>
      <c r="F458">
        <f t="shared" si="14"/>
        <v>20000</v>
      </c>
      <c r="G458" s="25">
        <v>1300</v>
      </c>
      <c r="H458" s="55">
        <f t="shared" si="15"/>
        <v>15.384615384615385</v>
      </c>
    </row>
    <row r="459" spans="5:8" x14ac:dyDescent="0.2">
      <c r="E459" s="49" t="s">
        <v>60</v>
      </c>
      <c r="F459">
        <f t="shared" si="14"/>
        <v>60000</v>
      </c>
      <c r="G459" s="27">
        <v>3640</v>
      </c>
      <c r="H459" s="55">
        <f t="shared" si="15"/>
        <v>16.483516483516482</v>
      </c>
    </row>
    <row r="460" spans="5:8" x14ac:dyDescent="0.2">
      <c r="E460" s="48" t="s">
        <v>89</v>
      </c>
      <c r="F460">
        <f t="shared" si="14"/>
        <v>20000</v>
      </c>
      <c r="G460" s="25">
        <v>390</v>
      </c>
      <c r="H460" s="55">
        <f t="shared" si="15"/>
        <v>51.282051282051285</v>
      </c>
    </row>
    <row r="461" spans="5:8" x14ac:dyDescent="0.2">
      <c r="E461" s="49" t="s">
        <v>60</v>
      </c>
      <c r="F461">
        <f t="shared" si="14"/>
        <v>60000</v>
      </c>
      <c r="G461" s="27">
        <v>1820</v>
      </c>
      <c r="H461" s="55">
        <f t="shared" si="15"/>
        <v>32.967032967032964</v>
      </c>
    </row>
    <row r="462" spans="5:8" x14ac:dyDescent="0.2">
      <c r="E462" s="48" t="s">
        <v>89</v>
      </c>
      <c r="F462">
        <f t="shared" si="14"/>
        <v>20000</v>
      </c>
      <c r="G462" s="25">
        <v>520</v>
      </c>
      <c r="H462" s="55">
        <f t="shared" si="15"/>
        <v>38.46153846153846</v>
      </c>
    </row>
    <row r="463" spans="5:8" x14ac:dyDescent="0.2">
      <c r="E463" s="49" t="s">
        <v>109</v>
      </c>
      <c r="F463">
        <f t="shared" si="14"/>
        <v>85000</v>
      </c>
      <c r="G463" s="27">
        <v>3900</v>
      </c>
      <c r="H463" s="55">
        <f t="shared" si="15"/>
        <v>21.794871794871796</v>
      </c>
    </row>
    <row r="464" spans="5:8" x14ac:dyDescent="0.2">
      <c r="E464" s="48" t="s">
        <v>182</v>
      </c>
      <c r="F464">
        <f t="shared" si="14"/>
        <v>5000</v>
      </c>
      <c r="G464" s="25">
        <v>1170</v>
      </c>
      <c r="H464" s="55">
        <f t="shared" si="15"/>
        <v>4.2735042735042734</v>
      </c>
    </row>
    <row r="465" spans="5:8" x14ac:dyDescent="0.2">
      <c r="E465" s="49" t="s">
        <v>45</v>
      </c>
      <c r="F465">
        <f t="shared" si="14"/>
        <v>40000</v>
      </c>
      <c r="G465" s="27">
        <v>780</v>
      </c>
      <c r="H465" s="55">
        <f t="shared" si="15"/>
        <v>51.282051282051285</v>
      </c>
    </row>
    <row r="466" spans="5:8" x14ac:dyDescent="0.2">
      <c r="E466" s="48" t="s">
        <v>45</v>
      </c>
      <c r="F466">
        <f t="shared" si="14"/>
        <v>40000</v>
      </c>
      <c r="G466" s="25">
        <v>910</v>
      </c>
      <c r="H466" s="55">
        <f t="shared" si="15"/>
        <v>43.956043956043956</v>
      </c>
    </row>
    <row r="467" spans="5:8" x14ac:dyDescent="0.2">
      <c r="E467" s="49" t="s">
        <v>45</v>
      </c>
      <c r="F467">
        <f t="shared" si="14"/>
        <v>40000</v>
      </c>
      <c r="G467" s="27">
        <v>650</v>
      </c>
      <c r="H467" s="55">
        <f t="shared" si="15"/>
        <v>61.53846153846154</v>
      </c>
    </row>
    <row r="468" spans="5:8" x14ac:dyDescent="0.2">
      <c r="E468" s="48" t="s">
        <v>182</v>
      </c>
      <c r="F468">
        <f t="shared" si="14"/>
        <v>5000</v>
      </c>
      <c r="G468" s="25">
        <v>1560</v>
      </c>
      <c r="H468" s="55">
        <f t="shared" si="15"/>
        <v>3.2051282051282053</v>
      </c>
    </row>
    <row r="469" spans="5:8" x14ac:dyDescent="0.2">
      <c r="E469" s="49" t="s">
        <v>60</v>
      </c>
      <c r="F469">
        <f t="shared" si="14"/>
        <v>60000</v>
      </c>
      <c r="G469" s="27">
        <v>3510</v>
      </c>
      <c r="H469" s="55">
        <f t="shared" si="15"/>
        <v>17.094017094017094</v>
      </c>
    </row>
    <row r="470" spans="5:8" x14ac:dyDescent="0.2">
      <c r="E470" s="48" t="s">
        <v>89</v>
      </c>
      <c r="F470">
        <f t="shared" si="14"/>
        <v>20000</v>
      </c>
      <c r="G470" s="25">
        <v>390</v>
      </c>
      <c r="H470" s="55">
        <f t="shared" si="15"/>
        <v>51.282051282051285</v>
      </c>
    </row>
    <row r="471" spans="5:8" x14ac:dyDescent="0.2">
      <c r="E471" s="49" t="s">
        <v>60</v>
      </c>
      <c r="F471">
        <f t="shared" si="14"/>
        <v>60000</v>
      </c>
      <c r="G471" s="27">
        <v>2080</v>
      </c>
      <c r="H471" s="55">
        <f t="shared" si="15"/>
        <v>28.846153846153847</v>
      </c>
    </row>
    <row r="472" spans="5:8" x14ac:dyDescent="0.2">
      <c r="E472" s="48" t="s">
        <v>89</v>
      </c>
      <c r="F472">
        <f t="shared" si="14"/>
        <v>20000</v>
      </c>
      <c r="G472" s="25">
        <v>390</v>
      </c>
      <c r="H472" s="55">
        <f t="shared" si="15"/>
        <v>51.282051282051285</v>
      </c>
    </row>
    <row r="473" spans="5:8" x14ac:dyDescent="0.2">
      <c r="E473" s="49" t="s">
        <v>109</v>
      </c>
      <c r="F473">
        <f t="shared" si="14"/>
        <v>85000</v>
      </c>
      <c r="G473" s="27">
        <v>4160</v>
      </c>
      <c r="H473" s="55">
        <f t="shared" si="15"/>
        <v>20.432692307692307</v>
      </c>
    </row>
    <row r="474" spans="5:8" x14ac:dyDescent="0.2">
      <c r="E474" s="48" t="s">
        <v>182</v>
      </c>
      <c r="F474">
        <f t="shared" si="14"/>
        <v>5000</v>
      </c>
      <c r="G474" s="25">
        <v>520</v>
      </c>
      <c r="H474" s="55">
        <f t="shared" si="15"/>
        <v>9.615384615384615</v>
      </c>
    </row>
    <row r="475" spans="5:8" x14ac:dyDescent="0.2">
      <c r="E475" s="49" t="s">
        <v>45</v>
      </c>
      <c r="F475">
        <f t="shared" si="14"/>
        <v>40000</v>
      </c>
      <c r="G475" s="27">
        <v>1430</v>
      </c>
      <c r="H475" s="55">
        <f t="shared" si="15"/>
        <v>27.972027972027973</v>
      </c>
    </row>
    <row r="476" spans="5:8" x14ac:dyDescent="0.2">
      <c r="E476" s="48" t="s">
        <v>45</v>
      </c>
      <c r="F476">
        <f t="shared" si="14"/>
        <v>40000</v>
      </c>
      <c r="G476" s="25">
        <v>910</v>
      </c>
      <c r="H476" s="55">
        <f t="shared" si="15"/>
        <v>43.956043956043956</v>
      </c>
    </row>
    <row r="477" spans="5:8" x14ac:dyDescent="0.2">
      <c r="E477" s="49" t="s">
        <v>45</v>
      </c>
      <c r="F477">
        <f t="shared" si="14"/>
        <v>40000</v>
      </c>
      <c r="G477" s="27">
        <v>650</v>
      </c>
      <c r="H477" s="55">
        <f t="shared" si="15"/>
        <v>61.53846153846154</v>
      </c>
    </row>
    <row r="478" spans="5:8" x14ac:dyDescent="0.2">
      <c r="E478" s="48" t="s">
        <v>182</v>
      </c>
      <c r="F478">
        <f t="shared" si="14"/>
        <v>5000</v>
      </c>
      <c r="G478" s="25">
        <v>1170</v>
      </c>
      <c r="H478" s="55">
        <f t="shared" si="15"/>
        <v>4.2735042735042734</v>
      </c>
    </row>
    <row r="479" spans="5:8" x14ac:dyDescent="0.2">
      <c r="E479" s="49" t="s">
        <v>182</v>
      </c>
      <c r="F479">
        <f t="shared" si="14"/>
        <v>5000</v>
      </c>
      <c r="G479" s="27">
        <v>900</v>
      </c>
      <c r="H479" s="55">
        <f t="shared" si="15"/>
        <v>5.5555555555555554</v>
      </c>
    </row>
    <row r="480" spans="5:8" x14ac:dyDescent="0.2">
      <c r="E480" s="48" t="s">
        <v>60</v>
      </c>
      <c r="F480">
        <f t="shared" si="14"/>
        <v>60000</v>
      </c>
      <c r="G480" s="25">
        <v>3380</v>
      </c>
      <c r="H480" s="55">
        <f t="shared" si="15"/>
        <v>17.751479289940828</v>
      </c>
    </row>
    <row r="481" spans="5:8" x14ac:dyDescent="0.2">
      <c r="E481" s="49" t="s">
        <v>89</v>
      </c>
      <c r="F481">
        <f t="shared" si="14"/>
        <v>20000</v>
      </c>
      <c r="G481" s="27">
        <v>390</v>
      </c>
      <c r="H481" s="55">
        <f t="shared" si="15"/>
        <v>51.282051282051285</v>
      </c>
    </row>
    <row r="482" spans="5:8" x14ac:dyDescent="0.2">
      <c r="E482" s="48" t="s">
        <v>60</v>
      </c>
      <c r="F482">
        <f t="shared" si="14"/>
        <v>60000</v>
      </c>
      <c r="G482" s="25">
        <v>1950</v>
      </c>
      <c r="H482" s="55">
        <f t="shared" si="15"/>
        <v>30.76923076923077</v>
      </c>
    </row>
    <row r="483" spans="5:8" x14ac:dyDescent="0.2">
      <c r="E483" s="49" t="s">
        <v>89</v>
      </c>
      <c r="F483">
        <f t="shared" si="14"/>
        <v>20000</v>
      </c>
      <c r="G483" s="27">
        <v>390</v>
      </c>
      <c r="H483" s="55">
        <f t="shared" si="15"/>
        <v>51.282051282051285</v>
      </c>
    </row>
    <row r="484" spans="5:8" x14ac:dyDescent="0.2">
      <c r="E484" s="48" t="s">
        <v>109</v>
      </c>
      <c r="F484">
        <f t="shared" si="14"/>
        <v>85000</v>
      </c>
      <c r="G484" s="25">
        <v>4350</v>
      </c>
      <c r="H484" s="55">
        <f t="shared" si="15"/>
        <v>19.540229885057471</v>
      </c>
    </row>
    <row r="485" spans="5:8" x14ac:dyDescent="0.2">
      <c r="E485" s="49" t="s">
        <v>182</v>
      </c>
      <c r="F485">
        <f t="shared" si="14"/>
        <v>5000</v>
      </c>
      <c r="G485" s="27">
        <v>520</v>
      </c>
      <c r="H485" s="55">
        <f t="shared" si="15"/>
        <v>9.615384615384615</v>
      </c>
    </row>
    <row r="486" spans="5:8" x14ac:dyDescent="0.2">
      <c r="E486" s="48" t="s">
        <v>45</v>
      </c>
      <c r="F486">
        <f t="shared" si="14"/>
        <v>40000</v>
      </c>
      <c r="G486" s="25">
        <v>1560</v>
      </c>
      <c r="H486" s="55">
        <f t="shared" si="15"/>
        <v>25.641025641025642</v>
      </c>
    </row>
    <row r="487" spans="5:8" x14ac:dyDescent="0.2">
      <c r="E487" s="49" t="s">
        <v>182</v>
      </c>
      <c r="F487">
        <f t="shared" si="14"/>
        <v>5000</v>
      </c>
      <c r="G487" s="27">
        <v>420</v>
      </c>
      <c r="H487" s="55">
        <f t="shared" si="15"/>
        <v>11.904761904761905</v>
      </c>
    </row>
    <row r="488" spans="5:8" x14ac:dyDescent="0.2">
      <c r="E488" s="48" t="s">
        <v>45</v>
      </c>
      <c r="F488">
        <f t="shared" si="14"/>
        <v>40000</v>
      </c>
      <c r="G488" s="25">
        <v>3840</v>
      </c>
      <c r="H488" s="55">
        <f t="shared" si="15"/>
        <v>10.416666666666666</v>
      </c>
    </row>
    <row r="489" spans="5:8" x14ac:dyDescent="0.2">
      <c r="E489" s="49" t="s">
        <v>60</v>
      </c>
      <c r="F489">
        <f t="shared" si="14"/>
        <v>60000</v>
      </c>
      <c r="G489" s="27">
        <v>5400</v>
      </c>
      <c r="H489" s="55">
        <f t="shared" si="15"/>
        <v>11.111111111111111</v>
      </c>
    </row>
    <row r="490" spans="5:8" x14ac:dyDescent="0.2">
      <c r="E490" s="48" t="s">
        <v>45</v>
      </c>
      <c r="F490">
        <f t="shared" si="14"/>
        <v>40000</v>
      </c>
      <c r="G490" s="25">
        <v>880</v>
      </c>
      <c r="H490" s="55">
        <f t="shared" si="15"/>
        <v>45.454545454545453</v>
      </c>
    </row>
    <row r="491" spans="5:8" x14ac:dyDescent="0.2">
      <c r="E491" s="49" t="s">
        <v>60</v>
      </c>
      <c r="F491">
        <f t="shared" si="14"/>
        <v>60000</v>
      </c>
      <c r="G491" s="27">
        <v>2000</v>
      </c>
      <c r="H491" s="55">
        <f t="shared" si="15"/>
        <v>30</v>
      </c>
    </row>
    <row r="492" spans="5:8" x14ac:dyDescent="0.2">
      <c r="E492" s="48" t="s">
        <v>45</v>
      </c>
      <c r="F492">
        <f t="shared" si="14"/>
        <v>40000</v>
      </c>
      <c r="G492" s="25">
        <v>2300</v>
      </c>
      <c r="H492" s="55">
        <f t="shared" si="15"/>
        <v>17.391304347826086</v>
      </c>
    </row>
    <row r="493" spans="5:8" x14ac:dyDescent="0.2">
      <c r="E493" s="49" t="s">
        <v>182</v>
      </c>
      <c r="F493">
        <f t="shared" si="14"/>
        <v>5000</v>
      </c>
      <c r="G493" s="27">
        <v>1000</v>
      </c>
      <c r="H493" s="55">
        <f t="shared" si="15"/>
        <v>5</v>
      </c>
    </row>
    <row r="494" spans="5:8" x14ac:dyDescent="0.2">
      <c r="E494" s="48" t="s">
        <v>60</v>
      </c>
      <c r="F494">
        <f t="shared" si="14"/>
        <v>60000</v>
      </c>
      <c r="G494" s="25">
        <v>2800</v>
      </c>
      <c r="H494" s="55">
        <f t="shared" si="15"/>
        <v>21.428571428571427</v>
      </c>
    </row>
    <row r="495" spans="5:8" x14ac:dyDescent="0.2">
      <c r="E495" s="49" t="s">
        <v>45</v>
      </c>
      <c r="F495">
        <f t="shared" si="14"/>
        <v>40000</v>
      </c>
      <c r="G495" s="27">
        <v>580</v>
      </c>
      <c r="H495" s="55">
        <f t="shared" si="15"/>
        <v>68.965517241379317</v>
      </c>
    </row>
    <row r="496" spans="5:8" x14ac:dyDescent="0.2">
      <c r="E496" s="48" t="s">
        <v>45</v>
      </c>
      <c r="F496">
        <f t="shared" si="14"/>
        <v>40000</v>
      </c>
      <c r="G496" s="25">
        <v>1430</v>
      </c>
      <c r="H496" s="55">
        <f t="shared" si="15"/>
        <v>27.972027972027973</v>
      </c>
    </row>
    <row r="497" spans="5:8" x14ac:dyDescent="0.2">
      <c r="E497" s="49" t="s">
        <v>89</v>
      </c>
      <c r="F497">
        <f t="shared" si="14"/>
        <v>20000</v>
      </c>
      <c r="G497" s="27">
        <v>650</v>
      </c>
      <c r="H497" s="55">
        <f t="shared" si="15"/>
        <v>30.76923076923077</v>
      </c>
    </row>
    <row r="498" spans="5:8" x14ac:dyDescent="0.2">
      <c r="E498" s="48" t="s">
        <v>60</v>
      </c>
      <c r="F498">
        <f t="shared" si="14"/>
        <v>60000</v>
      </c>
      <c r="G498" s="25">
        <v>7800</v>
      </c>
      <c r="H498" s="55">
        <f t="shared" si="15"/>
        <v>7.6923076923076925</v>
      </c>
    </row>
    <row r="499" spans="5:8" x14ac:dyDescent="0.2">
      <c r="E499" s="49" t="s">
        <v>109</v>
      </c>
      <c r="F499">
        <f t="shared" si="14"/>
        <v>85000</v>
      </c>
      <c r="G499" s="27">
        <v>4800</v>
      </c>
      <c r="H499" s="55">
        <f t="shared" si="15"/>
        <v>17.708333333333332</v>
      </c>
    </row>
    <row r="500" spans="5:8" x14ac:dyDescent="0.2">
      <c r="E500" s="48" t="s">
        <v>89</v>
      </c>
      <c r="F500">
        <f t="shared" si="14"/>
        <v>20000</v>
      </c>
      <c r="G500" s="25">
        <v>390</v>
      </c>
      <c r="H500" s="55">
        <f t="shared" si="15"/>
        <v>51.282051282051285</v>
      </c>
    </row>
    <row r="501" spans="5:8" x14ac:dyDescent="0.2">
      <c r="E501" s="49" t="s">
        <v>60</v>
      </c>
      <c r="F501">
        <f t="shared" si="14"/>
        <v>60000</v>
      </c>
      <c r="G501" s="27">
        <v>3500</v>
      </c>
      <c r="H501" s="55">
        <f t="shared" si="15"/>
        <v>17.142857142857142</v>
      </c>
    </row>
    <row r="502" spans="5:8" x14ac:dyDescent="0.2">
      <c r="E502" s="48" t="s">
        <v>182</v>
      </c>
      <c r="F502">
        <f t="shared" si="14"/>
        <v>5000</v>
      </c>
      <c r="G502" s="25">
        <v>1000</v>
      </c>
      <c r="H502" s="55">
        <f t="shared" si="15"/>
        <v>5</v>
      </c>
    </row>
    <row r="503" spans="5:8" x14ac:dyDescent="0.2">
      <c r="E503" s="49" t="s">
        <v>60</v>
      </c>
      <c r="F503">
        <f t="shared" si="14"/>
        <v>60000</v>
      </c>
      <c r="G503" s="27">
        <v>2100</v>
      </c>
      <c r="H503" s="55">
        <f t="shared" si="15"/>
        <v>28.571428571428573</v>
      </c>
    </row>
    <row r="504" spans="5:8" x14ac:dyDescent="0.2">
      <c r="E504" s="48" t="s">
        <v>182</v>
      </c>
      <c r="F504">
        <f t="shared" si="14"/>
        <v>5000</v>
      </c>
      <c r="G504" s="25">
        <v>1170</v>
      </c>
      <c r="H504" s="55">
        <f t="shared" si="15"/>
        <v>4.2735042735042734</v>
      </c>
    </row>
    <row r="505" spans="5:8" x14ac:dyDescent="0.2">
      <c r="E505" s="49" t="s">
        <v>60</v>
      </c>
      <c r="F505">
        <f t="shared" si="14"/>
        <v>60000</v>
      </c>
      <c r="G505" s="27">
        <v>3200</v>
      </c>
      <c r="H505" s="55">
        <f t="shared" si="15"/>
        <v>18.75</v>
      </c>
    </row>
    <row r="506" spans="5:8" x14ac:dyDescent="0.2">
      <c r="E506" s="48" t="s">
        <v>45</v>
      </c>
      <c r="F506">
        <f t="shared" si="14"/>
        <v>40000</v>
      </c>
      <c r="G506" s="25">
        <v>1430</v>
      </c>
      <c r="H506" s="55">
        <f t="shared" si="15"/>
        <v>27.972027972027973</v>
      </c>
    </row>
    <row r="507" spans="5:8" x14ac:dyDescent="0.2">
      <c r="E507" s="49" t="s">
        <v>60</v>
      </c>
      <c r="F507">
        <f t="shared" si="14"/>
        <v>60000</v>
      </c>
      <c r="G507" s="27">
        <v>9300</v>
      </c>
      <c r="H507" s="55">
        <f t="shared" si="15"/>
        <v>6.4516129032258061</v>
      </c>
    </row>
    <row r="508" spans="5:8" x14ac:dyDescent="0.2">
      <c r="E508" s="48" t="s">
        <v>182</v>
      </c>
      <c r="F508">
        <f t="shared" si="14"/>
        <v>5000</v>
      </c>
      <c r="G508" s="25">
        <v>780</v>
      </c>
      <c r="H508" s="55">
        <f t="shared" si="15"/>
        <v>6.4102564102564106</v>
      </c>
    </row>
    <row r="509" spans="5:8" x14ac:dyDescent="0.2">
      <c r="E509" s="49" t="s">
        <v>89</v>
      </c>
      <c r="F509">
        <f t="shared" si="14"/>
        <v>20000</v>
      </c>
      <c r="G509" s="27">
        <v>780</v>
      </c>
      <c r="H509" s="55">
        <f t="shared" si="15"/>
        <v>25.641025641025642</v>
      </c>
    </row>
    <row r="510" spans="5:8" x14ac:dyDescent="0.2">
      <c r="E510" s="48" t="s">
        <v>45</v>
      </c>
      <c r="F510">
        <f t="shared" si="14"/>
        <v>40000</v>
      </c>
      <c r="G510" s="25">
        <v>3600</v>
      </c>
      <c r="H510" s="55">
        <f t="shared" si="15"/>
        <v>11.111111111111111</v>
      </c>
    </row>
    <row r="511" spans="5:8" x14ac:dyDescent="0.2">
      <c r="E511" s="49" t="s">
        <v>45</v>
      </c>
      <c r="F511">
        <f t="shared" si="14"/>
        <v>40000</v>
      </c>
      <c r="G511" s="27">
        <v>3600</v>
      </c>
      <c r="H511" s="55">
        <f t="shared" si="15"/>
        <v>11.111111111111111</v>
      </c>
    </row>
    <row r="512" spans="5:8" x14ac:dyDescent="0.2">
      <c r="E512" s="48" t="s">
        <v>60</v>
      </c>
      <c r="F512">
        <f t="shared" si="14"/>
        <v>60000</v>
      </c>
      <c r="G512" s="25">
        <v>7500</v>
      </c>
      <c r="H512" s="55">
        <f t="shared" si="15"/>
        <v>8</v>
      </c>
    </row>
    <row r="513" spans="5:8" x14ac:dyDescent="0.2">
      <c r="E513" s="49" t="s">
        <v>60</v>
      </c>
      <c r="F513">
        <f t="shared" si="14"/>
        <v>60000</v>
      </c>
      <c r="G513" s="27">
        <v>1200</v>
      </c>
      <c r="H513" s="55">
        <f t="shared" si="15"/>
        <v>50</v>
      </c>
    </row>
    <row r="514" spans="5:8" x14ac:dyDescent="0.2">
      <c r="E514" s="48" t="s">
        <v>89</v>
      </c>
      <c r="F514">
        <f t="shared" si="14"/>
        <v>20000</v>
      </c>
      <c r="G514" s="25">
        <v>430</v>
      </c>
      <c r="H514" s="55">
        <f t="shared" si="15"/>
        <v>46.511627906976742</v>
      </c>
    </row>
    <row r="515" spans="5:8" x14ac:dyDescent="0.2">
      <c r="E515" s="49" t="s">
        <v>45</v>
      </c>
      <c r="F515">
        <f t="shared" ref="F515:F568" si="16">IF(E515="below 10,000",5000, IF(E515="10,000-30,000", 20000, IF(E515="30,000-50,000", 40000, IF(E515="50,000-70,000", 60000, IF(E515="70,000-1,00,000",85000,IF(E515="above 1,00,000",125000," "))))))</f>
        <v>40000</v>
      </c>
      <c r="G515" s="27">
        <v>1000</v>
      </c>
      <c r="H515" s="55">
        <f t="shared" ref="H515:H568" si="17">F515/G515</f>
        <v>40</v>
      </c>
    </row>
    <row r="516" spans="5:8" x14ac:dyDescent="0.2">
      <c r="E516" s="48" t="s">
        <v>45</v>
      </c>
      <c r="F516">
        <f t="shared" si="16"/>
        <v>40000</v>
      </c>
      <c r="G516" s="25">
        <v>1100</v>
      </c>
      <c r="H516" s="55">
        <f t="shared" si="17"/>
        <v>36.363636363636367</v>
      </c>
    </row>
    <row r="517" spans="5:8" x14ac:dyDescent="0.2">
      <c r="E517" s="49" t="s">
        <v>60</v>
      </c>
      <c r="F517">
        <f t="shared" si="16"/>
        <v>60000</v>
      </c>
      <c r="G517" s="27">
        <v>3000</v>
      </c>
      <c r="H517" s="55">
        <f t="shared" si="17"/>
        <v>20</v>
      </c>
    </row>
    <row r="518" spans="5:8" x14ac:dyDescent="0.2">
      <c r="E518" s="48" t="s">
        <v>182</v>
      </c>
      <c r="F518">
        <f t="shared" si="16"/>
        <v>5000</v>
      </c>
      <c r="G518" s="25">
        <v>900</v>
      </c>
      <c r="H518" s="55">
        <f t="shared" si="17"/>
        <v>5.5555555555555554</v>
      </c>
    </row>
    <row r="519" spans="5:8" x14ac:dyDescent="0.2">
      <c r="E519" s="49" t="s">
        <v>60</v>
      </c>
      <c r="F519">
        <f t="shared" si="16"/>
        <v>60000</v>
      </c>
      <c r="G519" s="27">
        <v>1900</v>
      </c>
      <c r="H519" s="55">
        <f t="shared" si="17"/>
        <v>31.578947368421051</v>
      </c>
    </row>
    <row r="520" spans="5:8" x14ac:dyDescent="0.2">
      <c r="E520" s="48" t="s">
        <v>45</v>
      </c>
      <c r="F520">
        <f t="shared" si="16"/>
        <v>40000</v>
      </c>
      <c r="G520" s="25">
        <v>650</v>
      </c>
      <c r="H520" s="55">
        <f t="shared" si="17"/>
        <v>61.53846153846154</v>
      </c>
    </row>
    <row r="521" spans="5:8" x14ac:dyDescent="0.2">
      <c r="E521" s="49" t="s">
        <v>45</v>
      </c>
      <c r="F521">
        <f t="shared" si="16"/>
        <v>40000</v>
      </c>
      <c r="G521" s="27">
        <v>8700</v>
      </c>
      <c r="H521" s="55">
        <f t="shared" si="17"/>
        <v>4.5977011494252871</v>
      </c>
    </row>
    <row r="522" spans="5:8" x14ac:dyDescent="0.2">
      <c r="E522" s="48" t="s">
        <v>60</v>
      </c>
      <c r="F522">
        <f t="shared" si="16"/>
        <v>60000</v>
      </c>
      <c r="G522" s="25">
        <v>3000</v>
      </c>
      <c r="H522" s="55">
        <f t="shared" si="17"/>
        <v>20</v>
      </c>
    </row>
    <row r="523" spans="5:8" x14ac:dyDescent="0.2">
      <c r="E523" s="49" t="s">
        <v>60</v>
      </c>
      <c r="F523">
        <f t="shared" si="16"/>
        <v>60000</v>
      </c>
      <c r="G523" s="27">
        <v>3600</v>
      </c>
      <c r="H523" s="55">
        <f t="shared" si="17"/>
        <v>16.666666666666668</v>
      </c>
    </row>
    <row r="524" spans="5:8" x14ac:dyDescent="0.2">
      <c r="E524" s="48" t="s">
        <v>45</v>
      </c>
      <c r="F524">
        <f t="shared" si="16"/>
        <v>40000</v>
      </c>
      <c r="G524" s="25">
        <v>600</v>
      </c>
      <c r="H524" s="55">
        <f t="shared" si="17"/>
        <v>66.666666666666671</v>
      </c>
    </row>
    <row r="525" spans="5:8" x14ac:dyDescent="0.2">
      <c r="E525" s="49" t="s">
        <v>45</v>
      </c>
      <c r="F525">
        <f t="shared" si="16"/>
        <v>40000</v>
      </c>
      <c r="G525" s="27">
        <v>1300</v>
      </c>
      <c r="H525" s="55">
        <f t="shared" si="17"/>
        <v>30.76923076923077</v>
      </c>
    </row>
    <row r="526" spans="5:8" x14ac:dyDescent="0.2">
      <c r="E526" s="48" t="s">
        <v>109</v>
      </c>
      <c r="F526">
        <f t="shared" si="16"/>
        <v>85000</v>
      </c>
      <c r="G526" s="25">
        <v>3000</v>
      </c>
      <c r="H526" s="55">
        <f t="shared" si="17"/>
        <v>28.333333333333332</v>
      </c>
    </row>
    <row r="527" spans="5:8" x14ac:dyDescent="0.2">
      <c r="E527" s="49" t="s">
        <v>182</v>
      </c>
      <c r="F527">
        <f t="shared" si="16"/>
        <v>5000</v>
      </c>
      <c r="G527" s="27">
        <v>980</v>
      </c>
      <c r="H527" s="55">
        <f t="shared" si="17"/>
        <v>5.1020408163265305</v>
      </c>
    </row>
    <row r="528" spans="5:8" x14ac:dyDescent="0.2">
      <c r="E528" s="48" t="s">
        <v>45</v>
      </c>
      <c r="F528">
        <f t="shared" si="16"/>
        <v>40000</v>
      </c>
      <c r="G528" s="25">
        <v>910</v>
      </c>
      <c r="H528" s="55">
        <f t="shared" si="17"/>
        <v>43.956043956043956</v>
      </c>
    </row>
    <row r="529" spans="5:8" x14ac:dyDescent="0.2">
      <c r="E529" s="49" t="s">
        <v>60</v>
      </c>
      <c r="F529">
        <f t="shared" si="16"/>
        <v>60000</v>
      </c>
      <c r="G529" s="27">
        <v>2300</v>
      </c>
      <c r="H529" s="55">
        <f t="shared" si="17"/>
        <v>26.086956521739129</v>
      </c>
    </row>
    <row r="530" spans="5:8" x14ac:dyDescent="0.2">
      <c r="E530" s="48" t="s">
        <v>45</v>
      </c>
      <c r="F530">
        <f t="shared" si="16"/>
        <v>40000</v>
      </c>
      <c r="G530" s="25">
        <v>2300</v>
      </c>
      <c r="H530" s="55">
        <f t="shared" si="17"/>
        <v>17.391304347826086</v>
      </c>
    </row>
    <row r="531" spans="5:8" x14ac:dyDescent="0.2">
      <c r="E531" s="49" t="s">
        <v>89</v>
      </c>
      <c r="F531">
        <f t="shared" si="16"/>
        <v>20000</v>
      </c>
      <c r="G531" s="27">
        <v>630</v>
      </c>
      <c r="H531" s="55">
        <f t="shared" si="17"/>
        <v>31.746031746031747</v>
      </c>
    </row>
    <row r="532" spans="5:8" x14ac:dyDescent="0.2">
      <c r="E532" s="48" t="s">
        <v>45</v>
      </c>
      <c r="F532">
        <f t="shared" si="16"/>
        <v>40000</v>
      </c>
      <c r="G532" s="25">
        <v>1820</v>
      </c>
      <c r="H532" s="55">
        <f t="shared" si="17"/>
        <v>21.978021978021978</v>
      </c>
    </row>
    <row r="533" spans="5:8" x14ac:dyDescent="0.2">
      <c r="E533" s="49" t="s">
        <v>60</v>
      </c>
      <c r="F533">
        <f t="shared" si="16"/>
        <v>60000</v>
      </c>
      <c r="G533" s="27">
        <v>3900</v>
      </c>
      <c r="H533" s="55">
        <f t="shared" si="17"/>
        <v>15.384615384615385</v>
      </c>
    </row>
    <row r="534" spans="5:8" x14ac:dyDescent="0.2">
      <c r="E534" s="48" t="s">
        <v>45</v>
      </c>
      <c r="F534">
        <f t="shared" si="16"/>
        <v>40000</v>
      </c>
      <c r="G534" s="25">
        <v>780</v>
      </c>
      <c r="H534" s="55">
        <f t="shared" si="17"/>
        <v>51.282051282051285</v>
      </c>
    </row>
    <row r="535" spans="5:8" x14ac:dyDescent="0.2">
      <c r="E535" s="49" t="s">
        <v>45</v>
      </c>
      <c r="F535">
        <f t="shared" si="16"/>
        <v>40000</v>
      </c>
      <c r="G535" s="27">
        <v>3200</v>
      </c>
      <c r="H535" s="55">
        <f t="shared" si="17"/>
        <v>12.5</v>
      </c>
    </row>
    <row r="536" spans="5:8" x14ac:dyDescent="0.2">
      <c r="E536" s="48" t="s">
        <v>45</v>
      </c>
      <c r="F536">
        <f t="shared" si="16"/>
        <v>40000</v>
      </c>
      <c r="G536" s="25">
        <v>6700</v>
      </c>
      <c r="H536" s="55">
        <f t="shared" si="17"/>
        <v>5.9701492537313436</v>
      </c>
    </row>
    <row r="537" spans="5:8" x14ac:dyDescent="0.2">
      <c r="E537" s="49" t="s">
        <v>182</v>
      </c>
      <c r="F537">
        <f t="shared" si="16"/>
        <v>5000</v>
      </c>
      <c r="G537" s="27">
        <v>780</v>
      </c>
      <c r="H537" s="55">
        <f t="shared" si="17"/>
        <v>6.4102564102564106</v>
      </c>
    </row>
    <row r="538" spans="5:8" x14ac:dyDescent="0.2">
      <c r="E538" s="48" t="s">
        <v>155</v>
      </c>
      <c r="F538">
        <f t="shared" si="16"/>
        <v>125000</v>
      </c>
      <c r="G538" s="25">
        <v>3900</v>
      </c>
      <c r="H538" s="55">
        <f t="shared" si="17"/>
        <v>32.051282051282051</v>
      </c>
    </row>
    <row r="539" spans="5:8" x14ac:dyDescent="0.2">
      <c r="E539" s="49" t="s">
        <v>109</v>
      </c>
      <c r="F539">
        <f t="shared" si="16"/>
        <v>85000</v>
      </c>
      <c r="G539" s="27">
        <v>3520</v>
      </c>
      <c r="H539" s="55">
        <f t="shared" si="17"/>
        <v>24.147727272727273</v>
      </c>
    </row>
    <row r="540" spans="5:8" x14ac:dyDescent="0.2">
      <c r="E540" s="48" t="s">
        <v>89</v>
      </c>
      <c r="F540">
        <f t="shared" si="16"/>
        <v>20000</v>
      </c>
      <c r="G540" s="25">
        <v>1049</v>
      </c>
      <c r="H540" s="55">
        <f t="shared" si="17"/>
        <v>19.065776930409914</v>
      </c>
    </row>
    <row r="541" spans="5:8" x14ac:dyDescent="0.2">
      <c r="E541" s="49" t="s">
        <v>89</v>
      </c>
      <c r="F541">
        <f t="shared" si="16"/>
        <v>20000</v>
      </c>
      <c r="G541" s="27">
        <v>530</v>
      </c>
      <c r="H541" s="55">
        <f t="shared" si="17"/>
        <v>37.735849056603776</v>
      </c>
    </row>
    <row r="542" spans="5:8" x14ac:dyDescent="0.2">
      <c r="E542" s="48" t="s">
        <v>109</v>
      </c>
      <c r="F542">
        <f t="shared" si="16"/>
        <v>85000</v>
      </c>
      <c r="G542" s="25">
        <v>4890</v>
      </c>
      <c r="H542" s="55">
        <f t="shared" si="17"/>
        <v>17.382413087934559</v>
      </c>
    </row>
    <row r="543" spans="5:8" x14ac:dyDescent="0.2">
      <c r="E543" s="49" t="s">
        <v>60</v>
      </c>
      <c r="F543">
        <f t="shared" si="16"/>
        <v>60000</v>
      </c>
      <c r="G543" s="27">
        <v>1180</v>
      </c>
      <c r="H543" s="55">
        <f t="shared" si="17"/>
        <v>50.847457627118644</v>
      </c>
    </row>
    <row r="544" spans="5:8" x14ac:dyDescent="0.2">
      <c r="E544" s="48" t="s">
        <v>60</v>
      </c>
      <c r="F544">
        <f t="shared" si="16"/>
        <v>60000</v>
      </c>
      <c r="G544" s="25">
        <v>8100</v>
      </c>
      <c r="H544" s="55">
        <f t="shared" si="17"/>
        <v>7.4074074074074074</v>
      </c>
    </row>
    <row r="545" spans="5:8" x14ac:dyDescent="0.2">
      <c r="E545" s="49" t="s">
        <v>155</v>
      </c>
      <c r="F545">
        <f t="shared" si="16"/>
        <v>125000</v>
      </c>
      <c r="G545" s="27">
        <v>2600</v>
      </c>
      <c r="H545" s="55">
        <f t="shared" si="17"/>
        <v>48.07692307692308</v>
      </c>
    </row>
    <row r="546" spans="5:8" x14ac:dyDescent="0.2">
      <c r="E546" s="48" t="s">
        <v>182</v>
      </c>
      <c r="F546">
        <f t="shared" si="16"/>
        <v>5000</v>
      </c>
      <c r="G546" s="25">
        <v>3000</v>
      </c>
      <c r="H546" s="55">
        <f t="shared" si="17"/>
        <v>1.6666666666666667</v>
      </c>
    </row>
    <row r="547" spans="5:8" x14ac:dyDescent="0.2">
      <c r="E547" s="49" t="s">
        <v>89</v>
      </c>
      <c r="F547">
        <f t="shared" si="16"/>
        <v>20000</v>
      </c>
      <c r="G547" s="29">
        <v>555</v>
      </c>
      <c r="H547" s="55">
        <f t="shared" si="17"/>
        <v>36.036036036036037</v>
      </c>
    </row>
    <row r="548" spans="5:8" x14ac:dyDescent="0.2">
      <c r="E548" s="48" t="s">
        <v>182</v>
      </c>
      <c r="F548">
        <f t="shared" si="16"/>
        <v>5000</v>
      </c>
      <c r="G548" s="28">
        <v>650</v>
      </c>
      <c r="H548" s="55">
        <f t="shared" si="17"/>
        <v>7.6923076923076925</v>
      </c>
    </row>
    <row r="549" spans="5:8" x14ac:dyDescent="0.2">
      <c r="E549" s="49" t="s">
        <v>182</v>
      </c>
      <c r="F549">
        <f t="shared" si="16"/>
        <v>5000</v>
      </c>
      <c r="G549" s="29">
        <v>750</v>
      </c>
      <c r="H549" s="55">
        <f t="shared" si="17"/>
        <v>6.666666666666667</v>
      </c>
    </row>
    <row r="550" spans="5:8" x14ac:dyDescent="0.2">
      <c r="E550" s="48" t="s">
        <v>182</v>
      </c>
      <c r="F550">
        <f t="shared" si="16"/>
        <v>5000</v>
      </c>
      <c r="G550" s="28">
        <v>950</v>
      </c>
      <c r="H550" s="55">
        <f t="shared" si="17"/>
        <v>5.2631578947368425</v>
      </c>
    </row>
    <row r="551" spans="5:8" x14ac:dyDescent="0.2">
      <c r="E551" s="49" t="s">
        <v>89</v>
      </c>
      <c r="F551">
        <f t="shared" si="16"/>
        <v>20000</v>
      </c>
      <c r="G551" s="29">
        <v>1000</v>
      </c>
      <c r="H551" s="55">
        <f t="shared" si="17"/>
        <v>20</v>
      </c>
    </row>
    <row r="552" spans="5:8" x14ac:dyDescent="0.2">
      <c r="E552" s="48" t="s">
        <v>182</v>
      </c>
      <c r="F552">
        <f t="shared" si="16"/>
        <v>5000</v>
      </c>
      <c r="G552" s="25">
        <v>3000</v>
      </c>
      <c r="H552" s="55">
        <f t="shared" si="17"/>
        <v>1.6666666666666667</v>
      </c>
    </row>
    <row r="553" spans="5:8" x14ac:dyDescent="0.2">
      <c r="E553" s="49" t="s">
        <v>182</v>
      </c>
      <c r="F553">
        <f t="shared" si="16"/>
        <v>5000</v>
      </c>
      <c r="G553" s="29">
        <v>1000</v>
      </c>
      <c r="H553" s="55">
        <f t="shared" si="17"/>
        <v>5</v>
      </c>
    </row>
    <row r="554" spans="5:8" x14ac:dyDescent="0.2">
      <c r="E554" s="48" t="s">
        <v>182</v>
      </c>
      <c r="F554">
        <f t="shared" si="16"/>
        <v>5000</v>
      </c>
      <c r="G554" s="28">
        <v>750</v>
      </c>
      <c r="H554" s="55">
        <f t="shared" si="17"/>
        <v>6.666666666666667</v>
      </c>
    </row>
    <row r="555" spans="5:8" x14ac:dyDescent="0.2">
      <c r="E555" s="49" t="s">
        <v>182</v>
      </c>
      <c r="F555">
        <f t="shared" si="16"/>
        <v>5000</v>
      </c>
      <c r="G555" s="29">
        <v>950</v>
      </c>
      <c r="H555" s="55">
        <f t="shared" si="17"/>
        <v>5.2631578947368425</v>
      </c>
    </row>
    <row r="556" spans="5:8" x14ac:dyDescent="0.2">
      <c r="E556" s="48" t="s">
        <v>45</v>
      </c>
      <c r="F556">
        <f t="shared" si="16"/>
        <v>40000</v>
      </c>
      <c r="G556" s="25">
        <v>2600</v>
      </c>
      <c r="H556" s="55">
        <f t="shared" si="17"/>
        <v>15.384615384615385</v>
      </c>
    </row>
    <row r="557" spans="5:8" x14ac:dyDescent="0.2">
      <c r="E557" s="49" t="s">
        <v>45</v>
      </c>
      <c r="F557">
        <f t="shared" si="16"/>
        <v>40000</v>
      </c>
      <c r="G557" s="27">
        <v>8100</v>
      </c>
      <c r="H557" s="55">
        <f t="shared" si="17"/>
        <v>4.9382716049382713</v>
      </c>
    </row>
    <row r="558" spans="5:8" x14ac:dyDescent="0.2">
      <c r="E558" s="48" t="s">
        <v>45</v>
      </c>
      <c r="F558">
        <f t="shared" si="16"/>
        <v>40000</v>
      </c>
      <c r="G558" s="25">
        <v>1170</v>
      </c>
      <c r="H558" s="55">
        <f t="shared" si="17"/>
        <v>34.188034188034187</v>
      </c>
    </row>
    <row r="559" spans="5:8" x14ac:dyDescent="0.2">
      <c r="E559" s="49" t="s">
        <v>45</v>
      </c>
      <c r="F559">
        <f t="shared" si="16"/>
        <v>40000</v>
      </c>
      <c r="G559" s="27">
        <v>4480</v>
      </c>
      <c r="H559" s="55">
        <f t="shared" si="17"/>
        <v>8.9285714285714288</v>
      </c>
    </row>
    <row r="560" spans="5:8" x14ac:dyDescent="0.2">
      <c r="E560" s="48" t="s">
        <v>60</v>
      </c>
      <c r="F560">
        <f t="shared" si="16"/>
        <v>60000</v>
      </c>
      <c r="G560" s="25">
        <v>3510</v>
      </c>
      <c r="H560" s="55">
        <f t="shared" si="17"/>
        <v>17.094017094017094</v>
      </c>
    </row>
    <row r="561" spans="5:8" x14ac:dyDescent="0.2">
      <c r="E561" s="49" t="s">
        <v>89</v>
      </c>
      <c r="F561">
        <f t="shared" si="16"/>
        <v>20000</v>
      </c>
      <c r="G561" s="27">
        <v>520</v>
      </c>
      <c r="H561" s="55">
        <f t="shared" si="17"/>
        <v>38.46153846153846</v>
      </c>
    </row>
    <row r="562" spans="5:8" x14ac:dyDescent="0.2">
      <c r="E562" s="48" t="s">
        <v>60</v>
      </c>
      <c r="F562">
        <f t="shared" si="16"/>
        <v>60000</v>
      </c>
      <c r="G562" s="25">
        <v>7200</v>
      </c>
      <c r="H562" s="55">
        <f t="shared" si="17"/>
        <v>8.3333333333333339</v>
      </c>
    </row>
    <row r="563" spans="5:8" x14ac:dyDescent="0.2">
      <c r="E563" s="49" t="s">
        <v>45</v>
      </c>
      <c r="F563">
        <f t="shared" si="16"/>
        <v>40000</v>
      </c>
      <c r="G563" s="27">
        <v>1560</v>
      </c>
      <c r="H563" s="55">
        <f t="shared" si="17"/>
        <v>25.641025641025642</v>
      </c>
    </row>
    <row r="564" spans="5:8" x14ac:dyDescent="0.2">
      <c r="E564" s="48" t="s">
        <v>89</v>
      </c>
      <c r="F564">
        <f t="shared" si="16"/>
        <v>20000</v>
      </c>
      <c r="G564" s="25">
        <v>520</v>
      </c>
      <c r="H564" s="55">
        <f t="shared" si="17"/>
        <v>38.46153846153846</v>
      </c>
    </row>
    <row r="565" spans="5:8" x14ac:dyDescent="0.2">
      <c r="E565" s="49" t="s">
        <v>45</v>
      </c>
      <c r="F565">
        <f t="shared" si="16"/>
        <v>40000</v>
      </c>
      <c r="G565" s="27">
        <v>1180</v>
      </c>
      <c r="H565" s="55">
        <f t="shared" si="17"/>
        <v>33.898305084745765</v>
      </c>
    </row>
    <row r="566" spans="5:8" x14ac:dyDescent="0.2">
      <c r="E566" s="48" t="s">
        <v>45</v>
      </c>
      <c r="F566">
        <f t="shared" si="16"/>
        <v>40000</v>
      </c>
      <c r="G566" s="25">
        <v>6600</v>
      </c>
      <c r="H566" s="55">
        <f t="shared" si="17"/>
        <v>6.0606060606060606</v>
      </c>
    </row>
    <row r="567" spans="5:8" x14ac:dyDescent="0.2">
      <c r="E567" s="49" t="s">
        <v>45</v>
      </c>
      <c r="F567">
        <f t="shared" si="16"/>
        <v>40000</v>
      </c>
      <c r="G567" s="27">
        <v>680</v>
      </c>
      <c r="H567" s="55">
        <f t="shared" si="17"/>
        <v>58.823529411764703</v>
      </c>
    </row>
    <row r="568" spans="5:8" x14ac:dyDescent="0.2">
      <c r="E568" s="48" t="s">
        <v>60</v>
      </c>
      <c r="F568">
        <f t="shared" si="16"/>
        <v>60000</v>
      </c>
      <c r="G568" s="25">
        <v>2000</v>
      </c>
      <c r="H568" s="55">
        <f t="shared" si="17"/>
        <v>30</v>
      </c>
    </row>
  </sheetData>
  <conditionalFormatting sqref="E1:E568 F1">
    <cfRule type="containsBlanks" dxfId="38" priority="3">
      <formula>LEN(TRIM(E1))=0</formula>
    </cfRule>
  </conditionalFormatting>
  <conditionalFormatting sqref="G1:G568">
    <cfRule type="containsBlanks" dxfId="37" priority="2">
      <formula>LEN(TRIM(G1))=0</formula>
    </cfRule>
  </conditionalFormatting>
  <conditionalFormatting sqref="H1">
    <cfRule type="containsBlanks" dxfId="36" priority="1">
      <formula>LEN(TRIM(H1))=0</formula>
    </cfRule>
  </conditionalFormatting>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568"/>
  <sheetViews>
    <sheetView workbookViewId="0">
      <selection activeCell="C3" sqref="C3"/>
    </sheetView>
  </sheetViews>
  <sheetFormatPr defaultRowHeight="12.75" x14ac:dyDescent="0.2"/>
  <cols>
    <col min="1" max="1" width="17.140625" customWidth="1"/>
    <col min="2" max="2" width="18.140625" style="55" customWidth="1"/>
    <col min="3" max="3" width="15.85546875" customWidth="1"/>
    <col min="4" max="4" width="11.85546875" customWidth="1"/>
    <col min="5" max="5" width="11.42578125" customWidth="1"/>
    <col min="6" max="6" width="10.140625" customWidth="1"/>
    <col min="7" max="7" width="14.7109375" customWidth="1"/>
    <col min="8" max="8" width="12.85546875" customWidth="1"/>
    <col min="9" max="9" width="12.5703125" customWidth="1"/>
    <col min="11" max="11" width="11.7109375" customWidth="1"/>
    <col min="12" max="12" width="16.85546875" customWidth="1"/>
  </cols>
  <sheetData>
    <row r="1" spans="1:13" ht="39" thickBot="1" x14ac:dyDescent="0.25">
      <c r="A1" s="127" t="s">
        <v>1477</v>
      </c>
      <c r="B1" s="66" t="s">
        <v>1543</v>
      </c>
      <c r="C1" s="132" t="s">
        <v>1463</v>
      </c>
      <c r="D1" s="66" t="s">
        <v>1462</v>
      </c>
      <c r="E1" s="17" t="s">
        <v>1479</v>
      </c>
    </row>
    <row r="2" spans="1:13" ht="13.5" thickTop="1" x14ac:dyDescent="0.2">
      <c r="A2" s="128">
        <v>3000</v>
      </c>
      <c r="B2" s="55">
        <v>5000</v>
      </c>
      <c r="C2" s="133">
        <v>1</v>
      </c>
      <c r="D2" s="51">
        <v>4</v>
      </c>
      <c r="E2" s="25">
        <v>11</v>
      </c>
    </row>
    <row r="3" spans="1:13" ht="18.75" x14ac:dyDescent="0.3">
      <c r="A3" s="129">
        <v>9200</v>
      </c>
      <c r="B3" s="55">
        <v>20000</v>
      </c>
      <c r="C3" s="134">
        <v>2</v>
      </c>
      <c r="D3" s="65">
        <v>4</v>
      </c>
      <c r="E3" s="27">
        <v>11</v>
      </c>
      <c r="G3" s="142" t="s">
        <v>1667</v>
      </c>
      <c r="H3" s="53"/>
    </row>
    <row r="4" spans="1:13" ht="54" x14ac:dyDescent="0.25">
      <c r="A4" s="128">
        <v>1000</v>
      </c>
      <c r="B4" s="55">
        <v>20000</v>
      </c>
      <c r="C4" s="133">
        <v>1</v>
      </c>
      <c r="D4" s="51">
        <v>6</v>
      </c>
      <c r="E4" s="25">
        <v>14</v>
      </c>
      <c r="G4" s="186"/>
      <c r="H4" s="187" t="s">
        <v>1477</v>
      </c>
      <c r="I4" s="187" t="s">
        <v>1543</v>
      </c>
      <c r="J4" s="187" t="s">
        <v>1463</v>
      </c>
      <c r="K4" s="187" t="s">
        <v>1462</v>
      </c>
      <c r="L4" s="187" t="s">
        <v>1479</v>
      </c>
    </row>
    <row r="5" spans="1:13" ht="38.25" x14ac:dyDescent="0.2">
      <c r="A5" s="129">
        <v>1000</v>
      </c>
      <c r="B5" s="55">
        <v>20000</v>
      </c>
      <c r="C5" s="134">
        <v>1</v>
      </c>
      <c r="D5" s="65">
        <v>5</v>
      </c>
      <c r="E5" s="27">
        <v>10</v>
      </c>
      <c r="G5" s="188" t="s">
        <v>1477</v>
      </c>
      <c r="H5" s="185">
        <v>1</v>
      </c>
      <c r="I5" s="185"/>
      <c r="J5" s="185"/>
      <c r="K5" s="185"/>
      <c r="L5" s="185"/>
    </row>
    <row r="6" spans="1:13" ht="25.5" customHeight="1" x14ac:dyDescent="0.2">
      <c r="A6" s="128">
        <v>10000</v>
      </c>
      <c r="B6" s="55">
        <v>40000</v>
      </c>
      <c r="C6" s="133">
        <v>3</v>
      </c>
      <c r="D6" s="51">
        <v>5</v>
      </c>
      <c r="E6" s="25">
        <v>15</v>
      </c>
      <c r="G6" s="188" t="s">
        <v>1543</v>
      </c>
      <c r="H6" s="185">
        <v>0.51836595776042127</v>
      </c>
      <c r="I6" s="185">
        <v>1</v>
      </c>
      <c r="J6" s="185"/>
      <c r="K6" s="185"/>
      <c r="L6" s="185"/>
    </row>
    <row r="7" spans="1:13" ht="25.5" x14ac:dyDescent="0.2">
      <c r="A7" s="129">
        <v>1200</v>
      </c>
      <c r="B7" s="55">
        <v>5000</v>
      </c>
      <c r="C7" s="134">
        <v>1</v>
      </c>
      <c r="D7" s="65">
        <v>3</v>
      </c>
      <c r="E7" s="27">
        <v>6</v>
      </c>
      <c r="G7" s="188" t="s">
        <v>1463</v>
      </c>
      <c r="H7" s="185">
        <v>0.66581182066300981</v>
      </c>
      <c r="I7" s="185">
        <v>0.46101979060887649</v>
      </c>
      <c r="J7" s="185">
        <v>1</v>
      </c>
      <c r="K7" s="185"/>
      <c r="L7" s="185"/>
    </row>
    <row r="8" spans="1:13" ht="25.5" x14ac:dyDescent="0.2">
      <c r="A8" s="128">
        <v>1000</v>
      </c>
      <c r="B8" s="55">
        <v>40000</v>
      </c>
      <c r="C8" s="133">
        <v>2</v>
      </c>
      <c r="D8" s="51">
        <v>2</v>
      </c>
      <c r="E8" s="25">
        <v>21</v>
      </c>
      <c r="G8" s="188" t="s">
        <v>1462</v>
      </c>
      <c r="H8" s="185">
        <v>0.19622134749707534</v>
      </c>
      <c r="I8" s="185">
        <v>-5.0742783762046301E-2</v>
      </c>
      <c r="J8" s="185">
        <v>0.22370946962816479</v>
      </c>
      <c r="K8" s="185">
        <v>1</v>
      </c>
      <c r="L8" s="185"/>
    </row>
    <row r="9" spans="1:13" ht="25.5" x14ac:dyDescent="0.2">
      <c r="A9" s="129">
        <v>3000</v>
      </c>
      <c r="B9" s="55">
        <v>20000</v>
      </c>
      <c r="C9" s="134">
        <v>1</v>
      </c>
      <c r="D9" s="65">
        <v>6</v>
      </c>
      <c r="E9" s="27">
        <v>18</v>
      </c>
      <c r="G9" s="188" t="s">
        <v>1479</v>
      </c>
      <c r="H9" s="185">
        <v>0.37367665684704776</v>
      </c>
      <c r="I9" s="185">
        <v>0.37706352252498565</v>
      </c>
      <c r="J9" s="185">
        <v>0.32912174577710562</v>
      </c>
      <c r="K9" s="185">
        <v>-4.1903343568345949E-2</v>
      </c>
      <c r="L9" s="185">
        <v>1</v>
      </c>
    </row>
    <row r="10" spans="1:13" x14ac:dyDescent="0.2">
      <c r="A10" s="128">
        <v>1500</v>
      </c>
      <c r="B10" s="55">
        <v>40000</v>
      </c>
      <c r="C10" s="133">
        <v>1</v>
      </c>
      <c r="D10" s="51">
        <v>3</v>
      </c>
      <c r="E10" s="25">
        <v>7</v>
      </c>
    </row>
    <row r="11" spans="1:13" ht="15.75" x14ac:dyDescent="0.25">
      <c r="A11" s="129">
        <v>9500</v>
      </c>
      <c r="B11" s="55">
        <v>125000</v>
      </c>
      <c r="C11" s="134">
        <v>2</v>
      </c>
      <c r="D11" s="65">
        <v>4</v>
      </c>
      <c r="E11" s="27">
        <v>20</v>
      </c>
      <c r="G11" s="189" t="s">
        <v>1759</v>
      </c>
      <c r="H11" s="190"/>
    </row>
    <row r="12" spans="1:13" x14ac:dyDescent="0.2">
      <c r="A12" s="128">
        <v>1500</v>
      </c>
      <c r="B12" s="55">
        <v>5000</v>
      </c>
      <c r="C12" s="133">
        <v>1</v>
      </c>
      <c r="D12" s="51">
        <v>3</v>
      </c>
      <c r="E12" s="25">
        <v>5</v>
      </c>
      <c r="G12" s="155" t="s">
        <v>1760</v>
      </c>
      <c r="H12" s="155" t="s">
        <v>1761</v>
      </c>
      <c r="I12" s="155" t="s">
        <v>1762</v>
      </c>
    </row>
    <row r="13" spans="1:13" ht="38.25" x14ac:dyDescent="0.2">
      <c r="A13" s="129">
        <v>8000</v>
      </c>
      <c r="B13" s="55">
        <v>40000</v>
      </c>
      <c r="C13" s="134">
        <v>2</v>
      </c>
      <c r="D13" s="65">
        <v>5</v>
      </c>
      <c r="E13" s="27">
        <v>14</v>
      </c>
      <c r="G13" s="92" t="s">
        <v>1763</v>
      </c>
      <c r="H13" s="191">
        <v>1</v>
      </c>
      <c r="I13" s="136" t="s">
        <v>1776</v>
      </c>
      <c r="J13" s="138"/>
      <c r="K13" s="138"/>
      <c r="L13" s="138"/>
      <c r="M13" s="138"/>
    </row>
    <row r="14" spans="1:13" ht="38.25" x14ac:dyDescent="0.2">
      <c r="A14" s="128">
        <v>6800</v>
      </c>
      <c r="B14" s="55">
        <v>60000</v>
      </c>
      <c r="C14" s="133">
        <v>2</v>
      </c>
      <c r="D14" s="51">
        <v>4</v>
      </c>
      <c r="E14" s="25">
        <v>10</v>
      </c>
      <c r="G14" s="92" t="s">
        <v>1764</v>
      </c>
      <c r="H14" s="178" t="s">
        <v>1775</v>
      </c>
      <c r="I14" s="192" t="s">
        <v>1777</v>
      </c>
      <c r="J14" s="79"/>
      <c r="K14" s="79"/>
      <c r="L14" s="79"/>
      <c r="M14" s="79"/>
    </row>
    <row r="15" spans="1:13" ht="38.25" x14ac:dyDescent="0.2">
      <c r="A15" s="129">
        <v>9000</v>
      </c>
      <c r="B15" s="55">
        <v>60000</v>
      </c>
      <c r="C15" s="134">
        <v>2</v>
      </c>
      <c r="D15" s="65">
        <v>4</v>
      </c>
      <c r="E15" s="27">
        <v>18</v>
      </c>
      <c r="G15" s="92" t="s">
        <v>1765</v>
      </c>
      <c r="H15" s="177" t="s">
        <v>1774</v>
      </c>
      <c r="I15" s="192" t="s">
        <v>1778</v>
      </c>
      <c r="J15" s="79"/>
      <c r="K15" s="79"/>
      <c r="L15" s="79"/>
      <c r="M15" s="79"/>
    </row>
    <row r="16" spans="1:13" ht="25.5" x14ac:dyDescent="0.2">
      <c r="A16" s="128">
        <v>9000</v>
      </c>
      <c r="B16" s="55">
        <v>40000</v>
      </c>
      <c r="C16" s="133">
        <v>3</v>
      </c>
      <c r="D16" s="51">
        <v>5</v>
      </c>
      <c r="E16" s="25">
        <v>15</v>
      </c>
      <c r="G16" s="92" t="s">
        <v>1766</v>
      </c>
      <c r="H16" s="177" t="s">
        <v>1773</v>
      </c>
      <c r="I16" s="192" t="s">
        <v>1779</v>
      </c>
      <c r="J16" s="79"/>
      <c r="K16" s="79"/>
      <c r="L16" s="79"/>
      <c r="M16" s="79"/>
    </row>
    <row r="17" spans="1:13" ht="38.25" x14ac:dyDescent="0.2">
      <c r="A17" s="129">
        <v>900</v>
      </c>
      <c r="B17" s="55">
        <v>5000</v>
      </c>
      <c r="C17" s="134">
        <v>1</v>
      </c>
      <c r="D17" s="65">
        <v>4</v>
      </c>
      <c r="E17" s="27">
        <v>5</v>
      </c>
      <c r="G17" s="92" t="s">
        <v>1767</v>
      </c>
      <c r="H17" s="193" t="s">
        <v>1772</v>
      </c>
      <c r="I17" s="192" t="s">
        <v>1780</v>
      </c>
      <c r="J17" s="79"/>
      <c r="K17" s="79"/>
      <c r="L17" s="79"/>
      <c r="M17" s="79"/>
    </row>
    <row r="18" spans="1:13" ht="38.25" x14ac:dyDescent="0.2">
      <c r="A18" s="128">
        <v>2000</v>
      </c>
      <c r="B18" s="55">
        <v>5000</v>
      </c>
      <c r="C18" s="133">
        <v>3</v>
      </c>
      <c r="D18" s="51">
        <v>5</v>
      </c>
      <c r="E18" s="25">
        <v>9</v>
      </c>
      <c r="G18" s="92" t="s">
        <v>1768</v>
      </c>
      <c r="H18" s="193" t="s">
        <v>1771</v>
      </c>
      <c r="I18" s="192" t="s">
        <v>1781</v>
      </c>
      <c r="J18" s="79"/>
      <c r="K18" s="79"/>
      <c r="L18" s="79"/>
      <c r="M18" s="79"/>
    </row>
    <row r="19" spans="1:13" ht="38.25" x14ac:dyDescent="0.2">
      <c r="A19" s="129">
        <v>2300</v>
      </c>
      <c r="B19" s="55">
        <v>40000</v>
      </c>
      <c r="C19" s="134">
        <v>1</v>
      </c>
      <c r="D19" s="65">
        <v>3</v>
      </c>
      <c r="E19" s="27">
        <v>10</v>
      </c>
      <c r="G19" s="92" t="s">
        <v>1769</v>
      </c>
      <c r="H19" s="193" t="s">
        <v>1770</v>
      </c>
      <c r="I19" s="192" t="s">
        <v>1782</v>
      </c>
      <c r="J19" s="139"/>
      <c r="K19" s="139"/>
      <c r="L19" s="139"/>
      <c r="M19" s="139"/>
    </row>
    <row r="20" spans="1:13" x14ac:dyDescent="0.2">
      <c r="A20" s="128">
        <v>1200</v>
      </c>
      <c r="B20" s="55">
        <v>5000</v>
      </c>
      <c r="C20" s="133">
        <v>1</v>
      </c>
      <c r="D20" s="51">
        <v>4</v>
      </c>
      <c r="E20" s="25">
        <v>6</v>
      </c>
    </row>
    <row r="21" spans="1:13" ht="15.75" x14ac:dyDescent="0.25">
      <c r="A21" s="129">
        <v>11100</v>
      </c>
      <c r="B21" s="55">
        <v>40000</v>
      </c>
      <c r="C21" s="134">
        <v>3</v>
      </c>
      <c r="D21" s="65">
        <v>6</v>
      </c>
      <c r="E21" s="27">
        <v>12</v>
      </c>
      <c r="G21" s="189" t="s">
        <v>1783</v>
      </c>
    </row>
    <row r="22" spans="1:13" x14ac:dyDescent="0.2">
      <c r="A22" s="128">
        <v>6000</v>
      </c>
      <c r="B22" s="55">
        <v>40000</v>
      </c>
      <c r="C22" s="133">
        <v>1</v>
      </c>
      <c r="D22" s="51">
        <v>3</v>
      </c>
      <c r="E22" s="25">
        <v>10</v>
      </c>
    </row>
    <row r="23" spans="1:13" x14ac:dyDescent="0.2">
      <c r="A23" s="129">
        <v>8800</v>
      </c>
      <c r="B23" s="55">
        <v>85000</v>
      </c>
      <c r="C23" s="134">
        <v>3</v>
      </c>
      <c r="D23" s="65">
        <v>5</v>
      </c>
      <c r="E23" s="27">
        <v>14</v>
      </c>
      <c r="G23" s="19" t="s">
        <v>1784</v>
      </c>
    </row>
    <row r="24" spans="1:13" x14ac:dyDescent="0.2">
      <c r="A24" s="128">
        <v>2700</v>
      </c>
      <c r="B24" s="55">
        <v>5000</v>
      </c>
      <c r="C24" s="133">
        <v>1</v>
      </c>
      <c r="D24" s="51">
        <v>4</v>
      </c>
      <c r="E24" s="25">
        <v>14</v>
      </c>
      <c r="G24" s="171" t="s">
        <v>1785</v>
      </c>
    </row>
    <row r="25" spans="1:13" x14ac:dyDescent="0.2">
      <c r="A25" s="129">
        <v>3000</v>
      </c>
      <c r="B25" s="55">
        <v>20000</v>
      </c>
      <c r="C25" s="134">
        <v>2</v>
      </c>
      <c r="D25" s="65">
        <v>6</v>
      </c>
      <c r="E25" s="27">
        <v>4</v>
      </c>
      <c r="G25" s="171" t="s">
        <v>1786</v>
      </c>
    </row>
    <row r="26" spans="1:13" x14ac:dyDescent="0.2">
      <c r="A26" s="128">
        <v>5200</v>
      </c>
      <c r="B26" s="55">
        <v>20000</v>
      </c>
      <c r="C26" s="133">
        <v>2</v>
      </c>
      <c r="D26" s="51">
        <v>5</v>
      </c>
      <c r="E26" s="25">
        <v>8</v>
      </c>
    </row>
    <row r="27" spans="1:13" x14ac:dyDescent="0.2">
      <c r="A27" s="129">
        <v>9700</v>
      </c>
      <c r="B27" s="55">
        <v>60000</v>
      </c>
      <c r="C27" s="134">
        <v>2</v>
      </c>
      <c r="D27" s="65">
        <v>4</v>
      </c>
      <c r="E27" s="27">
        <v>15</v>
      </c>
    </row>
    <row r="28" spans="1:13" x14ac:dyDescent="0.2">
      <c r="A28" s="128">
        <v>8200</v>
      </c>
      <c r="B28" s="55">
        <v>40000</v>
      </c>
      <c r="C28" s="133">
        <v>2</v>
      </c>
      <c r="D28" s="51">
        <v>5</v>
      </c>
      <c r="E28" s="25">
        <v>8</v>
      </c>
    </row>
    <row r="29" spans="1:13" x14ac:dyDescent="0.2">
      <c r="A29" s="129">
        <v>2400</v>
      </c>
      <c r="B29" s="55">
        <v>20000</v>
      </c>
      <c r="C29" s="134">
        <v>1</v>
      </c>
      <c r="D29" s="65">
        <v>3</v>
      </c>
      <c r="E29" s="27">
        <v>7</v>
      </c>
    </row>
    <row r="30" spans="1:13" x14ac:dyDescent="0.2">
      <c r="A30" s="128">
        <v>2900</v>
      </c>
      <c r="B30" s="55">
        <v>5000</v>
      </c>
      <c r="C30" s="133">
        <v>1</v>
      </c>
      <c r="D30" s="51">
        <v>4</v>
      </c>
      <c r="E30" s="25">
        <v>12</v>
      </c>
    </row>
    <row r="31" spans="1:13" x14ac:dyDescent="0.2">
      <c r="A31" s="129">
        <v>9500</v>
      </c>
      <c r="B31" s="55">
        <v>60000</v>
      </c>
      <c r="C31" s="134">
        <v>3</v>
      </c>
      <c r="D31" s="65">
        <v>6</v>
      </c>
      <c r="E31" s="27">
        <v>20</v>
      </c>
    </row>
    <row r="32" spans="1:13" x14ac:dyDescent="0.2">
      <c r="A32" s="128">
        <v>5200</v>
      </c>
      <c r="B32" s="55">
        <v>40000</v>
      </c>
      <c r="C32" s="133">
        <v>1</v>
      </c>
      <c r="D32" s="51">
        <v>3</v>
      </c>
      <c r="E32" s="25">
        <v>9</v>
      </c>
    </row>
    <row r="33" spans="1:5" x14ac:dyDescent="0.2">
      <c r="A33" s="129">
        <v>8500</v>
      </c>
      <c r="B33" s="55">
        <v>85000</v>
      </c>
      <c r="C33" s="134">
        <v>2</v>
      </c>
      <c r="D33" s="65">
        <v>4</v>
      </c>
      <c r="E33" s="27">
        <v>18</v>
      </c>
    </row>
    <row r="34" spans="1:5" x14ac:dyDescent="0.2">
      <c r="A34" s="128">
        <v>7000</v>
      </c>
      <c r="B34" s="55">
        <v>20000</v>
      </c>
      <c r="C34" s="133">
        <v>2</v>
      </c>
      <c r="D34" s="51">
        <v>5</v>
      </c>
      <c r="E34" s="25">
        <v>10</v>
      </c>
    </row>
    <row r="35" spans="1:5" x14ac:dyDescent="0.2">
      <c r="A35" s="129">
        <v>5500</v>
      </c>
      <c r="B35" s="55">
        <v>60000</v>
      </c>
      <c r="C35" s="134">
        <v>2</v>
      </c>
      <c r="D35" s="65">
        <v>5</v>
      </c>
      <c r="E35" s="27">
        <v>12</v>
      </c>
    </row>
    <row r="36" spans="1:5" x14ac:dyDescent="0.2">
      <c r="A36" s="128">
        <v>900</v>
      </c>
      <c r="B36" s="55">
        <v>40000</v>
      </c>
      <c r="C36" s="133">
        <v>1</v>
      </c>
      <c r="D36" s="51">
        <v>3</v>
      </c>
      <c r="E36" s="25">
        <v>4</v>
      </c>
    </row>
    <row r="37" spans="1:5" x14ac:dyDescent="0.2">
      <c r="A37" s="129">
        <v>5200</v>
      </c>
      <c r="B37" s="55">
        <v>20000</v>
      </c>
      <c r="C37" s="134">
        <v>2</v>
      </c>
      <c r="D37" s="65">
        <v>6</v>
      </c>
      <c r="E37" s="27">
        <v>10</v>
      </c>
    </row>
    <row r="38" spans="1:5" x14ac:dyDescent="0.2">
      <c r="A38" s="128">
        <v>650</v>
      </c>
      <c r="B38" s="55">
        <v>5000</v>
      </c>
      <c r="C38" s="133">
        <v>1</v>
      </c>
      <c r="D38" s="51">
        <v>4</v>
      </c>
      <c r="E38" s="25">
        <v>5</v>
      </c>
    </row>
    <row r="39" spans="1:5" x14ac:dyDescent="0.2">
      <c r="A39" s="129">
        <v>12000</v>
      </c>
      <c r="B39" s="55">
        <v>85000</v>
      </c>
      <c r="C39" s="134">
        <v>3</v>
      </c>
      <c r="D39" s="65">
        <v>5</v>
      </c>
      <c r="E39" s="27">
        <v>15</v>
      </c>
    </row>
    <row r="40" spans="1:5" x14ac:dyDescent="0.2">
      <c r="A40" s="128">
        <v>2400</v>
      </c>
      <c r="B40" s="55">
        <v>60000</v>
      </c>
      <c r="C40" s="133">
        <v>1</v>
      </c>
      <c r="D40" s="51">
        <v>4</v>
      </c>
      <c r="E40" s="25">
        <v>6</v>
      </c>
    </row>
    <row r="41" spans="1:5" x14ac:dyDescent="0.2">
      <c r="A41" s="129">
        <v>1500</v>
      </c>
      <c r="B41" s="55">
        <v>20000</v>
      </c>
      <c r="C41" s="134">
        <v>1</v>
      </c>
      <c r="D41" s="65">
        <v>3</v>
      </c>
      <c r="E41" s="27">
        <v>9</v>
      </c>
    </row>
    <row r="42" spans="1:5" x14ac:dyDescent="0.2">
      <c r="A42" s="128">
        <v>500</v>
      </c>
      <c r="B42" s="55">
        <v>5000</v>
      </c>
      <c r="C42" s="133">
        <v>1</v>
      </c>
      <c r="D42" s="51">
        <v>4</v>
      </c>
      <c r="E42" s="25">
        <v>3</v>
      </c>
    </row>
    <row r="43" spans="1:5" x14ac:dyDescent="0.2">
      <c r="A43" s="129">
        <v>5800</v>
      </c>
      <c r="B43" s="55">
        <v>125000</v>
      </c>
      <c r="C43" s="134">
        <v>2</v>
      </c>
      <c r="D43" s="65">
        <v>4</v>
      </c>
      <c r="E43" s="27">
        <v>10</v>
      </c>
    </row>
    <row r="44" spans="1:5" x14ac:dyDescent="0.2">
      <c r="A44" s="128">
        <v>850</v>
      </c>
      <c r="B44" s="55">
        <v>5000</v>
      </c>
      <c r="C44" s="133">
        <v>1</v>
      </c>
      <c r="D44" s="51">
        <v>5</v>
      </c>
      <c r="E44" s="25">
        <v>6</v>
      </c>
    </row>
    <row r="45" spans="1:5" x14ac:dyDescent="0.2">
      <c r="A45" s="129">
        <v>1400</v>
      </c>
      <c r="B45" s="55">
        <v>20000</v>
      </c>
      <c r="C45" s="134">
        <v>1</v>
      </c>
      <c r="D45" s="65">
        <v>4</v>
      </c>
      <c r="E45" s="27">
        <v>9</v>
      </c>
    </row>
    <row r="46" spans="1:5" x14ac:dyDescent="0.2">
      <c r="A46" s="128">
        <v>3200</v>
      </c>
      <c r="B46" s="55">
        <v>40000</v>
      </c>
      <c r="C46" s="133">
        <v>2</v>
      </c>
      <c r="D46" s="51">
        <v>3</v>
      </c>
      <c r="E46" s="25">
        <v>7</v>
      </c>
    </row>
    <row r="47" spans="1:5" x14ac:dyDescent="0.2">
      <c r="A47" s="129">
        <v>6800</v>
      </c>
      <c r="B47" s="55">
        <v>40000</v>
      </c>
      <c r="C47" s="134">
        <v>2</v>
      </c>
      <c r="D47" s="65">
        <v>5</v>
      </c>
      <c r="E47" s="27">
        <v>11</v>
      </c>
    </row>
    <row r="48" spans="1:5" x14ac:dyDescent="0.2">
      <c r="A48" s="128">
        <v>700</v>
      </c>
      <c r="B48" s="55">
        <v>20000</v>
      </c>
      <c r="C48" s="133">
        <v>1</v>
      </c>
      <c r="D48" s="51">
        <v>4</v>
      </c>
      <c r="E48" s="25">
        <v>4</v>
      </c>
    </row>
    <row r="49" spans="1:5" x14ac:dyDescent="0.2">
      <c r="A49" s="129">
        <v>11000</v>
      </c>
      <c r="B49" s="55">
        <v>85000</v>
      </c>
      <c r="C49" s="134">
        <v>3</v>
      </c>
      <c r="D49" s="65">
        <v>5</v>
      </c>
      <c r="E49" s="27">
        <v>13</v>
      </c>
    </row>
    <row r="50" spans="1:5" x14ac:dyDescent="0.2">
      <c r="A50" s="128">
        <v>850</v>
      </c>
      <c r="B50" s="55">
        <v>5000</v>
      </c>
      <c r="C50" s="133">
        <v>1</v>
      </c>
      <c r="D50" s="51">
        <v>3</v>
      </c>
      <c r="E50" s="25">
        <v>6</v>
      </c>
    </row>
    <row r="51" spans="1:5" x14ac:dyDescent="0.2">
      <c r="A51" s="129">
        <v>4500</v>
      </c>
      <c r="B51" s="55">
        <v>60000</v>
      </c>
      <c r="C51" s="134">
        <v>2</v>
      </c>
      <c r="D51" s="65">
        <v>4</v>
      </c>
      <c r="E51" s="27">
        <v>10</v>
      </c>
    </row>
    <row r="52" spans="1:5" x14ac:dyDescent="0.2">
      <c r="A52" s="128">
        <v>200</v>
      </c>
      <c r="B52" s="55">
        <v>5000</v>
      </c>
      <c r="C52" s="133">
        <v>3</v>
      </c>
      <c r="D52" s="51">
        <v>5</v>
      </c>
      <c r="E52" s="25">
        <v>10</v>
      </c>
    </row>
    <row r="53" spans="1:5" x14ac:dyDescent="0.2">
      <c r="A53" s="129">
        <v>2700</v>
      </c>
      <c r="B53" s="55">
        <v>40000</v>
      </c>
      <c r="C53" s="134">
        <v>1</v>
      </c>
      <c r="D53" s="65">
        <v>3</v>
      </c>
      <c r="E53" s="27">
        <v>9</v>
      </c>
    </row>
    <row r="54" spans="1:5" x14ac:dyDescent="0.2">
      <c r="A54" s="128">
        <v>5000</v>
      </c>
      <c r="B54" s="55">
        <v>20000</v>
      </c>
      <c r="C54" s="133">
        <v>2</v>
      </c>
      <c r="D54" s="51">
        <v>6</v>
      </c>
      <c r="E54" s="25">
        <v>10</v>
      </c>
    </row>
    <row r="55" spans="1:5" x14ac:dyDescent="0.2">
      <c r="A55" s="129">
        <v>750</v>
      </c>
      <c r="B55" s="55">
        <v>5000</v>
      </c>
      <c r="C55" s="134">
        <v>1</v>
      </c>
      <c r="D55" s="65">
        <v>4</v>
      </c>
      <c r="E55" s="27">
        <v>5</v>
      </c>
    </row>
    <row r="56" spans="1:5" x14ac:dyDescent="0.2">
      <c r="A56" s="128">
        <v>650</v>
      </c>
      <c r="B56" s="55">
        <v>5000</v>
      </c>
      <c r="C56" s="133">
        <v>1</v>
      </c>
      <c r="D56" s="51">
        <v>5</v>
      </c>
      <c r="E56" s="25">
        <v>4</v>
      </c>
    </row>
    <row r="57" spans="1:5" x14ac:dyDescent="0.2">
      <c r="A57" s="129">
        <v>4000</v>
      </c>
      <c r="B57" s="55">
        <v>40000</v>
      </c>
      <c r="C57" s="134">
        <v>2</v>
      </c>
      <c r="D57" s="65">
        <v>4</v>
      </c>
      <c r="E57" s="27">
        <v>1</v>
      </c>
    </row>
    <row r="58" spans="1:5" x14ac:dyDescent="0.2">
      <c r="A58" s="128">
        <v>650</v>
      </c>
      <c r="B58" s="55">
        <v>5000</v>
      </c>
      <c r="C58" s="133">
        <v>1</v>
      </c>
      <c r="D58" s="51">
        <v>5</v>
      </c>
      <c r="E58" s="25">
        <v>6</v>
      </c>
    </row>
    <row r="59" spans="1:5" x14ac:dyDescent="0.2">
      <c r="A59" s="129">
        <v>650</v>
      </c>
      <c r="B59" s="55">
        <v>20000</v>
      </c>
      <c r="C59" s="134">
        <v>1</v>
      </c>
      <c r="D59" s="65">
        <v>5</v>
      </c>
      <c r="E59" s="27">
        <v>6</v>
      </c>
    </row>
    <row r="60" spans="1:5" x14ac:dyDescent="0.2">
      <c r="A60" s="128">
        <v>650</v>
      </c>
      <c r="B60" s="55">
        <v>20000</v>
      </c>
      <c r="C60" s="133">
        <v>2</v>
      </c>
      <c r="D60" s="51">
        <v>6</v>
      </c>
      <c r="E60" s="25">
        <v>10</v>
      </c>
    </row>
    <row r="61" spans="1:5" x14ac:dyDescent="0.2">
      <c r="A61" s="129">
        <v>1000</v>
      </c>
      <c r="B61" s="55">
        <v>5000</v>
      </c>
      <c r="C61" s="134">
        <v>1</v>
      </c>
      <c r="D61" s="65">
        <v>5</v>
      </c>
      <c r="E61" s="27">
        <v>6</v>
      </c>
    </row>
    <row r="62" spans="1:5" x14ac:dyDescent="0.2">
      <c r="A62" s="128">
        <v>1000</v>
      </c>
      <c r="B62" s="55">
        <v>5000</v>
      </c>
      <c r="C62" s="133">
        <v>2</v>
      </c>
      <c r="D62" s="51">
        <v>3</v>
      </c>
      <c r="E62" s="25">
        <v>15</v>
      </c>
    </row>
    <row r="63" spans="1:5" x14ac:dyDescent="0.2">
      <c r="A63" s="129">
        <v>7500</v>
      </c>
      <c r="B63" s="55">
        <v>40000</v>
      </c>
      <c r="C63" s="134">
        <v>2</v>
      </c>
      <c r="D63" s="65">
        <v>6</v>
      </c>
      <c r="E63" s="27">
        <v>8</v>
      </c>
    </row>
    <row r="64" spans="1:5" x14ac:dyDescent="0.2">
      <c r="A64" s="128">
        <v>900</v>
      </c>
      <c r="B64" s="55">
        <v>20000</v>
      </c>
      <c r="C64" s="133">
        <v>1</v>
      </c>
      <c r="D64" s="51">
        <v>3</v>
      </c>
      <c r="E64" s="25">
        <v>6</v>
      </c>
    </row>
    <row r="65" spans="1:5" x14ac:dyDescent="0.2">
      <c r="A65" s="129">
        <v>5500</v>
      </c>
      <c r="B65" s="55">
        <v>60000</v>
      </c>
      <c r="C65" s="134">
        <v>2</v>
      </c>
      <c r="D65" s="65">
        <v>4</v>
      </c>
      <c r="E65" s="27">
        <v>12</v>
      </c>
    </row>
    <row r="66" spans="1:5" x14ac:dyDescent="0.2">
      <c r="A66" s="128">
        <v>700</v>
      </c>
      <c r="B66" s="55">
        <v>5000</v>
      </c>
      <c r="C66" s="133">
        <v>1</v>
      </c>
      <c r="D66" s="51">
        <v>5</v>
      </c>
      <c r="E66" s="25">
        <v>5</v>
      </c>
    </row>
    <row r="67" spans="1:5" x14ac:dyDescent="0.2">
      <c r="A67" s="129">
        <v>1200</v>
      </c>
      <c r="B67" s="55">
        <v>20000</v>
      </c>
      <c r="C67" s="134">
        <v>1</v>
      </c>
      <c r="D67" s="65">
        <v>6</v>
      </c>
      <c r="E67" s="27">
        <v>7</v>
      </c>
    </row>
    <row r="68" spans="1:5" x14ac:dyDescent="0.2">
      <c r="A68" s="128">
        <v>3200</v>
      </c>
      <c r="B68" s="55">
        <v>85000</v>
      </c>
      <c r="C68" s="133">
        <v>1</v>
      </c>
      <c r="D68" s="51">
        <v>3</v>
      </c>
      <c r="E68" s="25">
        <v>10</v>
      </c>
    </row>
    <row r="69" spans="1:5" x14ac:dyDescent="0.2">
      <c r="A69" s="129">
        <v>4800</v>
      </c>
      <c r="B69" s="55">
        <v>40000</v>
      </c>
      <c r="C69" s="134">
        <v>2</v>
      </c>
      <c r="D69" s="65">
        <v>4</v>
      </c>
      <c r="E69" s="27">
        <v>8</v>
      </c>
    </row>
    <row r="70" spans="1:5" x14ac:dyDescent="0.2">
      <c r="A70" s="128">
        <v>750</v>
      </c>
      <c r="B70" s="55">
        <v>5000</v>
      </c>
      <c r="C70" s="133">
        <v>1</v>
      </c>
      <c r="D70" s="51">
        <v>4</v>
      </c>
      <c r="E70" s="25">
        <v>4</v>
      </c>
    </row>
    <row r="71" spans="1:5" x14ac:dyDescent="0.2">
      <c r="A71" s="129">
        <v>10000</v>
      </c>
      <c r="B71" s="55">
        <v>60000</v>
      </c>
      <c r="C71" s="134">
        <v>2</v>
      </c>
      <c r="D71" s="65">
        <v>5</v>
      </c>
      <c r="E71" s="27">
        <v>12</v>
      </c>
    </row>
    <row r="72" spans="1:5" x14ac:dyDescent="0.2">
      <c r="A72" s="128">
        <v>2300</v>
      </c>
      <c r="B72" s="55">
        <v>40000</v>
      </c>
      <c r="C72" s="133">
        <v>1</v>
      </c>
      <c r="D72" s="51">
        <v>3</v>
      </c>
      <c r="E72" s="25">
        <v>8</v>
      </c>
    </row>
    <row r="73" spans="1:5" x14ac:dyDescent="0.2">
      <c r="A73" s="129">
        <v>2000</v>
      </c>
      <c r="B73" s="55">
        <v>40000</v>
      </c>
      <c r="C73" s="134">
        <v>1</v>
      </c>
      <c r="D73" s="65">
        <v>4</v>
      </c>
      <c r="E73" s="27">
        <v>2</v>
      </c>
    </row>
    <row r="74" spans="1:5" x14ac:dyDescent="0.2">
      <c r="A74" s="128">
        <v>5000</v>
      </c>
      <c r="B74" s="55">
        <v>40000</v>
      </c>
      <c r="C74" s="133">
        <v>2</v>
      </c>
      <c r="D74" s="51">
        <v>4</v>
      </c>
      <c r="E74" s="25">
        <v>12</v>
      </c>
    </row>
    <row r="75" spans="1:5" x14ac:dyDescent="0.2">
      <c r="A75" s="129">
        <v>1000</v>
      </c>
      <c r="B75" s="55">
        <v>5000</v>
      </c>
      <c r="C75" s="134">
        <v>1</v>
      </c>
      <c r="D75" s="65">
        <v>5</v>
      </c>
      <c r="E75" s="27">
        <v>7</v>
      </c>
    </row>
    <row r="76" spans="1:5" x14ac:dyDescent="0.2">
      <c r="A76" s="128">
        <v>9500</v>
      </c>
      <c r="B76" s="55">
        <v>20000</v>
      </c>
      <c r="C76" s="133">
        <v>2</v>
      </c>
      <c r="D76" s="51">
        <v>6</v>
      </c>
      <c r="E76" s="25">
        <v>8</v>
      </c>
    </row>
    <row r="77" spans="1:5" x14ac:dyDescent="0.2">
      <c r="A77" s="129">
        <v>4800</v>
      </c>
      <c r="B77" s="55">
        <v>60000</v>
      </c>
      <c r="C77" s="134">
        <v>2</v>
      </c>
      <c r="D77" s="65">
        <v>3</v>
      </c>
      <c r="E77" s="27">
        <v>9</v>
      </c>
    </row>
    <row r="78" spans="1:5" x14ac:dyDescent="0.2">
      <c r="A78" s="128">
        <v>14000</v>
      </c>
      <c r="B78" s="55">
        <v>125000</v>
      </c>
      <c r="C78" s="133">
        <v>3</v>
      </c>
      <c r="D78" s="51">
        <v>4</v>
      </c>
      <c r="E78" s="25">
        <v>10</v>
      </c>
    </row>
    <row r="79" spans="1:5" x14ac:dyDescent="0.2">
      <c r="A79" s="129">
        <v>1500</v>
      </c>
      <c r="B79" s="55">
        <v>20000</v>
      </c>
      <c r="C79" s="134">
        <v>1</v>
      </c>
      <c r="D79" s="65">
        <v>5</v>
      </c>
      <c r="E79" s="27">
        <v>6</v>
      </c>
    </row>
    <row r="80" spans="1:5" x14ac:dyDescent="0.2">
      <c r="A80" s="128">
        <v>2000</v>
      </c>
      <c r="B80" s="55">
        <v>5000</v>
      </c>
      <c r="C80" s="133">
        <v>1</v>
      </c>
      <c r="D80" s="51">
        <v>3</v>
      </c>
      <c r="E80" s="25">
        <v>11</v>
      </c>
    </row>
    <row r="81" spans="1:5" x14ac:dyDescent="0.2">
      <c r="A81" s="129">
        <v>1200</v>
      </c>
      <c r="B81" s="55">
        <v>5000</v>
      </c>
      <c r="C81" s="134">
        <v>1</v>
      </c>
      <c r="D81" s="65">
        <v>4</v>
      </c>
      <c r="E81" s="27">
        <v>5</v>
      </c>
    </row>
    <row r="82" spans="1:5" x14ac:dyDescent="0.2">
      <c r="A82" s="128">
        <v>3200</v>
      </c>
      <c r="B82" s="55">
        <v>60000</v>
      </c>
      <c r="C82" s="133">
        <v>2</v>
      </c>
      <c r="D82" s="51">
        <v>3</v>
      </c>
      <c r="E82" s="25">
        <v>10</v>
      </c>
    </row>
    <row r="83" spans="1:5" x14ac:dyDescent="0.2">
      <c r="A83" s="129">
        <v>900</v>
      </c>
      <c r="B83" s="55">
        <v>20000</v>
      </c>
      <c r="C83" s="134">
        <v>1</v>
      </c>
      <c r="D83" s="65">
        <v>6</v>
      </c>
      <c r="E83" s="27">
        <v>4</v>
      </c>
    </row>
    <row r="84" spans="1:5" x14ac:dyDescent="0.2">
      <c r="A84" s="128">
        <v>12000</v>
      </c>
      <c r="B84" s="55">
        <v>40000</v>
      </c>
      <c r="C84" s="133">
        <v>2</v>
      </c>
      <c r="D84" s="51">
        <v>6</v>
      </c>
      <c r="E84" s="25">
        <v>6</v>
      </c>
    </row>
    <row r="85" spans="1:5" x14ac:dyDescent="0.2">
      <c r="A85" s="129">
        <v>650</v>
      </c>
      <c r="B85" s="55">
        <v>60000</v>
      </c>
      <c r="C85" s="134">
        <v>2</v>
      </c>
      <c r="D85" s="65">
        <v>6</v>
      </c>
      <c r="E85" s="27">
        <v>10</v>
      </c>
    </row>
    <row r="86" spans="1:5" x14ac:dyDescent="0.2">
      <c r="A86" s="128">
        <v>4200</v>
      </c>
      <c r="B86" s="55">
        <v>40000</v>
      </c>
      <c r="C86" s="133">
        <v>2</v>
      </c>
      <c r="D86" s="51">
        <v>5</v>
      </c>
      <c r="E86" s="25">
        <v>7</v>
      </c>
    </row>
    <row r="87" spans="1:5" x14ac:dyDescent="0.2">
      <c r="A87" s="129">
        <v>2600</v>
      </c>
      <c r="B87" s="55">
        <v>60000</v>
      </c>
      <c r="C87" s="134">
        <v>1</v>
      </c>
      <c r="D87" s="65">
        <v>3</v>
      </c>
      <c r="E87" s="27">
        <v>9</v>
      </c>
    </row>
    <row r="88" spans="1:5" x14ac:dyDescent="0.2">
      <c r="A88" s="128">
        <v>1100</v>
      </c>
      <c r="B88" s="55">
        <v>20000</v>
      </c>
      <c r="C88" s="133">
        <v>1</v>
      </c>
      <c r="D88" s="51">
        <v>6</v>
      </c>
      <c r="E88" s="25">
        <v>5</v>
      </c>
    </row>
    <row r="89" spans="1:5" x14ac:dyDescent="0.2">
      <c r="A89" s="129">
        <v>650</v>
      </c>
      <c r="B89" s="55">
        <v>5000</v>
      </c>
      <c r="C89" s="134">
        <v>1</v>
      </c>
      <c r="D89" s="65">
        <v>4</v>
      </c>
      <c r="E89" s="27">
        <v>4</v>
      </c>
    </row>
    <row r="90" spans="1:5" x14ac:dyDescent="0.2">
      <c r="A90" s="128">
        <v>3600</v>
      </c>
      <c r="B90" s="55">
        <v>40000</v>
      </c>
      <c r="C90" s="133">
        <v>2</v>
      </c>
      <c r="D90" s="51">
        <v>3</v>
      </c>
      <c r="E90" s="25">
        <v>8</v>
      </c>
    </row>
    <row r="91" spans="1:5" x14ac:dyDescent="0.2">
      <c r="A91" s="129">
        <v>1300</v>
      </c>
      <c r="B91" s="55">
        <v>20000</v>
      </c>
      <c r="C91" s="134">
        <v>1</v>
      </c>
      <c r="D91" s="65">
        <v>5</v>
      </c>
      <c r="E91" s="27">
        <v>6</v>
      </c>
    </row>
    <row r="92" spans="1:5" x14ac:dyDescent="0.2">
      <c r="A92" s="128">
        <v>650</v>
      </c>
      <c r="B92" s="55">
        <v>20000</v>
      </c>
      <c r="C92" s="133">
        <v>1</v>
      </c>
      <c r="D92" s="51">
        <v>4</v>
      </c>
      <c r="E92" s="25">
        <v>4</v>
      </c>
    </row>
    <row r="93" spans="1:5" x14ac:dyDescent="0.2">
      <c r="A93" s="129">
        <v>3800</v>
      </c>
      <c r="B93" s="55">
        <v>40000</v>
      </c>
      <c r="C93" s="134">
        <v>2</v>
      </c>
      <c r="D93" s="65">
        <v>3</v>
      </c>
      <c r="E93" s="27">
        <v>10</v>
      </c>
    </row>
    <row r="94" spans="1:5" x14ac:dyDescent="0.2">
      <c r="A94" s="128">
        <v>720</v>
      </c>
      <c r="B94" s="55">
        <v>20000</v>
      </c>
      <c r="C94" s="133">
        <v>1</v>
      </c>
      <c r="D94" s="51">
        <v>4</v>
      </c>
      <c r="E94" s="25">
        <v>7</v>
      </c>
    </row>
    <row r="95" spans="1:5" x14ac:dyDescent="0.2">
      <c r="A95" s="129">
        <v>2300</v>
      </c>
      <c r="B95" s="55">
        <v>40000</v>
      </c>
      <c r="C95" s="134">
        <v>1</v>
      </c>
      <c r="D95" s="65">
        <v>3</v>
      </c>
      <c r="E95" s="27">
        <v>9</v>
      </c>
    </row>
    <row r="96" spans="1:5" x14ac:dyDescent="0.2">
      <c r="A96" s="128">
        <v>1200</v>
      </c>
      <c r="B96" s="55">
        <v>20000</v>
      </c>
      <c r="C96" s="133">
        <v>1</v>
      </c>
      <c r="D96" s="51">
        <v>5</v>
      </c>
      <c r="E96" s="25">
        <v>5</v>
      </c>
    </row>
    <row r="97" spans="1:5" x14ac:dyDescent="0.2">
      <c r="A97" s="129">
        <v>600</v>
      </c>
      <c r="B97" s="55">
        <v>5000</v>
      </c>
      <c r="C97" s="134">
        <v>1</v>
      </c>
      <c r="D97" s="65">
        <v>4</v>
      </c>
      <c r="E97" s="27">
        <v>3</v>
      </c>
    </row>
    <row r="98" spans="1:5" x14ac:dyDescent="0.2">
      <c r="A98" s="128">
        <v>8200</v>
      </c>
      <c r="B98" s="55">
        <v>40000</v>
      </c>
      <c r="C98" s="133">
        <v>2</v>
      </c>
      <c r="D98" s="51">
        <v>6</v>
      </c>
      <c r="E98" s="25">
        <v>4</v>
      </c>
    </row>
    <row r="99" spans="1:5" x14ac:dyDescent="0.2">
      <c r="A99" s="129">
        <v>9000</v>
      </c>
      <c r="B99" s="55">
        <v>60000</v>
      </c>
      <c r="C99" s="134">
        <v>2</v>
      </c>
      <c r="D99" s="65">
        <v>6</v>
      </c>
      <c r="E99" s="27">
        <v>8</v>
      </c>
    </row>
    <row r="100" spans="1:5" x14ac:dyDescent="0.2">
      <c r="A100" s="128">
        <v>2400</v>
      </c>
      <c r="B100" s="55">
        <v>40000</v>
      </c>
      <c r="C100" s="133">
        <v>1</v>
      </c>
      <c r="D100" s="51">
        <v>3</v>
      </c>
      <c r="E100" s="25">
        <v>8</v>
      </c>
    </row>
    <row r="101" spans="1:5" x14ac:dyDescent="0.2">
      <c r="A101" s="129">
        <v>7000</v>
      </c>
      <c r="B101" s="55">
        <v>20000</v>
      </c>
      <c r="C101" s="134">
        <v>2</v>
      </c>
      <c r="D101" s="65">
        <v>6</v>
      </c>
      <c r="E101" s="27">
        <v>5</v>
      </c>
    </row>
    <row r="102" spans="1:5" x14ac:dyDescent="0.2">
      <c r="A102" s="128">
        <v>700</v>
      </c>
      <c r="B102" s="55">
        <v>5000</v>
      </c>
      <c r="C102" s="133">
        <v>1</v>
      </c>
      <c r="D102" s="51">
        <v>4</v>
      </c>
      <c r="E102" s="25">
        <v>4</v>
      </c>
    </row>
    <row r="103" spans="1:5" x14ac:dyDescent="0.2">
      <c r="A103" s="129">
        <v>4300</v>
      </c>
      <c r="B103" s="55">
        <v>40000</v>
      </c>
      <c r="C103" s="134">
        <v>2</v>
      </c>
      <c r="D103" s="65">
        <v>3</v>
      </c>
      <c r="E103" s="27">
        <v>10</v>
      </c>
    </row>
    <row r="104" spans="1:5" x14ac:dyDescent="0.2">
      <c r="A104" s="128">
        <v>3400</v>
      </c>
      <c r="B104" s="55">
        <v>40000</v>
      </c>
      <c r="C104" s="133">
        <v>2</v>
      </c>
      <c r="D104" s="51">
        <v>5</v>
      </c>
      <c r="E104" s="25">
        <v>12</v>
      </c>
    </row>
    <row r="105" spans="1:5" x14ac:dyDescent="0.2">
      <c r="A105" s="129">
        <v>600</v>
      </c>
      <c r="B105" s="55">
        <v>20000</v>
      </c>
      <c r="C105" s="134">
        <v>1</v>
      </c>
      <c r="D105" s="65">
        <v>4</v>
      </c>
      <c r="E105" s="27">
        <v>3</v>
      </c>
    </row>
    <row r="106" spans="1:5" x14ac:dyDescent="0.2">
      <c r="A106" s="128">
        <v>4800</v>
      </c>
      <c r="B106" s="55">
        <v>40000</v>
      </c>
      <c r="C106" s="133">
        <v>2</v>
      </c>
      <c r="D106" s="51">
        <v>5</v>
      </c>
      <c r="E106" s="25">
        <v>7</v>
      </c>
    </row>
    <row r="107" spans="1:5" x14ac:dyDescent="0.2">
      <c r="A107" s="129">
        <v>5800</v>
      </c>
      <c r="B107" s="55">
        <v>20000</v>
      </c>
      <c r="C107" s="134">
        <v>2</v>
      </c>
      <c r="D107" s="65">
        <v>5</v>
      </c>
      <c r="E107" s="27">
        <v>9</v>
      </c>
    </row>
    <row r="108" spans="1:5" x14ac:dyDescent="0.2">
      <c r="A108" s="128">
        <v>750</v>
      </c>
      <c r="B108" s="55">
        <v>40000</v>
      </c>
      <c r="C108" s="133">
        <v>1</v>
      </c>
      <c r="D108" s="51">
        <v>4</v>
      </c>
      <c r="E108" s="25">
        <v>5</v>
      </c>
    </row>
    <row r="109" spans="1:5" x14ac:dyDescent="0.2">
      <c r="A109" s="129">
        <v>1100</v>
      </c>
      <c r="B109" s="55">
        <v>40000</v>
      </c>
      <c r="C109" s="134">
        <v>1</v>
      </c>
      <c r="D109" s="65">
        <v>3</v>
      </c>
      <c r="E109" s="27">
        <v>8</v>
      </c>
    </row>
    <row r="110" spans="1:5" x14ac:dyDescent="0.2">
      <c r="A110" s="128">
        <v>8500</v>
      </c>
      <c r="B110" s="55">
        <v>20000</v>
      </c>
      <c r="C110" s="133">
        <v>2</v>
      </c>
      <c r="D110" s="51">
        <v>6</v>
      </c>
      <c r="E110" s="25">
        <v>6</v>
      </c>
    </row>
    <row r="111" spans="1:5" x14ac:dyDescent="0.2">
      <c r="A111" s="129">
        <v>9500</v>
      </c>
      <c r="B111" s="55">
        <v>60000</v>
      </c>
      <c r="C111" s="134">
        <v>3</v>
      </c>
      <c r="D111" s="65">
        <v>6</v>
      </c>
      <c r="E111" s="27">
        <v>15</v>
      </c>
    </row>
    <row r="112" spans="1:5" x14ac:dyDescent="0.2">
      <c r="A112" s="128">
        <v>2500</v>
      </c>
      <c r="B112" s="55">
        <v>40000</v>
      </c>
      <c r="C112" s="133">
        <v>1</v>
      </c>
      <c r="D112" s="51">
        <v>3</v>
      </c>
      <c r="E112" s="25">
        <v>6</v>
      </c>
    </row>
    <row r="113" spans="1:5" x14ac:dyDescent="0.2">
      <c r="A113" s="129">
        <v>700</v>
      </c>
      <c r="B113" s="55">
        <v>5000</v>
      </c>
      <c r="C113" s="134">
        <v>1</v>
      </c>
      <c r="D113" s="65">
        <v>4</v>
      </c>
      <c r="E113" s="27">
        <v>6</v>
      </c>
    </row>
    <row r="114" spans="1:5" x14ac:dyDescent="0.2">
      <c r="A114" s="128">
        <v>5500</v>
      </c>
      <c r="B114" s="55">
        <v>60000</v>
      </c>
      <c r="C114" s="133">
        <v>3</v>
      </c>
      <c r="D114" s="51">
        <v>4</v>
      </c>
      <c r="E114" s="25">
        <v>10</v>
      </c>
    </row>
    <row r="115" spans="1:5" x14ac:dyDescent="0.2">
      <c r="A115" s="129">
        <v>650</v>
      </c>
      <c r="B115" s="55">
        <v>20000</v>
      </c>
      <c r="C115" s="134">
        <v>1</v>
      </c>
      <c r="D115" s="65">
        <v>3</v>
      </c>
      <c r="E115" s="27">
        <v>4</v>
      </c>
    </row>
    <row r="116" spans="1:5" x14ac:dyDescent="0.2">
      <c r="A116" s="128">
        <v>5200</v>
      </c>
      <c r="B116" s="55">
        <v>85000</v>
      </c>
      <c r="C116" s="133">
        <v>2</v>
      </c>
      <c r="D116" s="51">
        <v>5</v>
      </c>
      <c r="E116" s="25">
        <v>18</v>
      </c>
    </row>
    <row r="117" spans="1:5" x14ac:dyDescent="0.2">
      <c r="A117" s="129">
        <v>650</v>
      </c>
      <c r="B117" s="55">
        <v>20000</v>
      </c>
      <c r="C117" s="134">
        <v>1</v>
      </c>
      <c r="D117" s="65">
        <v>6</v>
      </c>
      <c r="E117" s="27">
        <v>7</v>
      </c>
    </row>
    <row r="118" spans="1:5" x14ac:dyDescent="0.2">
      <c r="A118" s="128">
        <v>8200</v>
      </c>
      <c r="B118" s="55">
        <v>125000</v>
      </c>
      <c r="C118" s="133">
        <v>3</v>
      </c>
      <c r="D118" s="51">
        <v>4</v>
      </c>
      <c r="E118" s="25">
        <v>10</v>
      </c>
    </row>
    <row r="119" spans="1:5" x14ac:dyDescent="0.2">
      <c r="A119" s="129">
        <v>1400</v>
      </c>
      <c r="B119" s="55">
        <v>40000</v>
      </c>
      <c r="C119" s="134">
        <v>1</v>
      </c>
      <c r="D119" s="65">
        <v>3</v>
      </c>
      <c r="E119" s="27">
        <v>14</v>
      </c>
    </row>
    <row r="120" spans="1:5" x14ac:dyDescent="0.2">
      <c r="A120" s="128">
        <v>600</v>
      </c>
      <c r="B120" s="55">
        <v>20000</v>
      </c>
      <c r="C120" s="133">
        <v>1</v>
      </c>
      <c r="D120" s="51">
        <v>4</v>
      </c>
      <c r="E120" s="25">
        <v>4</v>
      </c>
    </row>
    <row r="121" spans="1:5" x14ac:dyDescent="0.2">
      <c r="A121" s="129">
        <v>750</v>
      </c>
      <c r="B121" s="55">
        <v>20000</v>
      </c>
      <c r="C121" s="134">
        <v>1</v>
      </c>
      <c r="D121" s="65">
        <v>5</v>
      </c>
      <c r="E121" s="27">
        <v>3</v>
      </c>
    </row>
    <row r="122" spans="1:5" x14ac:dyDescent="0.2">
      <c r="A122" s="128">
        <v>20000</v>
      </c>
      <c r="B122" s="55">
        <v>20000</v>
      </c>
      <c r="C122" s="135">
        <v>1</v>
      </c>
      <c r="D122" s="51">
        <v>5</v>
      </c>
      <c r="E122" s="25">
        <v>10</v>
      </c>
    </row>
    <row r="123" spans="1:5" x14ac:dyDescent="0.2">
      <c r="A123" s="129">
        <v>3000</v>
      </c>
      <c r="B123" s="55">
        <v>5000</v>
      </c>
      <c r="C123" s="134">
        <v>1</v>
      </c>
      <c r="D123" s="65">
        <v>4</v>
      </c>
      <c r="E123" s="27">
        <v>25</v>
      </c>
    </row>
    <row r="124" spans="1:5" x14ac:dyDescent="0.2">
      <c r="A124" s="130">
        <v>950</v>
      </c>
      <c r="B124" s="55">
        <v>20000</v>
      </c>
      <c r="C124" s="133">
        <v>1</v>
      </c>
      <c r="D124" s="51">
        <v>4</v>
      </c>
      <c r="E124" s="28">
        <v>6</v>
      </c>
    </row>
    <row r="125" spans="1:5" x14ac:dyDescent="0.2">
      <c r="A125" s="129">
        <v>5600</v>
      </c>
      <c r="B125" s="55">
        <v>40000</v>
      </c>
      <c r="C125" s="134">
        <v>2</v>
      </c>
      <c r="D125" s="65">
        <v>6</v>
      </c>
      <c r="E125" s="27">
        <v>14</v>
      </c>
    </row>
    <row r="126" spans="1:5" x14ac:dyDescent="0.2">
      <c r="A126" s="128">
        <v>580</v>
      </c>
      <c r="B126" s="55">
        <v>5000</v>
      </c>
      <c r="C126" s="133">
        <v>1</v>
      </c>
      <c r="D126" s="51">
        <v>3</v>
      </c>
      <c r="E126" s="25">
        <v>5</v>
      </c>
    </row>
    <row r="127" spans="1:5" x14ac:dyDescent="0.2">
      <c r="A127" s="129">
        <v>7100</v>
      </c>
      <c r="B127" s="55">
        <v>60000</v>
      </c>
      <c r="C127" s="134">
        <v>2</v>
      </c>
      <c r="D127" s="65">
        <v>4</v>
      </c>
      <c r="E127" s="27">
        <v>16</v>
      </c>
    </row>
    <row r="128" spans="1:5" x14ac:dyDescent="0.2">
      <c r="A128" s="128">
        <v>650</v>
      </c>
      <c r="B128" s="55">
        <v>20000</v>
      </c>
      <c r="C128" s="133">
        <v>1</v>
      </c>
      <c r="D128" s="51">
        <v>5</v>
      </c>
      <c r="E128" s="25">
        <v>7</v>
      </c>
    </row>
    <row r="129" spans="1:5" x14ac:dyDescent="0.2">
      <c r="A129" s="129">
        <v>5200</v>
      </c>
      <c r="B129" s="55">
        <v>20000</v>
      </c>
      <c r="C129" s="134">
        <v>2</v>
      </c>
      <c r="D129" s="65">
        <v>7</v>
      </c>
      <c r="E129" s="27">
        <v>10</v>
      </c>
    </row>
    <row r="130" spans="1:5" x14ac:dyDescent="0.2">
      <c r="A130" s="128">
        <v>500</v>
      </c>
      <c r="B130" s="55">
        <v>5000</v>
      </c>
      <c r="C130" s="133">
        <v>1</v>
      </c>
      <c r="D130" s="51">
        <v>4</v>
      </c>
      <c r="E130" s="25">
        <v>4</v>
      </c>
    </row>
    <row r="131" spans="1:5" x14ac:dyDescent="0.2">
      <c r="A131" s="129">
        <v>10200</v>
      </c>
      <c r="B131" s="55">
        <v>125000</v>
      </c>
      <c r="C131" s="134">
        <v>3</v>
      </c>
      <c r="D131" s="65">
        <v>3</v>
      </c>
      <c r="E131" s="27">
        <v>15</v>
      </c>
    </row>
    <row r="132" spans="1:5" x14ac:dyDescent="0.2">
      <c r="A132" s="128">
        <v>720</v>
      </c>
      <c r="B132" s="55">
        <v>5000</v>
      </c>
      <c r="C132" s="133">
        <v>1</v>
      </c>
      <c r="D132" s="51">
        <v>5</v>
      </c>
      <c r="E132" s="25">
        <v>6</v>
      </c>
    </row>
    <row r="133" spans="1:5" x14ac:dyDescent="0.2">
      <c r="A133" s="129">
        <v>900</v>
      </c>
      <c r="B133" s="55">
        <v>20000</v>
      </c>
      <c r="C133" s="134">
        <v>1</v>
      </c>
      <c r="D133" s="65">
        <v>6</v>
      </c>
      <c r="E133" s="27">
        <v>11</v>
      </c>
    </row>
    <row r="134" spans="1:5" x14ac:dyDescent="0.2">
      <c r="A134" s="128">
        <v>780</v>
      </c>
      <c r="B134" s="55">
        <v>40000</v>
      </c>
      <c r="C134" s="133">
        <v>1</v>
      </c>
      <c r="D134" s="51">
        <v>4</v>
      </c>
      <c r="E134" s="25">
        <v>9</v>
      </c>
    </row>
    <row r="135" spans="1:5" x14ac:dyDescent="0.2">
      <c r="A135" s="129">
        <v>4800</v>
      </c>
      <c r="B135" s="55">
        <v>40000</v>
      </c>
      <c r="C135" s="134">
        <v>2</v>
      </c>
      <c r="D135" s="65">
        <v>5</v>
      </c>
      <c r="E135" s="27">
        <v>13</v>
      </c>
    </row>
    <row r="136" spans="1:5" x14ac:dyDescent="0.2">
      <c r="A136" s="128">
        <v>850</v>
      </c>
      <c r="B136" s="55">
        <v>5000</v>
      </c>
      <c r="C136" s="133">
        <v>1</v>
      </c>
      <c r="D136" s="51">
        <v>4</v>
      </c>
      <c r="E136" s="25">
        <v>6</v>
      </c>
    </row>
    <row r="137" spans="1:5" x14ac:dyDescent="0.2">
      <c r="A137" s="129">
        <v>6400</v>
      </c>
      <c r="B137" s="55">
        <v>40000</v>
      </c>
      <c r="C137" s="134">
        <v>2</v>
      </c>
      <c r="D137" s="65">
        <v>6</v>
      </c>
      <c r="E137" s="27">
        <v>8</v>
      </c>
    </row>
    <row r="138" spans="1:5" x14ac:dyDescent="0.2">
      <c r="A138" s="128">
        <v>800</v>
      </c>
      <c r="B138" s="55">
        <v>20000</v>
      </c>
      <c r="C138" s="133">
        <v>1</v>
      </c>
      <c r="D138" s="51">
        <v>3</v>
      </c>
      <c r="E138" s="25">
        <v>10</v>
      </c>
    </row>
    <row r="139" spans="1:5" x14ac:dyDescent="0.2">
      <c r="A139" s="129">
        <v>4900</v>
      </c>
      <c r="B139" s="55">
        <v>60000</v>
      </c>
      <c r="C139" s="134">
        <v>2</v>
      </c>
      <c r="D139" s="65">
        <v>5</v>
      </c>
      <c r="E139" s="27">
        <v>17</v>
      </c>
    </row>
    <row r="140" spans="1:5" x14ac:dyDescent="0.2">
      <c r="A140" s="128">
        <v>720</v>
      </c>
      <c r="B140" s="55">
        <v>5000</v>
      </c>
      <c r="C140" s="133">
        <v>1</v>
      </c>
      <c r="D140" s="51">
        <v>6</v>
      </c>
      <c r="E140" s="25">
        <v>9</v>
      </c>
    </row>
    <row r="141" spans="1:5" x14ac:dyDescent="0.2">
      <c r="A141" s="129">
        <v>9900</v>
      </c>
      <c r="B141" s="55">
        <v>125000</v>
      </c>
      <c r="C141" s="134">
        <v>3</v>
      </c>
      <c r="D141" s="65">
        <v>4</v>
      </c>
      <c r="E141" s="27">
        <v>12</v>
      </c>
    </row>
    <row r="142" spans="1:5" x14ac:dyDescent="0.2">
      <c r="A142" s="128">
        <v>650</v>
      </c>
      <c r="B142" s="55">
        <v>5000</v>
      </c>
      <c r="C142" s="133">
        <v>1</v>
      </c>
      <c r="D142" s="51">
        <v>3</v>
      </c>
      <c r="E142" s="25">
        <v>7</v>
      </c>
    </row>
    <row r="143" spans="1:5" x14ac:dyDescent="0.2">
      <c r="A143" s="129">
        <v>990</v>
      </c>
      <c r="B143" s="55">
        <v>40000</v>
      </c>
      <c r="C143" s="134">
        <v>1</v>
      </c>
      <c r="D143" s="65">
        <v>5</v>
      </c>
      <c r="E143" s="27">
        <v>10</v>
      </c>
    </row>
    <row r="144" spans="1:5" x14ac:dyDescent="0.2">
      <c r="A144" s="128">
        <v>600</v>
      </c>
      <c r="B144" s="55">
        <v>20000</v>
      </c>
      <c r="C144" s="133">
        <v>1</v>
      </c>
      <c r="D144" s="51">
        <v>4</v>
      </c>
      <c r="E144" s="25">
        <v>5</v>
      </c>
    </row>
    <row r="145" spans="1:5" x14ac:dyDescent="0.2">
      <c r="A145" s="129">
        <v>5000</v>
      </c>
      <c r="B145" s="55">
        <v>40000</v>
      </c>
      <c r="C145" s="134">
        <v>3</v>
      </c>
      <c r="D145" s="65">
        <v>4</v>
      </c>
      <c r="E145" s="27">
        <v>10</v>
      </c>
    </row>
    <row r="146" spans="1:5" x14ac:dyDescent="0.2">
      <c r="A146" s="128">
        <v>1000</v>
      </c>
      <c r="B146" s="55">
        <v>20000</v>
      </c>
      <c r="C146" s="133">
        <v>2</v>
      </c>
      <c r="D146" s="51">
        <v>4</v>
      </c>
      <c r="E146" s="25">
        <v>1</v>
      </c>
    </row>
    <row r="147" spans="1:5" x14ac:dyDescent="0.2">
      <c r="A147" s="129">
        <v>1000</v>
      </c>
      <c r="B147" s="55">
        <v>20000</v>
      </c>
      <c r="C147" s="134">
        <v>2</v>
      </c>
      <c r="D147" s="65">
        <v>6</v>
      </c>
      <c r="E147" s="27">
        <v>20</v>
      </c>
    </row>
    <row r="148" spans="1:5" x14ac:dyDescent="0.2">
      <c r="A148" s="128">
        <v>15000</v>
      </c>
      <c r="B148" s="55">
        <v>20000</v>
      </c>
      <c r="C148" s="133">
        <v>4</v>
      </c>
      <c r="D148" s="51">
        <v>4</v>
      </c>
      <c r="E148" s="25">
        <v>30</v>
      </c>
    </row>
    <row r="149" spans="1:5" x14ac:dyDescent="0.2">
      <c r="A149" s="129">
        <v>4200</v>
      </c>
      <c r="B149" s="55">
        <v>20000</v>
      </c>
      <c r="C149" s="134">
        <v>2</v>
      </c>
      <c r="D149" s="65">
        <v>4</v>
      </c>
      <c r="E149" s="27">
        <v>11</v>
      </c>
    </row>
    <row r="150" spans="1:5" x14ac:dyDescent="0.2">
      <c r="A150" s="128">
        <v>700</v>
      </c>
      <c r="B150" s="55">
        <v>5000</v>
      </c>
      <c r="C150" s="133">
        <v>1</v>
      </c>
      <c r="D150" s="51">
        <v>3</v>
      </c>
      <c r="E150" s="25">
        <v>6</v>
      </c>
    </row>
    <row r="151" spans="1:5" x14ac:dyDescent="0.2">
      <c r="A151" s="129">
        <v>4200</v>
      </c>
      <c r="B151" s="55">
        <v>40000</v>
      </c>
      <c r="C151" s="134">
        <v>2</v>
      </c>
      <c r="D151" s="65">
        <v>5</v>
      </c>
      <c r="E151" s="27">
        <v>8</v>
      </c>
    </row>
    <row r="152" spans="1:5" x14ac:dyDescent="0.2">
      <c r="A152" s="128">
        <v>5200</v>
      </c>
      <c r="B152" s="55">
        <v>60000</v>
      </c>
      <c r="C152" s="133">
        <v>2</v>
      </c>
      <c r="D152" s="51">
        <v>4</v>
      </c>
      <c r="E152" s="25">
        <v>9</v>
      </c>
    </row>
    <row r="153" spans="1:5" x14ac:dyDescent="0.2">
      <c r="A153" s="129">
        <v>600</v>
      </c>
      <c r="B153" s="55">
        <v>5000</v>
      </c>
      <c r="C153" s="134">
        <v>1</v>
      </c>
      <c r="D153" s="65">
        <v>5</v>
      </c>
      <c r="E153" s="27">
        <v>3</v>
      </c>
    </row>
    <row r="154" spans="1:5" x14ac:dyDescent="0.2">
      <c r="A154" s="128">
        <v>9500</v>
      </c>
      <c r="B154" s="55">
        <v>40000</v>
      </c>
      <c r="C154" s="133">
        <v>2</v>
      </c>
      <c r="D154" s="51">
        <v>7</v>
      </c>
      <c r="E154" s="25">
        <v>6</v>
      </c>
    </row>
    <row r="155" spans="1:5" x14ac:dyDescent="0.2">
      <c r="A155" s="129">
        <v>600</v>
      </c>
      <c r="B155" s="55">
        <v>5000</v>
      </c>
      <c r="C155" s="134">
        <v>1</v>
      </c>
      <c r="D155" s="65">
        <v>4</v>
      </c>
      <c r="E155" s="27">
        <v>4</v>
      </c>
    </row>
    <row r="156" spans="1:5" x14ac:dyDescent="0.2">
      <c r="A156" s="128">
        <v>4900</v>
      </c>
      <c r="B156" s="55">
        <v>85000</v>
      </c>
      <c r="C156" s="133">
        <v>2</v>
      </c>
      <c r="D156" s="51">
        <v>4</v>
      </c>
      <c r="E156" s="25">
        <v>7</v>
      </c>
    </row>
    <row r="157" spans="1:5" x14ac:dyDescent="0.2">
      <c r="A157" s="129">
        <v>650</v>
      </c>
      <c r="B157" s="55">
        <v>20000</v>
      </c>
      <c r="C157" s="134">
        <v>1</v>
      </c>
      <c r="D157" s="65">
        <v>5</v>
      </c>
      <c r="E157" s="27">
        <v>3</v>
      </c>
    </row>
    <row r="158" spans="1:5" x14ac:dyDescent="0.2">
      <c r="A158" s="128">
        <v>1700</v>
      </c>
      <c r="B158" s="55">
        <v>40000</v>
      </c>
      <c r="C158" s="133">
        <v>1</v>
      </c>
      <c r="D158" s="51">
        <v>3</v>
      </c>
      <c r="E158" s="25">
        <v>11</v>
      </c>
    </row>
    <row r="159" spans="1:5" x14ac:dyDescent="0.2">
      <c r="A159" s="129">
        <v>3800</v>
      </c>
      <c r="B159" s="55">
        <v>40000</v>
      </c>
      <c r="C159" s="134">
        <v>2</v>
      </c>
      <c r="D159" s="65">
        <v>4</v>
      </c>
      <c r="E159" s="27">
        <v>8</v>
      </c>
    </row>
    <row r="160" spans="1:5" x14ac:dyDescent="0.2">
      <c r="A160" s="128">
        <v>8700</v>
      </c>
      <c r="B160" s="55">
        <v>40000</v>
      </c>
      <c r="C160" s="133">
        <v>2</v>
      </c>
      <c r="D160" s="51">
        <v>6</v>
      </c>
      <c r="E160" s="25">
        <v>7</v>
      </c>
    </row>
    <row r="161" spans="1:5" x14ac:dyDescent="0.2">
      <c r="A161" s="129">
        <v>500</v>
      </c>
      <c r="B161" s="55">
        <v>5000</v>
      </c>
      <c r="C161" s="134">
        <v>1</v>
      </c>
      <c r="D161" s="65">
        <v>4</v>
      </c>
      <c r="E161" s="27">
        <v>3</v>
      </c>
    </row>
    <row r="162" spans="1:5" x14ac:dyDescent="0.2">
      <c r="A162" s="128">
        <v>4200</v>
      </c>
      <c r="B162" s="55">
        <v>20000</v>
      </c>
      <c r="C162" s="133">
        <v>2</v>
      </c>
      <c r="D162" s="51">
        <v>4</v>
      </c>
      <c r="E162" s="25">
        <v>6</v>
      </c>
    </row>
    <row r="163" spans="1:5" x14ac:dyDescent="0.2">
      <c r="A163" s="129">
        <v>1000</v>
      </c>
      <c r="B163" s="55">
        <v>5000</v>
      </c>
      <c r="C163" s="134">
        <v>1</v>
      </c>
      <c r="D163" s="65">
        <v>3</v>
      </c>
      <c r="E163" s="27">
        <v>5</v>
      </c>
    </row>
    <row r="164" spans="1:5" x14ac:dyDescent="0.2">
      <c r="A164" s="128">
        <v>4800</v>
      </c>
      <c r="B164" s="55">
        <v>40000</v>
      </c>
      <c r="C164" s="133">
        <v>2</v>
      </c>
      <c r="D164" s="51">
        <v>5</v>
      </c>
      <c r="E164" s="25">
        <v>18</v>
      </c>
    </row>
    <row r="165" spans="1:5" x14ac:dyDescent="0.2">
      <c r="A165" s="129">
        <v>900</v>
      </c>
      <c r="B165" s="55">
        <v>5000</v>
      </c>
      <c r="C165" s="134">
        <v>1</v>
      </c>
      <c r="D165" s="65">
        <v>4</v>
      </c>
      <c r="E165" s="27">
        <v>4</v>
      </c>
    </row>
    <row r="166" spans="1:5" x14ac:dyDescent="0.2">
      <c r="A166" s="128">
        <v>9200</v>
      </c>
      <c r="B166" s="55">
        <v>60000</v>
      </c>
      <c r="C166" s="133">
        <v>3</v>
      </c>
      <c r="D166" s="51">
        <v>6</v>
      </c>
      <c r="E166" s="25">
        <v>10</v>
      </c>
    </row>
    <row r="167" spans="1:5" x14ac:dyDescent="0.2">
      <c r="A167" s="129">
        <v>3500</v>
      </c>
      <c r="B167" s="55">
        <v>40000</v>
      </c>
      <c r="C167" s="134">
        <v>1</v>
      </c>
      <c r="D167" s="65">
        <v>4</v>
      </c>
      <c r="E167" s="27">
        <v>12</v>
      </c>
    </row>
    <row r="168" spans="1:5" x14ac:dyDescent="0.2">
      <c r="A168" s="128">
        <v>4000</v>
      </c>
      <c r="B168" s="55">
        <v>40000</v>
      </c>
      <c r="C168" s="133">
        <v>2</v>
      </c>
      <c r="D168" s="51">
        <v>5</v>
      </c>
      <c r="E168" s="25">
        <v>8</v>
      </c>
    </row>
    <row r="169" spans="1:5" x14ac:dyDescent="0.2">
      <c r="A169" s="129">
        <v>1600</v>
      </c>
      <c r="B169" s="55">
        <v>40000</v>
      </c>
      <c r="C169" s="134">
        <v>1</v>
      </c>
      <c r="D169" s="65">
        <v>4</v>
      </c>
      <c r="E169" s="27">
        <v>10</v>
      </c>
    </row>
    <row r="170" spans="1:5" x14ac:dyDescent="0.2">
      <c r="A170" s="128">
        <v>12000</v>
      </c>
      <c r="B170" s="55">
        <v>85000</v>
      </c>
      <c r="C170" s="133">
        <v>3</v>
      </c>
      <c r="D170" s="51">
        <v>6</v>
      </c>
      <c r="E170" s="25">
        <v>14</v>
      </c>
    </row>
    <row r="171" spans="1:5" x14ac:dyDescent="0.2">
      <c r="A171" s="129">
        <v>850</v>
      </c>
      <c r="B171" s="55">
        <v>5000</v>
      </c>
      <c r="C171" s="134">
        <v>1</v>
      </c>
      <c r="D171" s="65">
        <v>4</v>
      </c>
      <c r="E171" s="27">
        <v>3</v>
      </c>
    </row>
    <row r="172" spans="1:5" x14ac:dyDescent="0.2">
      <c r="A172" s="128">
        <v>6000</v>
      </c>
      <c r="B172" s="55">
        <v>60000</v>
      </c>
      <c r="C172" s="133">
        <v>2</v>
      </c>
      <c r="D172" s="51">
        <v>4</v>
      </c>
      <c r="E172" s="25">
        <v>12</v>
      </c>
    </row>
    <row r="173" spans="1:5" x14ac:dyDescent="0.2">
      <c r="A173" s="129">
        <v>550</v>
      </c>
      <c r="B173" s="55">
        <v>40000</v>
      </c>
      <c r="C173" s="134">
        <v>1</v>
      </c>
      <c r="D173" s="65">
        <v>6</v>
      </c>
      <c r="E173" s="27">
        <v>2</v>
      </c>
    </row>
    <row r="174" spans="1:5" x14ac:dyDescent="0.2">
      <c r="A174" s="128">
        <v>9000</v>
      </c>
      <c r="B174" s="55">
        <v>125000</v>
      </c>
      <c r="C174" s="133">
        <v>3</v>
      </c>
      <c r="D174" s="51">
        <v>4</v>
      </c>
      <c r="E174" s="25">
        <v>10</v>
      </c>
    </row>
    <row r="175" spans="1:5" x14ac:dyDescent="0.2">
      <c r="A175" s="129">
        <v>5000</v>
      </c>
      <c r="B175" s="55">
        <v>85000</v>
      </c>
      <c r="C175" s="134">
        <v>2</v>
      </c>
      <c r="D175" s="65">
        <v>3</v>
      </c>
      <c r="E175" s="27">
        <v>14</v>
      </c>
    </row>
    <row r="176" spans="1:5" x14ac:dyDescent="0.2">
      <c r="A176" s="128">
        <v>1500</v>
      </c>
      <c r="B176" s="55">
        <v>20000</v>
      </c>
      <c r="C176" s="133">
        <v>1</v>
      </c>
      <c r="D176" s="51">
        <v>4</v>
      </c>
      <c r="E176" s="25">
        <v>8</v>
      </c>
    </row>
    <row r="177" spans="1:5" x14ac:dyDescent="0.2">
      <c r="A177" s="129">
        <v>550</v>
      </c>
      <c r="B177" s="55">
        <v>5000</v>
      </c>
      <c r="C177" s="134">
        <v>1</v>
      </c>
      <c r="D177" s="65">
        <v>3</v>
      </c>
      <c r="E177" s="27">
        <v>5</v>
      </c>
    </row>
    <row r="178" spans="1:5" x14ac:dyDescent="0.2">
      <c r="A178" s="128">
        <v>7000</v>
      </c>
      <c r="B178" s="55">
        <v>60000</v>
      </c>
      <c r="C178" s="133">
        <v>2</v>
      </c>
      <c r="D178" s="51">
        <v>5</v>
      </c>
      <c r="E178" s="25">
        <v>9</v>
      </c>
    </row>
    <row r="179" spans="1:5" x14ac:dyDescent="0.2">
      <c r="A179" s="129">
        <v>1600</v>
      </c>
      <c r="B179" s="55">
        <v>40000</v>
      </c>
      <c r="C179" s="134">
        <v>1</v>
      </c>
      <c r="D179" s="65">
        <v>4</v>
      </c>
      <c r="E179" s="27">
        <v>10</v>
      </c>
    </row>
    <row r="180" spans="1:5" x14ac:dyDescent="0.2">
      <c r="A180" s="128">
        <v>600</v>
      </c>
      <c r="B180" s="55">
        <v>5000</v>
      </c>
      <c r="C180" s="133">
        <v>1</v>
      </c>
      <c r="D180" s="51">
        <v>5</v>
      </c>
      <c r="E180" s="25">
        <v>4</v>
      </c>
    </row>
    <row r="181" spans="1:5" x14ac:dyDescent="0.2">
      <c r="A181" s="129">
        <v>9000</v>
      </c>
      <c r="B181" s="55">
        <v>40000</v>
      </c>
      <c r="C181" s="134">
        <v>2</v>
      </c>
      <c r="D181" s="65">
        <v>6</v>
      </c>
      <c r="E181" s="27">
        <v>7</v>
      </c>
    </row>
    <row r="182" spans="1:5" x14ac:dyDescent="0.2">
      <c r="A182" s="128">
        <v>5200</v>
      </c>
      <c r="B182" s="55">
        <v>85000</v>
      </c>
      <c r="C182" s="133">
        <v>2</v>
      </c>
      <c r="D182" s="51">
        <v>3</v>
      </c>
      <c r="E182" s="25">
        <v>9</v>
      </c>
    </row>
    <row r="183" spans="1:5" x14ac:dyDescent="0.2">
      <c r="A183" s="129">
        <v>1800</v>
      </c>
      <c r="B183" s="55">
        <v>60000</v>
      </c>
      <c r="C183" s="134">
        <v>1</v>
      </c>
      <c r="D183" s="65">
        <v>4</v>
      </c>
      <c r="E183" s="27">
        <v>11</v>
      </c>
    </row>
    <row r="184" spans="1:5" x14ac:dyDescent="0.2">
      <c r="A184" s="128">
        <v>14000</v>
      </c>
      <c r="B184" s="55">
        <v>20000</v>
      </c>
      <c r="C184" s="133">
        <v>3</v>
      </c>
      <c r="D184" s="51">
        <v>6</v>
      </c>
      <c r="E184" s="25">
        <v>12</v>
      </c>
    </row>
    <row r="185" spans="1:5" x14ac:dyDescent="0.2">
      <c r="A185" s="129">
        <v>500</v>
      </c>
      <c r="B185" s="55">
        <v>5000</v>
      </c>
      <c r="C185" s="134">
        <v>1</v>
      </c>
      <c r="D185" s="65">
        <v>3</v>
      </c>
      <c r="E185" s="27">
        <v>3</v>
      </c>
    </row>
    <row r="186" spans="1:5" x14ac:dyDescent="0.2">
      <c r="A186" s="128">
        <v>850</v>
      </c>
      <c r="B186" s="55">
        <v>5000</v>
      </c>
      <c r="C186" s="133">
        <v>1</v>
      </c>
      <c r="D186" s="51">
        <v>5</v>
      </c>
      <c r="E186" s="25">
        <v>5</v>
      </c>
    </row>
    <row r="187" spans="1:5" x14ac:dyDescent="0.2">
      <c r="A187" s="129">
        <v>450</v>
      </c>
      <c r="B187" s="55">
        <v>5000</v>
      </c>
      <c r="C187" s="134">
        <v>1</v>
      </c>
      <c r="D187" s="65">
        <v>4</v>
      </c>
      <c r="E187" s="27">
        <v>15</v>
      </c>
    </row>
    <row r="188" spans="1:5" x14ac:dyDescent="0.2">
      <c r="A188" s="128">
        <v>750</v>
      </c>
      <c r="B188" s="55">
        <v>20000</v>
      </c>
      <c r="C188" s="133">
        <v>1</v>
      </c>
      <c r="D188" s="51">
        <v>4</v>
      </c>
      <c r="E188" s="25">
        <v>6</v>
      </c>
    </row>
    <row r="189" spans="1:5" x14ac:dyDescent="0.2">
      <c r="A189" s="129">
        <v>8200</v>
      </c>
      <c r="B189" s="55">
        <v>40000</v>
      </c>
      <c r="C189" s="134">
        <v>2</v>
      </c>
      <c r="D189" s="65">
        <v>6</v>
      </c>
      <c r="E189" s="27">
        <v>9</v>
      </c>
    </row>
    <row r="190" spans="1:5" x14ac:dyDescent="0.2">
      <c r="A190" s="128">
        <v>1500</v>
      </c>
      <c r="B190" s="55">
        <v>5000</v>
      </c>
      <c r="C190" s="133">
        <v>1</v>
      </c>
      <c r="D190" s="51">
        <v>6</v>
      </c>
      <c r="E190" s="25">
        <v>7</v>
      </c>
    </row>
    <row r="191" spans="1:5" x14ac:dyDescent="0.2">
      <c r="A191" s="129">
        <v>3000</v>
      </c>
      <c r="B191" s="55">
        <v>5000</v>
      </c>
      <c r="C191" s="134">
        <v>2</v>
      </c>
      <c r="D191" s="65">
        <v>4</v>
      </c>
      <c r="E191" s="27">
        <v>7</v>
      </c>
    </row>
    <row r="192" spans="1:5" x14ac:dyDescent="0.2">
      <c r="A192" s="128">
        <v>500</v>
      </c>
      <c r="B192" s="55">
        <v>20000</v>
      </c>
      <c r="C192" s="133">
        <v>3</v>
      </c>
      <c r="D192" s="51">
        <v>5</v>
      </c>
      <c r="E192" s="25">
        <v>1</v>
      </c>
    </row>
    <row r="193" spans="1:5" x14ac:dyDescent="0.2">
      <c r="A193" s="129">
        <v>20000</v>
      </c>
      <c r="B193" s="55">
        <v>5000</v>
      </c>
      <c r="C193" s="134">
        <v>2</v>
      </c>
      <c r="D193" s="65">
        <v>4</v>
      </c>
      <c r="E193" s="27">
        <v>10</v>
      </c>
    </row>
    <row r="194" spans="1:5" x14ac:dyDescent="0.2">
      <c r="A194" s="130">
        <v>850</v>
      </c>
      <c r="B194" s="55">
        <v>5000</v>
      </c>
      <c r="C194" s="133">
        <v>2</v>
      </c>
      <c r="D194" s="51">
        <v>4</v>
      </c>
      <c r="E194" s="25">
        <v>1</v>
      </c>
    </row>
    <row r="195" spans="1:5" x14ac:dyDescent="0.2">
      <c r="A195" s="131">
        <v>1000</v>
      </c>
      <c r="B195" s="55">
        <v>20000</v>
      </c>
      <c r="C195" s="134">
        <v>2</v>
      </c>
      <c r="D195" s="65">
        <v>5</v>
      </c>
      <c r="E195" s="27">
        <v>10</v>
      </c>
    </row>
    <row r="196" spans="1:5" x14ac:dyDescent="0.2">
      <c r="A196" s="128">
        <v>10000</v>
      </c>
      <c r="B196" s="55">
        <v>125000</v>
      </c>
      <c r="C196" s="133">
        <v>2</v>
      </c>
      <c r="D196" s="51">
        <v>4</v>
      </c>
      <c r="E196" s="51">
        <v>6</v>
      </c>
    </row>
    <row r="197" spans="1:5" x14ac:dyDescent="0.2">
      <c r="A197" s="129">
        <v>1000</v>
      </c>
      <c r="B197" s="55">
        <v>5000</v>
      </c>
      <c r="C197" s="134">
        <v>1</v>
      </c>
      <c r="D197" s="65">
        <v>4</v>
      </c>
      <c r="E197" s="27">
        <v>10</v>
      </c>
    </row>
    <row r="198" spans="1:5" x14ac:dyDescent="0.2">
      <c r="A198" s="128">
        <v>5500</v>
      </c>
      <c r="B198" s="55">
        <v>5000</v>
      </c>
      <c r="C198" s="133">
        <v>2</v>
      </c>
      <c r="D198" s="51">
        <v>5</v>
      </c>
      <c r="E198" s="25">
        <v>15</v>
      </c>
    </row>
    <row r="199" spans="1:5" x14ac:dyDescent="0.2">
      <c r="A199" s="129">
        <v>400</v>
      </c>
      <c r="B199" s="55">
        <v>5000</v>
      </c>
      <c r="C199" s="134">
        <v>1</v>
      </c>
      <c r="D199" s="65">
        <v>3</v>
      </c>
      <c r="E199" s="27">
        <v>4</v>
      </c>
    </row>
    <row r="200" spans="1:5" x14ac:dyDescent="0.2">
      <c r="A200" s="128">
        <v>7000</v>
      </c>
      <c r="B200" s="55">
        <v>5000</v>
      </c>
      <c r="C200" s="133">
        <v>3</v>
      </c>
      <c r="D200" s="51">
        <v>3</v>
      </c>
      <c r="E200" s="25">
        <v>22</v>
      </c>
    </row>
    <row r="201" spans="1:5" x14ac:dyDescent="0.2">
      <c r="A201" s="131">
        <v>850</v>
      </c>
      <c r="B201" s="55">
        <v>5000</v>
      </c>
      <c r="C201" s="134">
        <v>1</v>
      </c>
      <c r="D201" s="65">
        <v>6</v>
      </c>
      <c r="E201" s="29">
        <v>6</v>
      </c>
    </row>
    <row r="202" spans="1:5" x14ac:dyDescent="0.2">
      <c r="A202" s="128">
        <v>7500</v>
      </c>
      <c r="B202" s="55">
        <v>5000</v>
      </c>
      <c r="C202" s="133">
        <v>3</v>
      </c>
      <c r="D202" s="51">
        <v>4</v>
      </c>
      <c r="E202" s="25">
        <v>15</v>
      </c>
    </row>
    <row r="203" spans="1:5" x14ac:dyDescent="0.2">
      <c r="A203" s="131">
        <v>750</v>
      </c>
      <c r="B203" s="55">
        <v>60000</v>
      </c>
      <c r="C203" s="134">
        <v>1</v>
      </c>
      <c r="D203" s="65">
        <v>5</v>
      </c>
      <c r="E203" s="29">
        <v>6</v>
      </c>
    </row>
    <row r="204" spans="1:5" x14ac:dyDescent="0.2">
      <c r="A204" s="128">
        <v>2000</v>
      </c>
      <c r="B204" s="55">
        <v>20000</v>
      </c>
      <c r="C204" s="133">
        <v>1</v>
      </c>
      <c r="D204" s="51">
        <v>5</v>
      </c>
      <c r="E204" s="25">
        <v>5</v>
      </c>
    </row>
    <row r="205" spans="1:5" x14ac:dyDescent="0.2">
      <c r="A205" s="129">
        <v>4000</v>
      </c>
      <c r="B205" s="55">
        <v>20000</v>
      </c>
      <c r="C205" s="134">
        <v>2</v>
      </c>
      <c r="D205" s="65">
        <v>4</v>
      </c>
      <c r="E205" s="27">
        <v>3</v>
      </c>
    </row>
    <row r="206" spans="1:5" x14ac:dyDescent="0.2">
      <c r="A206" s="130">
        <v>1000</v>
      </c>
      <c r="B206" s="55">
        <v>85000</v>
      </c>
      <c r="C206" s="133">
        <v>2</v>
      </c>
      <c r="D206" s="51">
        <v>5</v>
      </c>
      <c r="E206" s="25">
        <v>2</v>
      </c>
    </row>
    <row r="207" spans="1:5" x14ac:dyDescent="0.2">
      <c r="A207" s="131">
        <v>1000</v>
      </c>
      <c r="B207" s="55">
        <v>40000</v>
      </c>
      <c r="C207" s="134">
        <v>2</v>
      </c>
      <c r="D207" s="65">
        <v>4</v>
      </c>
      <c r="E207" s="27">
        <v>1</v>
      </c>
    </row>
    <row r="208" spans="1:5" x14ac:dyDescent="0.2">
      <c r="A208" s="130">
        <v>1000</v>
      </c>
      <c r="B208" s="55">
        <v>40000</v>
      </c>
      <c r="C208" s="133">
        <v>1</v>
      </c>
      <c r="D208" s="51">
        <v>5</v>
      </c>
      <c r="E208" s="25">
        <v>7</v>
      </c>
    </row>
    <row r="209" spans="1:5" x14ac:dyDescent="0.2">
      <c r="A209" s="131">
        <v>1500</v>
      </c>
      <c r="B209" s="55">
        <v>20000</v>
      </c>
      <c r="C209" s="134">
        <v>3</v>
      </c>
      <c r="D209" s="65">
        <v>10</v>
      </c>
      <c r="E209" s="27">
        <v>35</v>
      </c>
    </row>
    <row r="210" spans="1:5" x14ac:dyDescent="0.2">
      <c r="A210" s="128">
        <v>5000</v>
      </c>
      <c r="B210" s="55">
        <v>5000</v>
      </c>
      <c r="C210" s="133">
        <v>2</v>
      </c>
      <c r="D210" s="51">
        <v>5</v>
      </c>
      <c r="E210" s="28">
        <v>6</v>
      </c>
    </row>
    <row r="211" spans="1:5" x14ac:dyDescent="0.2">
      <c r="A211" s="129">
        <v>1000</v>
      </c>
      <c r="B211" s="55">
        <v>5000</v>
      </c>
      <c r="C211" s="134">
        <v>1</v>
      </c>
      <c r="D211" s="65">
        <v>4</v>
      </c>
      <c r="E211" s="27">
        <v>10</v>
      </c>
    </row>
    <row r="212" spans="1:5" x14ac:dyDescent="0.2">
      <c r="A212" s="130">
        <v>1000</v>
      </c>
      <c r="B212" s="55">
        <v>5000</v>
      </c>
      <c r="C212" s="133">
        <v>2</v>
      </c>
      <c r="D212" s="51">
        <v>4</v>
      </c>
      <c r="E212" s="28">
        <v>6</v>
      </c>
    </row>
    <row r="213" spans="1:5" x14ac:dyDescent="0.2">
      <c r="A213" s="131">
        <v>1500</v>
      </c>
      <c r="B213" s="55">
        <v>5000</v>
      </c>
      <c r="C213" s="134">
        <v>2</v>
      </c>
      <c r="D213" s="65">
        <v>6</v>
      </c>
      <c r="E213" s="29">
        <v>6</v>
      </c>
    </row>
    <row r="214" spans="1:5" x14ac:dyDescent="0.2">
      <c r="A214" s="130">
        <v>550</v>
      </c>
      <c r="B214" s="55">
        <v>5000</v>
      </c>
      <c r="C214" s="133">
        <v>2</v>
      </c>
      <c r="D214" s="51">
        <v>4</v>
      </c>
      <c r="E214" s="28">
        <v>6</v>
      </c>
    </row>
    <row r="215" spans="1:5" x14ac:dyDescent="0.2">
      <c r="A215" s="131">
        <v>1000</v>
      </c>
      <c r="B215" s="55">
        <v>5000</v>
      </c>
      <c r="C215" s="134">
        <v>1</v>
      </c>
      <c r="D215" s="65">
        <v>6</v>
      </c>
      <c r="E215" s="29">
        <v>6</v>
      </c>
    </row>
    <row r="216" spans="1:5" x14ac:dyDescent="0.2">
      <c r="A216" s="130">
        <v>950</v>
      </c>
      <c r="B216" s="55">
        <v>40000</v>
      </c>
      <c r="C216" s="133">
        <v>2</v>
      </c>
      <c r="D216" s="51">
        <v>4</v>
      </c>
      <c r="E216" s="25">
        <v>5</v>
      </c>
    </row>
    <row r="217" spans="1:5" x14ac:dyDescent="0.2">
      <c r="A217" s="131">
        <v>550</v>
      </c>
      <c r="B217" s="55">
        <v>20000</v>
      </c>
      <c r="C217" s="134">
        <v>1</v>
      </c>
      <c r="D217" s="65">
        <v>4</v>
      </c>
      <c r="E217" s="27">
        <v>40</v>
      </c>
    </row>
    <row r="218" spans="1:5" x14ac:dyDescent="0.2">
      <c r="A218" s="128">
        <v>6000</v>
      </c>
      <c r="B218" s="55">
        <v>40000</v>
      </c>
      <c r="C218" s="133">
        <v>2</v>
      </c>
      <c r="D218" s="51">
        <v>4</v>
      </c>
      <c r="E218" s="25">
        <v>10</v>
      </c>
    </row>
    <row r="219" spans="1:5" x14ac:dyDescent="0.2">
      <c r="A219" s="129">
        <v>1800</v>
      </c>
      <c r="B219" s="55">
        <v>60000</v>
      </c>
      <c r="C219" s="134">
        <v>1</v>
      </c>
      <c r="D219" s="65">
        <v>5</v>
      </c>
      <c r="E219" s="27">
        <v>7</v>
      </c>
    </row>
    <row r="220" spans="1:5" x14ac:dyDescent="0.2">
      <c r="A220" s="128">
        <v>400</v>
      </c>
      <c r="B220" s="55">
        <v>5000</v>
      </c>
      <c r="C220" s="133">
        <v>1</v>
      </c>
      <c r="D220" s="51">
        <v>6</v>
      </c>
      <c r="E220" s="25">
        <v>4</v>
      </c>
    </row>
    <row r="221" spans="1:5" x14ac:dyDescent="0.2">
      <c r="A221" s="129">
        <v>4500</v>
      </c>
      <c r="B221" s="55">
        <v>40000</v>
      </c>
      <c r="C221" s="134">
        <v>3</v>
      </c>
      <c r="D221" s="65">
        <v>5</v>
      </c>
      <c r="E221" s="27">
        <v>12</v>
      </c>
    </row>
    <row r="222" spans="1:5" x14ac:dyDescent="0.2">
      <c r="A222" s="128">
        <v>4500</v>
      </c>
      <c r="B222" s="55">
        <v>40000</v>
      </c>
      <c r="C222" s="133">
        <v>2</v>
      </c>
      <c r="D222" s="51">
        <v>4</v>
      </c>
      <c r="E222" s="25">
        <v>12</v>
      </c>
    </row>
    <row r="223" spans="1:5" x14ac:dyDescent="0.2">
      <c r="A223" s="129">
        <v>900</v>
      </c>
      <c r="B223" s="55">
        <v>60000</v>
      </c>
      <c r="C223" s="134">
        <v>1</v>
      </c>
      <c r="D223" s="65">
        <v>3</v>
      </c>
      <c r="E223" s="27">
        <v>7</v>
      </c>
    </row>
    <row r="224" spans="1:5" x14ac:dyDescent="0.2">
      <c r="A224" s="128">
        <v>14000</v>
      </c>
      <c r="B224" s="55">
        <v>125000</v>
      </c>
      <c r="C224" s="133">
        <v>3</v>
      </c>
      <c r="D224" s="51">
        <v>4</v>
      </c>
      <c r="E224" s="28">
        <v>6</v>
      </c>
    </row>
    <row r="225" spans="1:5" x14ac:dyDescent="0.2">
      <c r="A225" s="129">
        <v>750</v>
      </c>
      <c r="B225" s="55">
        <v>5000</v>
      </c>
      <c r="C225" s="134">
        <v>1</v>
      </c>
      <c r="D225" s="65">
        <v>5</v>
      </c>
      <c r="E225" s="27">
        <v>5</v>
      </c>
    </row>
    <row r="226" spans="1:5" x14ac:dyDescent="0.2">
      <c r="A226" s="128">
        <v>7000</v>
      </c>
      <c r="B226" s="55">
        <v>60000</v>
      </c>
      <c r="C226" s="133">
        <v>2</v>
      </c>
      <c r="D226" s="51">
        <v>6</v>
      </c>
      <c r="E226" s="25">
        <v>20</v>
      </c>
    </row>
    <row r="227" spans="1:5" x14ac:dyDescent="0.2">
      <c r="A227" s="129">
        <v>1200</v>
      </c>
      <c r="B227" s="55">
        <v>40000</v>
      </c>
      <c r="C227" s="134">
        <v>1</v>
      </c>
      <c r="D227" s="65">
        <v>3</v>
      </c>
      <c r="E227" s="27">
        <v>6</v>
      </c>
    </row>
    <row r="228" spans="1:5" x14ac:dyDescent="0.2">
      <c r="A228" s="128">
        <v>12500</v>
      </c>
      <c r="B228" s="55">
        <v>125000</v>
      </c>
      <c r="C228" s="133">
        <v>3</v>
      </c>
      <c r="D228" s="51">
        <v>4</v>
      </c>
      <c r="E228" s="25">
        <v>14</v>
      </c>
    </row>
    <row r="229" spans="1:5" x14ac:dyDescent="0.2">
      <c r="A229" s="129">
        <v>3000</v>
      </c>
      <c r="B229" s="55">
        <v>20000</v>
      </c>
      <c r="C229" s="134">
        <v>1</v>
      </c>
      <c r="D229" s="65">
        <v>5</v>
      </c>
      <c r="E229" s="27">
        <v>3</v>
      </c>
    </row>
    <row r="230" spans="1:5" x14ac:dyDescent="0.2">
      <c r="A230" s="128">
        <v>8000</v>
      </c>
      <c r="B230" s="55">
        <v>40000</v>
      </c>
      <c r="C230" s="133">
        <v>2</v>
      </c>
      <c r="D230" s="51">
        <v>5</v>
      </c>
      <c r="E230" s="25">
        <v>10</v>
      </c>
    </row>
    <row r="231" spans="1:5" x14ac:dyDescent="0.2">
      <c r="A231" s="129">
        <v>900</v>
      </c>
      <c r="B231" s="55">
        <v>5000</v>
      </c>
      <c r="C231" s="134">
        <v>1</v>
      </c>
      <c r="D231" s="65">
        <v>3</v>
      </c>
      <c r="E231" s="27">
        <v>4</v>
      </c>
    </row>
    <row r="232" spans="1:5" x14ac:dyDescent="0.2">
      <c r="A232" s="128">
        <v>1400</v>
      </c>
      <c r="B232" s="55">
        <v>40000</v>
      </c>
      <c r="C232" s="133">
        <v>1</v>
      </c>
      <c r="D232" s="51">
        <v>4</v>
      </c>
      <c r="E232" s="25">
        <v>11</v>
      </c>
    </row>
    <row r="233" spans="1:5" x14ac:dyDescent="0.2">
      <c r="A233" s="129">
        <v>600</v>
      </c>
      <c r="B233" s="55">
        <v>5000</v>
      </c>
      <c r="C233" s="134">
        <v>1</v>
      </c>
      <c r="D233" s="65">
        <v>4</v>
      </c>
      <c r="E233" s="27">
        <v>5</v>
      </c>
    </row>
    <row r="234" spans="1:5" x14ac:dyDescent="0.2">
      <c r="A234" s="128">
        <v>7800</v>
      </c>
      <c r="B234" s="55">
        <v>40000</v>
      </c>
      <c r="C234" s="133">
        <v>2</v>
      </c>
      <c r="D234" s="51">
        <v>6</v>
      </c>
      <c r="E234" s="25">
        <v>8</v>
      </c>
    </row>
    <row r="235" spans="1:5" x14ac:dyDescent="0.2">
      <c r="A235" s="129">
        <v>3200</v>
      </c>
      <c r="B235" s="55">
        <v>60000</v>
      </c>
      <c r="C235" s="134">
        <v>1</v>
      </c>
      <c r="D235" s="65">
        <v>2</v>
      </c>
      <c r="E235" s="27">
        <v>9</v>
      </c>
    </row>
    <row r="236" spans="1:5" x14ac:dyDescent="0.2">
      <c r="A236" s="128">
        <v>13200</v>
      </c>
      <c r="B236" s="55">
        <v>125000</v>
      </c>
      <c r="C236" s="133">
        <v>3</v>
      </c>
      <c r="D236" s="51">
        <v>5</v>
      </c>
      <c r="E236" s="25">
        <v>13</v>
      </c>
    </row>
    <row r="237" spans="1:5" x14ac:dyDescent="0.2">
      <c r="A237" s="129">
        <v>500</v>
      </c>
      <c r="B237" s="55">
        <v>20000</v>
      </c>
      <c r="C237" s="134">
        <v>1</v>
      </c>
      <c r="D237" s="65">
        <v>4</v>
      </c>
      <c r="E237" s="27">
        <v>3</v>
      </c>
    </row>
    <row r="238" spans="1:5" x14ac:dyDescent="0.2">
      <c r="A238" s="128">
        <v>3800</v>
      </c>
      <c r="B238" s="55">
        <v>40000</v>
      </c>
      <c r="C238" s="133">
        <v>2</v>
      </c>
      <c r="D238" s="51">
        <v>4</v>
      </c>
      <c r="E238" s="25">
        <v>14</v>
      </c>
    </row>
    <row r="239" spans="1:5" x14ac:dyDescent="0.2">
      <c r="A239" s="129">
        <v>850</v>
      </c>
      <c r="B239" s="55">
        <v>5000</v>
      </c>
      <c r="C239" s="134">
        <v>1</v>
      </c>
      <c r="D239" s="65">
        <v>5</v>
      </c>
      <c r="E239" s="27">
        <v>6</v>
      </c>
    </row>
    <row r="240" spans="1:5" x14ac:dyDescent="0.2">
      <c r="A240" s="128">
        <v>6700</v>
      </c>
      <c r="B240" s="55">
        <v>40000</v>
      </c>
      <c r="C240" s="133">
        <v>2</v>
      </c>
      <c r="D240" s="51">
        <v>6</v>
      </c>
      <c r="E240" s="25">
        <v>5</v>
      </c>
    </row>
    <row r="241" spans="1:5" x14ac:dyDescent="0.2">
      <c r="A241" s="129">
        <v>4600</v>
      </c>
      <c r="B241" s="55">
        <v>40000</v>
      </c>
      <c r="C241" s="134">
        <v>1</v>
      </c>
      <c r="D241" s="65">
        <v>3</v>
      </c>
      <c r="E241" s="27">
        <v>16</v>
      </c>
    </row>
    <row r="242" spans="1:5" x14ac:dyDescent="0.2">
      <c r="A242" s="128">
        <v>1300</v>
      </c>
      <c r="B242" s="55">
        <v>40000</v>
      </c>
      <c r="C242" s="133">
        <v>1</v>
      </c>
      <c r="D242" s="51">
        <v>5</v>
      </c>
      <c r="E242" s="25">
        <v>9</v>
      </c>
    </row>
    <row r="243" spans="1:5" x14ac:dyDescent="0.2">
      <c r="A243" s="129">
        <v>750</v>
      </c>
      <c r="B243" s="55">
        <v>40000</v>
      </c>
      <c r="C243" s="134">
        <v>1</v>
      </c>
      <c r="D243" s="65">
        <v>3</v>
      </c>
      <c r="E243" s="27">
        <v>7</v>
      </c>
    </row>
    <row r="244" spans="1:5" x14ac:dyDescent="0.2">
      <c r="A244" s="128">
        <v>3900</v>
      </c>
      <c r="B244" s="55">
        <v>85000</v>
      </c>
      <c r="C244" s="133">
        <v>2</v>
      </c>
      <c r="D244" s="51">
        <v>5</v>
      </c>
      <c r="E244" s="25">
        <v>12</v>
      </c>
    </row>
    <row r="245" spans="1:5" x14ac:dyDescent="0.2">
      <c r="A245" s="129">
        <v>1000</v>
      </c>
      <c r="B245" s="55">
        <v>5000</v>
      </c>
      <c r="C245" s="134">
        <v>1</v>
      </c>
      <c r="D245" s="65">
        <v>4</v>
      </c>
      <c r="E245" s="27">
        <v>7</v>
      </c>
    </row>
    <row r="246" spans="1:5" x14ac:dyDescent="0.2">
      <c r="A246" s="128">
        <v>8500</v>
      </c>
      <c r="B246" s="55">
        <v>60000</v>
      </c>
      <c r="C246" s="133">
        <v>2</v>
      </c>
      <c r="D246" s="51">
        <v>6</v>
      </c>
      <c r="E246" s="25">
        <v>6</v>
      </c>
    </row>
    <row r="247" spans="1:5" x14ac:dyDescent="0.2">
      <c r="A247" s="129">
        <v>3600</v>
      </c>
      <c r="B247" s="55">
        <v>60000</v>
      </c>
      <c r="C247" s="134">
        <v>1</v>
      </c>
      <c r="D247" s="65">
        <v>6</v>
      </c>
      <c r="E247" s="27">
        <v>12</v>
      </c>
    </row>
    <row r="248" spans="1:5" x14ac:dyDescent="0.2">
      <c r="A248" s="128">
        <v>400</v>
      </c>
      <c r="B248" s="55">
        <v>20000</v>
      </c>
      <c r="C248" s="133">
        <v>1</v>
      </c>
      <c r="D248" s="51">
        <v>4</v>
      </c>
      <c r="E248" s="25">
        <v>3</v>
      </c>
    </row>
    <row r="249" spans="1:5" x14ac:dyDescent="0.2">
      <c r="A249" s="129">
        <v>1600</v>
      </c>
      <c r="B249" s="55">
        <v>40000</v>
      </c>
      <c r="C249" s="134">
        <v>2</v>
      </c>
      <c r="D249" s="65">
        <v>3</v>
      </c>
      <c r="E249" s="27">
        <v>10</v>
      </c>
    </row>
    <row r="250" spans="1:5" x14ac:dyDescent="0.2">
      <c r="A250" s="128">
        <v>1200</v>
      </c>
      <c r="B250" s="55">
        <v>60000</v>
      </c>
      <c r="C250" s="133">
        <v>3</v>
      </c>
      <c r="D250" s="51">
        <v>5</v>
      </c>
      <c r="E250" s="25">
        <v>15</v>
      </c>
    </row>
    <row r="251" spans="1:5" x14ac:dyDescent="0.2">
      <c r="A251" s="129">
        <v>3900</v>
      </c>
      <c r="B251" s="55">
        <v>40000</v>
      </c>
      <c r="C251" s="134">
        <v>1</v>
      </c>
      <c r="D251" s="65">
        <v>4</v>
      </c>
      <c r="E251" s="27">
        <v>14</v>
      </c>
    </row>
    <row r="252" spans="1:5" x14ac:dyDescent="0.2">
      <c r="A252" s="128">
        <v>1450</v>
      </c>
      <c r="B252" s="55">
        <v>40000</v>
      </c>
      <c r="C252" s="133">
        <v>1</v>
      </c>
      <c r="D252" s="51">
        <v>4</v>
      </c>
      <c r="E252" s="25">
        <v>10</v>
      </c>
    </row>
    <row r="253" spans="1:5" x14ac:dyDescent="0.2">
      <c r="A253" s="129">
        <v>500</v>
      </c>
      <c r="B253" s="55">
        <v>20000</v>
      </c>
      <c r="C253" s="134">
        <v>1</v>
      </c>
      <c r="D253" s="65">
        <v>5</v>
      </c>
      <c r="E253" s="27">
        <v>3</v>
      </c>
    </row>
    <row r="254" spans="1:5" x14ac:dyDescent="0.2">
      <c r="A254" s="128">
        <v>9000</v>
      </c>
      <c r="B254" s="55">
        <v>60000</v>
      </c>
      <c r="C254" s="133">
        <v>2</v>
      </c>
      <c r="D254" s="51">
        <v>6</v>
      </c>
      <c r="E254" s="25">
        <v>6</v>
      </c>
    </row>
    <row r="255" spans="1:5" x14ac:dyDescent="0.2">
      <c r="A255" s="129">
        <v>4500</v>
      </c>
      <c r="B255" s="55">
        <v>40000</v>
      </c>
      <c r="C255" s="134">
        <v>1</v>
      </c>
      <c r="D255" s="65">
        <v>4</v>
      </c>
      <c r="E255" s="27">
        <v>14</v>
      </c>
    </row>
    <row r="256" spans="1:5" x14ac:dyDescent="0.2">
      <c r="A256" s="128">
        <v>500</v>
      </c>
      <c r="B256" s="55">
        <v>40000</v>
      </c>
      <c r="C256" s="133">
        <v>1</v>
      </c>
      <c r="D256" s="51">
        <v>5</v>
      </c>
      <c r="E256" s="25">
        <v>4</v>
      </c>
    </row>
    <row r="257" spans="1:5" x14ac:dyDescent="0.2">
      <c r="A257" s="129">
        <v>4200</v>
      </c>
      <c r="B257" s="55">
        <v>40000</v>
      </c>
      <c r="C257" s="134">
        <v>2</v>
      </c>
      <c r="D257" s="65">
        <v>4</v>
      </c>
      <c r="E257" s="27">
        <v>12</v>
      </c>
    </row>
    <row r="258" spans="1:5" x14ac:dyDescent="0.2">
      <c r="A258" s="128">
        <v>650</v>
      </c>
      <c r="B258" s="55">
        <v>40000</v>
      </c>
      <c r="C258" s="133">
        <v>1</v>
      </c>
      <c r="D258" s="51">
        <v>3</v>
      </c>
      <c r="E258" s="25">
        <v>6</v>
      </c>
    </row>
    <row r="259" spans="1:5" x14ac:dyDescent="0.2">
      <c r="A259" s="129">
        <v>13800</v>
      </c>
      <c r="B259" s="55">
        <v>125000</v>
      </c>
      <c r="C259" s="134">
        <v>3</v>
      </c>
      <c r="D259" s="65">
        <v>6</v>
      </c>
      <c r="E259" s="27">
        <v>18</v>
      </c>
    </row>
    <row r="260" spans="1:5" x14ac:dyDescent="0.2">
      <c r="A260" s="128">
        <v>1100</v>
      </c>
      <c r="B260" s="55">
        <v>5000</v>
      </c>
      <c r="C260" s="133">
        <v>1</v>
      </c>
      <c r="D260" s="51">
        <v>3</v>
      </c>
      <c r="E260" s="25">
        <v>5</v>
      </c>
    </row>
    <row r="261" spans="1:5" x14ac:dyDescent="0.2">
      <c r="A261" s="129">
        <v>10200</v>
      </c>
      <c r="B261" s="55">
        <v>60000</v>
      </c>
      <c r="C261" s="134">
        <v>2</v>
      </c>
      <c r="D261" s="65">
        <v>5</v>
      </c>
      <c r="E261" s="27">
        <v>7</v>
      </c>
    </row>
    <row r="262" spans="1:5" x14ac:dyDescent="0.2">
      <c r="A262" s="128">
        <v>1150</v>
      </c>
      <c r="B262" s="55">
        <v>40000</v>
      </c>
      <c r="C262" s="133">
        <v>1</v>
      </c>
      <c r="D262" s="51">
        <v>4</v>
      </c>
      <c r="E262" s="25">
        <v>8</v>
      </c>
    </row>
    <row r="263" spans="1:5" x14ac:dyDescent="0.2">
      <c r="A263" s="129">
        <v>650</v>
      </c>
      <c r="B263" s="55">
        <v>40000</v>
      </c>
      <c r="C263" s="134">
        <v>1</v>
      </c>
      <c r="D263" s="65">
        <v>3</v>
      </c>
      <c r="E263" s="27">
        <v>6</v>
      </c>
    </row>
    <row r="264" spans="1:5" x14ac:dyDescent="0.2">
      <c r="A264" s="128">
        <v>14500</v>
      </c>
      <c r="B264" s="55">
        <v>85000</v>
      </c>
      <c r="C264" s="133">
        <v>3</v>
      </c>
      <c r="D264" s="51">
        <v>4</v>
      </c>
      <c r="E264" s="25">
        <v>20</v>
      </c>
    </row>
    <row r="265" spans="1:5" x14ac:dyDescent="0.2">
      <c r="A265" s="129">
        <v>3800</v>
      </c>
      <c r="B265" s="55">
        <v>40000</v>
      </c>
      <c r="C265" s="134">
        <v>1</v>
      </c>
      <c r="D265" s="65">
        <v>3</v>
      </c>
      <c r="E265" s="27">
        <v>14</v>
      </c>
    </row>
    <row r="266" spans="1:5" x14ac:dyDescent="0.2">
      <c r="A266" s="128">
        <v>1000</v>
      </c>
      <c r="B266" s="55">
        <v>40000</v>
      </c>
      <c r="C266" s="135">
        <v>1</v>
      </c>
      <c r="D266" s="51">
        <v>5</v>
      </c>
      <c r="E266" s="25">
        <v>6</v>
      </c>
    </row>
    <row r="267" spans="1:5" x14ac:dyDescent="0.2">
      <c r="A267" s="129">
        <v>1250</v>
      </c>
      <c r="B267" s="55">
        <v>5000</v>
      </c>
      <c r="C267" s="134">
        <v>1</v>
      </c>
      <c r="D267" s="65">
        <v>6</v>
      </c>
      <c r="E267" s="27">
        <v>9</v>
      </c>
    </row>
    <row r="268" spans="1:5" x14ac:dyDescent="0.2">
      <c r="A268" s="128">
        <v>10800</v>
      </c>
      <c r="B268" s="55">
        <v>60000</v>
      </c>
      <c r="C268" s="133">
        <v>2</v>
      </c>
      <c r="D268" s="51">
        <v>5</v>
      </c>
      <c r="E268" s="25">
        <v>6</v>
      </c>
    </row>
    <row r="269" spans="1:5" x14ac:dyDescent="0.2">
      <c r="A269" s="129">
        <v>650</v>
      </c>
      <c r="B269" s="55">
        <v>40000</v>
      </c>
      <c r="C269" s="134">
        <v>1</v>
      </c>
      <c r="D269" s="65">
        <v>4</v>
      </c>
      <c r="E269" s="27">
        <v>6</v>
      </c>
    </row>
    <row r="270" spans="1:5" x14ac:dyDescent="0.2">
      <c r="A270" s="128">
        <v>15600</v>
      </c>
      <c r="B270" s="55">
        <v>125000</v>
      </c>
      <c r="C270" s="133">
        <v>3</v>
      </c>
      <c r="D270" s="51">
        <v>4</v>
      </c>
      <c r="E270" s="25">
        <v>22</v>
      </c>
    </row>
    <row r="271" spans="1:5" x14ac:dyDescent="0.2">
      <c r="A271" s="129">
        <v>4400</v>
      </c>
      <c r="B271" s="55">
        <v>20000</v>
      </c>
      <c r="C271" s="134">
        <v>1</v>
      </c>
      <c r="D271" s="65">
        <v>5</v>
      </c>
      <c r="E271" s="27">
        <v>15</v>
      </c>
    </row>
    <row r="272" spans="1:5" x14ac:dyDescent="0.2">
      <c r="A272" s="128">
        <v>1800</v>
      </c>
      <c r="B272" s="55">
        <v>40000</v>
      </c>
      <c r="C272" s="133">
        <v>2</v>
      </c>
      <c r="D272" s="51">
        <v>4</v>
      </c>
      <c r="E272" s="25">
        <v>8</v>
      </c>
    </row>
    <row r="273" spans="1:5" x14ac:dyDescent="0.2">
      <c r="A273" s="129">
        <v>520</v>
      </c>
      <c r="B273" s="55">
        <v>5000</v>
      </c>
      <c r="C273" s="134">
        <v>1</v>
      </c>
      <c r="D273" s="65">
        <v>3</v>
      </c>
      <c r="E273" s="27">
        <v>4</v>
      </c>
    </row>
    <row r="274" spans="1:5" x14ac:dyDescent="0.2">
      <c r="A274" s="128">
        <v>3609</v>
      </c>
      <c r="B274" s="55">
        <v>60000</v>
      </c>
      <c r="C274" s="133">
        <v>2</v>
      </c>
      <c r="D274" s="51">
        <v>5</v>
      </c>
      <c r="E274" s="25">
        <v>10</v>
      </c>
    </row>
    <row r="275" spans="1:5" x14ac:dyDescent="0.2">
      <c r="A275" s="129">
        <v>9200</v>
      </c>
      <c r="B275" s="55">
        <v>40000</v>
      </c>
      <c r="C275" s="134">
        <v>2</v>
      </c>
      <c r="D275" s="65">
        <v>5</v>
      </c>
      <c r="E275" s="27">
        <v>6</v>
      </c>
    </row>
    <row r="276" spans="1:5" x14ac:dyDescent="0.2">
      <c r="A276" s="128">
        <v>3700</v>
      </c>
      <c r="B276" s="55">
        <v>40000</v>
      </c>
      <c r="C276" s="133">
        <v>1</v>
      </c>
      <c r="D276" s="51">
        <v>6</v>
      </c>
      <c r="E276" s="25">
        <v>13</v>
      </c>
    </row>
    <row r="277" spans="1:5" x14ac:dyDescent="0.2">
      <c r="A277" s="129">
        <v>900</v>
      </c>
      <c r="B277" s="55">
        <v>40000</v>
      </c>
      <c r="C277" s="134">
        <v>1</v>
      </c>
      <c r="D277" s="65">
        <v>4</v>
      </c>
      <c r="E277" s="27">
        <v>6</v>
      </c>
    </row>
    <row r="278" spans="1:5" x14ac:dyDescent="0.2">
      <c r="A278" s="128">
        <v>650</v>
      </c>
      <c r="B278" s="55">
        <v>40000</v>
      </c>
      <c r="C278" s="133">
        <v>1</v>
      </c>
      <c r="D278" s="51">
        <v>2</v>
      </c>
      <c r="E278" s="25">
        <v>4</v>
      </c>
    </row>
    <row r="279" spans="1:5" x14ac:dyDescent="0.2">
      <c r="A279" s="129">
        <v>14800</v>
      </c>
      <c r="B279" s="55">
        <v>125000</v>
      </c>
      <c r="C279" s="134">
        <v>3</v>
      </c>
      <c r="D279" s="65">
        <v>5</v>
      </c>
      <c r="E279" s="27">
        <v>19</v>
      </c>
    </row>
    <row r="280" spans="1:5" x14ac:dyDescent="0.2">
      <c r="A280" s="128">
        <v>1000</v>
      </c>
      <c r="B280" s="55">
        <v>5000</v>
      </c>
      <c r="C280" s="133">
        <v>1</v>
      </c>
      <c r="D280" s="51">
        <v>3</v>
      </c>
      <c r="E280" s="25">
        <v>7</v>
      </c>
    </row>
    <row r="281" spans="1:5" x14ac:dyDescent="0.2">
      <c r="A281" s="129">
        <v>1900</v>
      </c>
      <c r="B281" s="55">
        <v>60000</v>
      </c>
      <c r="C281" s="134">
        <v>1</v>
      </c>
      <c r="D281" s="65">
        <v>5</v>
      </c>
      <c r="E281" s="27">
        <v>15</v>
      </c>
    </row>
    <row r="282" spans="1:5" x14ac:dyDescent="0.2">
      <c r="A282" s="128">
        <v>1300</v>
      </c>
      <c r="B282" s="55">
        <v>5000</v>
      </c>
      <c r="C282" s="133">
        <v>1</v>
      </c>
      <c r="D282" s="51">
        <v>4</v>
      </c>
      <c r="E282" s="25">
        <v>9</v>
      </c>
    </row>
    <row r="283" spans="1:5" x14ac:dyDescent="0.2">
      <c r="A283" s="129">
        <v>400</v>
      </c>
      <c r="B283" s="55">
        <v>20000</v>
      </c>
      <c r="C283" s="134">
        <v>1</v>
      </c>
      <c r="D283" s="65">
        <v>5</v>
      </c>
      <c r="E283" s="27">
        <v>3</v>
      </c>
    </row>
    <row r="284" spans="1:5" x14ac:dyDescent="0.2">
      <c r="A284" s="128">
        <v>9700</v>
      </c>
      <c r="B284" s="55">
        <v>60000</v>
      </c>
      <c r="C284" s="133">
        <v>3</v>
      </c>
      <c r="D284" s="51">
        <v>4</v>
      </c>
      <c r="E284" s="25">
        <v>6</v>
      </c>
    </row>
    <row r="285" spans="1:5" x14ac:dyDescent="0.2">
      <c r="A285" s="129">
        <v>1100</v>
      </c>
      <c r="B285" s="55">
        <v>5000</v>
      </c>
      <c r="C285" s="134">
        <v>1</v>
      </c>
      <c r="D285" s="65">
        <v>5</v>
      </c>
      <c r="E285" s="27">
        <v>7</v>
      </c>
    </row>
    <row r="286" spans="1:5" x14ac:dyDescent="0.2">
      <c r="A286" s="128">
        <v>3900</v>
      </c>
      <c r="B286" s="55">
        <v>40000</v>
      </c>
      <c r="C286" s="133">
        <v>1</v>
      </c>
      <c r="D286" s="51">
        <v>3</v>
      </c>
      <c r="E286" s="25">
        <v>13</v>
      </c>
    </row>
    <row r="287" spans="1:5" x14ac:dyDescent="0.2">
      <c r="A287" s="129">
        <v>3700</v>
      </c>
      <c r="B287" s="55">
        <v>60000</v>
      </c>
      <c r="C287" s="134">
        <v>2</v>
      </c>
      <c r="D287" s="65">
        <v>5</v>
      </c>
      <c r="E287" s="27">
        <v>12</v>
      </c>
    </row>
    <row r="288" spans="1:5" x14ac:dyDescent="0.2">
      <c r="A288" s="128">
        <v>550</v>
      </c>
      <c r="B288" s="55">
        <v>40000</v>
      </c>
      <c r="C288" s="133">
        <v>1</v>
      </c>
      <c r="D288" s="51">
        <v>2</v>
      </c>
      <c r="E288" s="25">
        <v>4</v>
      </c>
    </row>
    <row r="289" spans="1:5" x14ac:dyDescent="0.2">
      <c r="A289" s="129">
        <v>11000</v>
      </c>
      <c r="B289" s="55">
        <v>40000</v>
      </c>
      <c r="C289" s="134">
        <v>2</v>
      </c>
      <c r="D289" s="65">
        <v>6</v>
      </c>
      <c r="E289" s="27">
        <v>7</v>
      </c>
    </row>
    <row r="290" spans="1:5" x14ac:dyDescent="0.2">
      <c r="A290" s="128">
        <v>1000</v>
      </c>
      <c r="B290" s="55">
        <v>5000</v>
      </c>
      <c r="C290" s="133">
        <v>1</v>
      </c>
      <c r="D290" s="51">
        <v>3</v>
      </c>
      <c r="E290" s="25">
        <v>7</v>
      </c>
    </row>
    <row r="291" spans="1:5" x14ac:dyDescent="0.2">
      <c r="A291" s="129">
        <v>4000</v>
      </c>
      <c r="B291" s="55">
        <v>40000</v>
      </c>
      <c r="C291" s="134">
        <v>2</v>
      </c>
      <c r="D291" s="65">
        <v>5</v>
      </c>
      <c r="E291" s="27">
        <v>11</v>
      </c>
    </row>
    <row r="292" spans="1:5" x14ac:dyDescent="0.2">
      <c r="A292" s="128">
        <v>1550</v>
      </c>
      <c r="B292" s="55">
        <v>40000</v>
      </c>
      <c r="C292" s="133">
        <v>1</v>
      </c>
      <c r="D292" s="51">
        <v>5</v>
      </c>
      <c r="E292" s="25">
        <v>11</v>
      </c>
    </row>
    <row r="293" spans="1:5" x14ac:dyDescent="0.2">
      <c r="A293" s="129">
        <v>780</v>
      </c>
      <c r="B293" s="55">
        <v>5000</v>
      </c>
      <c r="C293" s="134">
        <v>1</v>
      </c>
      <c r="D293" s="65">
        <v>5</v>
      </c>
      <c r="E293" s="27">
        <v>6</v>
      </c>
    </row>
    <row r="294" spans="1:5" x14ac:dyDescent="0.2">
      <c r="A294" s="128">
        <v>11500</v>
      </c>
      <c r="B294" s="55">
        <v>40000</v>
      </c>
      <c r="C294" s="133">
        <v>2</v>
      </c>
      <c r="D294" s="51">
        <v>6</v>
      </c>
      <c r="E294" s="25">
        <v>8</v>
      </c>
    </row>
    <row r="295" spans="1:5" x14ac:dyDescent="0.2">
      <c r="A295" s="129">
        <v>4000</v>
      </c>
      <c r="B295" s="55">
        <v>40000</v>
      </c>
      <c r="C295" s="134">
        <v>1</v>
      </c>
      <c r="D295" s="65">
        <v>4</v>
      </c>
      <c r="E295" s="27">
        <v>14</v>
      </c>
    </row>
    <row r="296" spans="1:5" x14ac:dyDescent="0.2">
      <c r="A296" s="128">
        <v>4200</v>
      </c>
      <c r="B296" s="55">
        <v>60000</v>
      </c>
      <c r="C296" s="133">
        <v>2</v>
      </c>
      <c r="D296" s="51">
        <v>5</v>
      </c>
      <c r="E296" s="25">
        <v>13</v>
      </c>
    </row>
    <row r="297" spans="1:5" x14ac:dyDescent="0.2">
      <c r="A297" s="129">
        <v>1100</v>
      </c>
      <c r="B297" s="55">
        <v>5000</v>
      </c>
      <c r="C297" s="134">
        <v>1</v>
      </c>
      <c r="D297" s="65">
        <v>4</v>
      </c>
      <c r="E297" s="27">
        <v>7</v>
      </c>
    </row>
    <row r="298" spans="1:5" x14ac:dyDescent="0.2">
      <c r="A298" s="128">
        <v>12000</v>
      </c>
      <c r="B298" s="55">
        <v>60000</v>
      </c>
      <c r="C298" s="133">
        <v>2</v>
      </c>
      <c r="D298" s="51">
        <v>5</v>
      </c>
      <c r="E298" s="25">
        <v>9</v>
      </c>
    </row>
    <row r="299" spans="1:5" x14ac:dyDescent="0.2">
      <c r="A299" s="129">
        <v>4700</v>
      </c>
      <c r="B299" s="55">
        <v>40000</v>
      </c>
      <c r="C299" s="134">
        <v>1</v>
      </c>
      <c r="D299" s="65">
        <v>3</v>
      </c>
      <c r="E299" s="27">
        <v>15</v>
      </c>
    </row>
    <row r="300" spans="1:5" x14ac:dyDescent="0.2">
      <c r="A300" s="128">
        <v>520</v>
      </c>
      <c r="B300" s="55">
        <v>20000</v>
      </c>
      <c r="C300" s="133">
        <v>1</v>
      </c>
      <c r="D300" s="51">
        <v>5</v>
      </c>
      <c r="E300" s="25">
        <v>3</v>
      </c>
    </row>
    <row r="301" spans="1:5" x14ac:dyDescent="0.2">
      <c r="A301" s="129">
        <v>4200</v>
      </c>
      <c r="B301" s="55">
        <v>60000</v>
      </c>
      <c r="C301" s="134">
        <v>2</v>
      </c>
      <c r="D301" s="65">
        <v>4</v>
      </c>
      <c r="E301" s="27">
        <v>13</v>
      </c>
    </row>
    <row r="302" spans="1:5" x14ac:dyDescent="0.2">
      <c r="A302" s="128">
        <v>1450</v>
      </c>
      <c r="B302" s="55">
        <v>40000</v>
      </c>
      <c r="C302" s="133">
        <v>1</v>
      </c>
      <c r="D302" s="51">
        <v>4</v>
      </c>
      <c r="E302" s="25">
        <v>10</v>
      </c>
    </row>
    <row r="303" spans="1:5" x14ac:dyDescent="0.2">
      <c r="A303" s="129">
        <v>650</v>
      </c>
      <c r="B303" s="55">
        <v>5000</v>
      </c>
      <c r="C303" s="134">
        <v>1</v>
      </c>
      <c r="D303" s="65">
        <v>3</v>
      </c>
      <c r="E303" s="27">
        <v>4</v>
      </c>
    </row>
    <row r="304" spans="1:5" x14ac:dyDescent="0.2">
      <c r="A304" s="128">
        <v>12800</v>
      </c>
      <c r="B304" s="55">
        <v>60000</v>
      </c>
      <c r="C304" s="133">
        <v>2</v>
      </c>
      <c r="D304" s="51">
        <v>4</v>
      </c>
      <c r="E304" s="25">
        <v>9</v>
      </c>
    </row>
    <row r="305" spans="1:5" x14ac:dyDescent="0.2">
      <c r="A305" s="129">
        <v>4000</v>
      </c>
      <c r="B305" s="55">
        <v>40000</v>
      </c>
      <c r="C305" s="134">
        <v>1</v>
      </c>
      <c r="D305" s="65">
        <v>3</v>
      </c>
      <c r="E305" s="27">
        <v>14</v>
      </c>
    </row>
    <row r="306" spans="1:5" x14ac:dyDescent="0.2">
      <c r="A306" s="128">
        <v>4000</v>
      </c>
      <c r="B306" s="55">
        <v>60000</v>
      </c>
      <c r="C306" s="133">
        <v>2</v>
      </c>
      <c r="D306" s="51">
        <v>6</v>
      </c>
      <c r="E306" s="25">
        <v>8</v>
      </c>
    </row>
    <row r="307" spans="1:5" x14ac:dyDescent="0.2">
      <c r="A307" s="129">
        <v>650</v>
      </c>
      <c r="B307" s="55">
        <v>40000</v>
      </c>
      <c r="C307" s="134">
        <v>1</v>
      </c>
      <c r="D307" s="65">
        <v>4</v>
      </c>
      <c r="E307" s="27">
        <v>5</v>
      </c>
    </row>
    <row r="308" spans="1:5" x14ac:dyDescent="0.2">
      <c r="A308" s="128">
        <v>11800</v>
      </c>
      <c r="B308" s="55">
        <v>40000</v>
      </c>
      <c r="C308" s="133">
        <v>2</v>
      </c>
      <c r="D308" s="51">
        <v>6</v>
      </c>
      <c r="E308" s="25">
        <v>8</v>
      </c>
    </row>
    <row r="309" spans="1:5" x14ac:dyDescent="0.2">
      <c r="A309" s="129">
        <v>4400</v>
      </c>
      <c r="B309" s="55">
        <v>40000</v>
      </c>
      <c r="C309" s="134">
        <v>1</v>
      </c>
      <c r="D309" s="65">
        <v>4</v>
      </c>
      <c r="E309" s="27">
        <v>16</v>
      </c>
    </row>
    <row r="310" spans="1:5" x14ac:dyDescent="0.2">
      <c r="A310" s="128">
        <v>520</v>
      </c>
      <c r="B310" s="55">
        <v>20000</v>
      </c>
      <c r="C310" s="133">
        <v>1</v>
      </c>
      <c r="D310" s="51">
        <v>4</v>
      </c>
      <c r="E310" s="25">
        <v>3</v>
      </c>
    </row>
    <row r="311" spans="1:5" x14ac:dyDescent="0.2">
      <c r="A311" s="129">
        <v>4500</v>
      </c>
      <c r="B311" s="55">
        <v>60000</v>
      </c>
      <c r="C311" s="134">
        <v>2</v>
      </c>
      <c r="D311" s="65">
        <v>4</v>
      </c>
      <c r="E311" s="27">
        <v>14</v>
      </c>
    </row>
    <row r="312" spans="1:5" x14ac:dyDescent="0.2">
      <c r="A312" s="128">
        <v>1300</v>
      </c>
      <c r="B312" s="55">
        <v>40000</v>
      </c>
      <c r="C312" s="133">
        <v>1</v>
      </c>
      <c r="D312" s="51">
        <v>3</v>
      </c>
      <c r="E312" s="25">
        <v>9</v>
      </c>
    </row>
    <row r="313" spans="1:5" x14ac:dyDescent="0.2">
      <c r="A313" s="129">
        <v>3600</v>
      </c>
      <c r="B313" s="55">
        <v>40000</v>
      </c>
      <c r="C313" s="134">
        <v>2</v>
      </c>
      <c r="D313" s="65">
        <v>5</v>
      </c>
      <c r="E313" s="27">
        <v>12</v>
      </c>
    </row>
    <row r="314" spans="1:5" x14ac:dyDescent="0.2">
      <c r="A314" s="128">
        <v>11000</v>
      </c>
      <c r="B314" s="55">
        <v>40000</v>
      </c>
      <c r="C314" s="133">
        <v>2</v>
      </c>
      <c r="D314" s="51">
        <v>5</v>
      </c>
      <c r="E314" s="25">
        <v>7</v>
      </c>
    </row>
    <row r="315" spans="1:5" x14ac:dyDescent="0.2">
      <c r="A315" s="129">
        <v>650</v>
      </c>
      <c r="B315" s="55">
        <v>5000</v>
      </c>
      <c r="C315" s="134">
        <v>1</v>
      </c>
      <c r="D315" s="65">
        <v>4</v>
      </c>
      <c r="E315" s="27">
        <v>4</v>
      </c>
    </row>
    <row r="316" spans="1:5" x14ac:dyDescent="0.2">
      <c r="A316" s="128">
        <v>1000</v>
      </c>
      <c r="B316" s="55">
        <v>40000</v>
      </c>
      <c r="C316" s="133">
        <v>1</v>
      </c>
      <c r="D316" s="51">
        <v>4</v>
      </c>
      <c r="E316" s="25">
        <v>5</v>
      </c>
    </row>
    <row r="317" spans="1:5" x14ac:dyDescent="0.2">
      <c r="A317" s="129">
        <v>420</v>
      </c>
      <c r="B317" s="55">
        <v>20000</v>
      </c>
      <c r="C317" s="134">
        <v>1</v>
      </c>
      <c r="D317" s="65">
        <v>4</v>
      </c>
      <c r="E317" s="27">
        <v>3</v>
      </c>
    </row>
    <row r="318" spans="1:5" x14ac:dyDescent="0.2">
      <c r="A318" s="128">
        <v>10800</v>
      </c>
      <c r="B318" s="55">
        <v>60000</v>
      </c>
      <c r="C318" s="133">
        <v>2</v>
      </c>
      <c r="D318" s="51">
        <v>5</v>
      </c>
      <c r="E318" s="25">
        <v>6</v>
      </c>
    </row>
    <row r="319" spans="1:5" x14ac:dyDescent="0.2">
      <c r="A319" s="129">
        <v>4000</v>
      </c>
      <c r="B319" s="55">
        <v>60000</v>
      </c>
      <c r="C319" s="134">
        <v>1</v>
      </c>
      <c r="D319" s="65">
        <v>4</v>
      </c>
      <c r="E319" s="27">
        <v>9</v>
      </c>
    </row>
    <row r="320" spans="1:5" x14ac:dyDescent="0.2">
      <c r="A320" s="128">
        <v>1000</v>
      </c>
      <c r="B320" s="55">
        <v>20000</v>
      </c>
      <c r="C320" s="133">
        <v>1</v>
      </c>
      <c r="D320" s="51">
        <v>6</v>
      </c>
      <c r="E320" s="25">
        <v>7</v>
      </c>
    </row>
    <row r="321" spans="1:5" x14ac:dyDescent="0.2">
      <c r="A321" s="129">
        <v>4000</v>
      </c>
      <c r="B321" s="55">
        <v>40000</v>
      </c>
      <c r="C321" s="134">
        <v>2</v>
      </c>
      <c r="D321" s="65">
        <v>5</v>
      </c>
      <c r="E321" s="27">
        <v>5</v>
      </c>
    </row>
    <row r="322" spans="1:5" x14ac:dyDescent="0.2">
      <c r="A322" s="128">
        <v>1300</v>
      </c>
      <c r="B322" s="55">
        <v>40000</v>
      </c>
      <c r="C322" s="133">
        <v>1</v>
      </c>
      <c r="D322" s="51">
        <v>5</v>
      </c>
      <c r="E322" s="25">
        <v>8</v>
      </c>
    </row>
    <row r="323" spans="1:5" x14ac:dyDescent="0.2">
      <c r="A323" s="129">
        <v>390</v>
      </c>
      <c r="B323" s="55">
        <v>5000</v>
      </c>
      <c r="C323" s="134">
        <v>1</v>
      </c>
      <c r="D323" s="65">
        <v>4</v>
      </c>
      <c r="E323" s="27">
        <v>2</v>
      </c>
    </row>
    <row r="324" spans="1:5" x14ac:dyDescent="0.2">
      <c r="A324" s="128">
        <v>3000</v>
      </c>
      <c r="B324" s="55">
        <v>20000</v>
      </c>
      <c r="C324" s="133">
        <v>1</v>
      </c>
      <c r="D324" s="51">
        <v>5</v>
      </c>
      <c r="E324" s="25">
        <v>11</v>
      </c>
    </row>
    <row r="325" spans="1:5" x14ac:dyDescent="0.2">
      <c r="A325" s="129">
        <v>11600</v>
      </c>
      <c r="B325" s="55">
        <v>40000</v>
      </c>
      <c r="C325" s="134">
        <v>2</v>
      </c>
      <c r="D325" s="65">
        <v>4</v>
      </c>
      <c r="E325" s="27">
        <v>7</v>
      </c>
    </row>
    <row r="326" spans="1:5" x14ac:dyDescent="0.2">
      <c r="A326" s="128">
        <v>650</v>
      </c>
      <c r="B326" s="55">
        <v>40000</v>
      </c>
      <c r="C326" s="133">
        <v>1</v>
      </c>
      <c r="D326" s="51">
        <v>4</v>
      </c>
      <c r="E326" s="25">
        <v>4</v>
      </c>
    </row>
    <row r="327" spans="1:5" x14ac:dyDescent="0.2">
      <c r="A327" s="129">
        <v>4300</v>
      </c>
      <c r="B327" s="55">
        <v>60000</v>
      </c>
      <c r="C327" s="134">
        <v>2</v>
      </c>
      <c r="D327" s="65">
        <v>4</v>
      </c>
      <c r="E327" s="27">
        <v>13</v>
      </c>
    </row>
    <row r="328" spans="1:5" x14ac:dyDescent="0.2">
      <c r="A328" s="128">
        <v>850</v>
      </c>
      <c r="B328" s="55">
        <v>5000</v>
      </c>
      <c r="C328" s="133">
        <v>1</v>
      </c>
      <c r="D328" s="51">
        <v>4</v>
      </c>
      <c r="E328" s="25">
        <v>6</v>
      </c>
    </row>
    <row r="329" spans="1:5" x14ac:dyDescent="0.2">
      <c r="A329" s="129">
        <v>3000</v>
      </c>
      <c r="B329" s="55">
        <v>40000</v>
      </c>
      <c r="C329" s="134">
        <v>1</v>
      </c>
      <c r="D329" s="65">
        <v>4</v>
      </c>
      <c r="E329" s="27">
        <v>12</v>
      </c>
    </row>
    <row r="330" spans="1:5" x14ac:dyDescent="0.2">
      <c r="A330" s="128">
        <v>300</v>
      </c>
      <c r="B330" s="55">
        <v>20000</v>
      </c>
      <c r="C330" s="133">
        <v>1</v>
      </c>
      <c r="D330" s="51">
        <v>6</v>
      </c>
      <c r="E330" s="25">
        <v>3</v>
      </c>
    </row>
    <row r="331" spans="1:5" x14ac:dyDescent="0.2">
      <c r="A331" s="129">
        <v>2800</v>
      </c>
      <c r="B331" s="55">
        <v>40000</v>
      </c>
      <c r="C331" s="134">
        <v>1</v>
      </c>
      <c r="D331" s="65">
        <v>3</v>
      </c>
      <c r="E331" s="27">
        <v>14</v>
      </c>
    </row>
    <row r="332" spans="1:5" x14ac:dyDescent="0.2">
      <c r="A332" s="128">
        <v>900</v>
      </c>
      <c r="B332" s="55">
        <v>40000</v>
      </c>
      <c r="C332" s="133">
        <v>1</v>
      </c>
      <c r="D332" s="51">
        <v>4</v>
      </c>
      <c r="E332" s="25">
        <v>7</v>
      </c>
    </row>
    <row r="333" spans="1:5" x14ac:dyDescent="0.2">
      <c r="A333" s="129">
        <v>4000</v>
      </c>
      <c r="B333" s="55">
        <v>40000</v>
      </c>
      <c r="C333" s="134">
        <v>2</v>
      </c>
      <c r="D333" s="65">
        <v>5</v>
      </c>
      <c r="E333" s="27">
        <v>12</v>
      </c>
    </row>
    <row r="334" spans="1:5" x14ac:dyDescent="0.2">
      <c r="A334" s="128">
        <v>650</v>
      </c>
      <c r="B334" s="55">
        <v>5000</v>
      </c>
      <c r="C334" s="133">
        <v>1</v>
      </c>
      <c r="D334" s="51">
        <v>5</v>
      </c>
      <c r="E334" s="25">
        <v>4</v>
      </c>
    </row>
    <row r="335" spans="1:5" x14ac:dyDescent="0.2">
      <c r="A335" s="129">
        <v>12000</v>
      </c>
      <c r="B335" s="55">
        <v>40000</v>
      </c>
      <c r="C335" s="134">
        <v>2</v>
      </c>
      <c r="D335" s="65">
        <v>4</v>
      </c>
      <c r="E335" s="27">
        <v>8</v>
      </c>
    </row>
    <row r="336" spans="1:5" x14ac:dyDescent="0.2">
      <c r="A336" s="128">
        <v>1000</v>
      </c>
      <c r="B336" s="55">
        <v>20000</v>
      </c>
      <c r="C336" s="133">
        <v>1</v>
      </c>
      <c r="D336" s="51">
        <v>4</v>
      </c>
      <c r="E336" s="25">
        <v>8</v>
      </c>
    </row>
    <row r="337" spans="1:5" x14ac:dyDescent="0.2">
      <c r="A337" s="129">
        <v>3000</v>
      </c>
      <c r="B337" s="55">
        <v>60000</v>
      </c>
      <c r="C337" s="134">
        <v>1</v>
      </c>
      <c r="D337" s="65">
        <v>4</v>
      </c>
      <c r="E337" s="27">
        <v>13</v>
      </c>
    </row>
    <row r="338" spans="1:5" x14ac:dyDescent="0.2">
      <c r="A338" s="128">
        <v>850</v>
      </c>
      <c r="B338" s="55">
        <v>5000</v>
      </c>
      <c r="C338" s="133">
        <v>1</v>
      </c>
      <c r="D338" s="51">
        <v>5</v>
      </c>
      <c r="E338" s="25">
        <v>6</v>
      </c>
    </row>
    <row r="339" spans="1:5" x14ac:dyDescent="0.2">
      <c r="A339" s="129">
        <v>11800</v>
      </c>
      <c r="B339" s="55">
        <v>60000</v>
      </c>
      <c r="C339" s="134">
        <v>2</v>
      </c>
      <c r="D339" s="65">
        <v>5</v>
      </c>
      <c r="E339" s="27">
        <v>7</v>
      </c>
    </row>
    <row r="340" spans="1:5" x14ac:dyDescent="0.2">
      <c r="A340" s="128">
        <v>3000</v>
      </c>
      <c r="B340" s="55">
        <v>40000</v>
      </c>
      <c r="C340" s="133">
        <v>1</v>
      </c>
      <c r="D340" s="51">
        <v>5</v>
      </c>
      <c r="E340" s="25">
        <v>15</v>
      </c>
    </row>
    <row r="341" spans="1:5" x14ac:dyDescent="0.2">
      <c r="A341" s="129">
        <v>390</v>
      </c>
      <c r="B341" s="55">
        <v>5000</v>
      </c>
      <c r="C341" s="134">
        <v>1</v>
      </c>
      <c r="D341" s="65">
        <v>5</v>
      </c>
      <c r="E341" s="27">
        <v>2</v>
      </c>
    </row>
    <row r="342" spans="1:5" x14ac:dyDescent="0.2">
      <c r="A342" s="128">
        <v>4000</v>
      </c>
      <c r="B342" s="55">
        <v>40000</v>
      </c>
      <c r="C342" s="133">
        <v>2</v>
      </c>
      <c r="D342" s="51">
        <v>4</v>
      </c>
      <c r="E342" s="25">
        <v>13</v>
      </c>
    </row>
    <row r="343" spans="1:5" x14ac:dyDescent="0.2">
      <c r="A343" s="129">
        <v>650</v>
      </c>
      <c r="B343" s="55">
        <v>40000</v>
      </c>
      <c r="C343" s="134">
        <v>1</v>
      </c>
      <c r="D343" s="65">
        <v>5</v>
      </c>
      <c r="E343" s="27">
        <v>4</v>
      </c>
    </row>
    <row r="344" spans="1:5" x14ac:dyDescent="0.2">
      <c r="A344" s="128">
        <v>780</v>
      </c>
      <c r="B344" s="55">
        <v>40000</v>
      </c>
      <c r="C344" s="133">
        <v>1</v>
      </c>
      <c r="D344" s="51">
        <v>4</v>
      </c>
      <c r="E344" s="25">
        <v>4</v>
      </c>
    </row>
    <row r="345" spans="1:5" x14ac:dyDescent="0.2">
      <c r="A345" s="129">
        <v>8300</v>
      </c>
      <c r="B345" s="55">
        <v>60000</v>
      </c>
      <c r="C345" s="134">
        <v>1</v>
      </c>
      <c r="D345" s="65">
        <v>4</v>
      </c>
      <c r="E345" s="27">
        <v>6</v>
      </c>
    </row>
    <row r="346" spans="1:5" x14ac:dyDescent="0.2">
      <c r="A346" s="128">
        <v>4000</v>
      </c>
      <c r="B346" s="55">
        <v>40000</v>
      </c>
      <c r="C346" s="133">
        <v>2</v>
      </c>
      <c r="D346" s="51">
        <v>4</v>
      </c>
      <c r="E346" s="25">
        <v>13</v>
      </c>
    </row>
    <row r="347" spans="1:5" x14ac:dyDescent="0.2">
      <c r="A347" s="129">
        <v>520</v>
      </c>
      <c r="B347" s="55">
        <v>20000</v>
      </c>
      <c r="C347" s="134">
        <v>1</v>
      </c>
      <c r="D347" s="65">
        <v>5</v>
      </c>
      <c r="E347" s="27">
        <v>4</v>
      </c>
    </row>
    <row r="348" spans="1:5" x14ac:dyDescent="0.2">
      <c r="A348" s="128">
        <v>1500</v>
      </c>
      <c r="B348" s="55">
        <v>40000</v>
      </c>
      <c r="C348" s="133">
        <v>1</v>
      </c>
      <c r="D348" s="51">
        <v>5</v>
      </c>
      <c r="E348" s="25">
        <v>11</v>
      </c>
    </row>
    <row r="349" spans="1:5" x14ac:dyDescent="0.2">
      <c r="A349" s="129">
        <v>330</v>
      </c>
      <c r="B349" s="55">
        <v>60000</v>
      </c>
      <c r="C349" s="134">
        <v>2</v>
      </c>
      <c r="D349" s="65">
        <v>4</v>
      </c>
      <c r="E349" s="27">
        <v>10</v>
      </c>
    </row>
    <row r="350" spans="1:5" x14ac:dyDescent="0.2">
      <c r="A350" s="128">
        <v>520</v>
      </c>
      <c r="B350" s="55">
        <v>5000</v>
      </c>
      <c r="C350" s="133">
        <v>1</v>
      </c>
      <c r="D350" s="51">
        <v>5</v>
      </c>
      <c r="E350" s="25">
        <v>4</v>
      </c>
    </row>
    <row r="351" spans="1:5" x14ac:dyDescent="0.2">
      <c r="A351" s="129">
        <v>9000</v>
      </c>
      <c r="B351" s="55">
        <v>40000</v>
      </c>
      <c r="C351" s="134">
        <v>1</v>
      </c>
      <c r="D351" s="65">
        <v>5</v>
      </c>
      <c r="E351" s="27">
        <v>5</v>
      </c>
    </row>
    <row r="352" spans="1:5" x14ac:dyDescent="0.2">
      <c r="A352" s="128">
        <v>2200</v>
      </c>
      <c r="B352" s="55">
        <v>40000</v>
      </c>
      <c r="C352" s="133">
        <v>2</v>
      </c>
      <c r="D352" s="51">
        <v>3</v>
      </c>
      <c r="E352" s="25">
        <v>11</v>
      </c>
    </row>
    <row r="353" spans="1:5" x14ac:dyDescent="0.2">
      <c r="A353" s="129">
        <v>1300</v>
      </c>
      <c r="B353" s="55">
        <v>20000</v>
      </c>
      <c r="C353" s="134">
        <v>1</v>
      </c>
      <c r="D353" s="65">
        <v>5</v>
      </c>
      <c r="E353" s="27">
        <v>9</v>
      </c>
    </row>
    <row r="354" spans="1:5" x14ac:dyDescent="0.2">
      <c r="A354" s="128">
        <v>520</v>
      </c>
      <c r="B354" s="55">
        <v>5000</v>
      </c>
      <c r="C354" s="133">
        <v>1</v>
      </c>
      <c r="D354" s="51">
        <v>5</v>
      </c>
      <c r="E354" s="25">
        <v>3</v>
      </c>
    </row>
    <row r="355" spans="1:5" x14ac:dyDescent="0.2">
      <c r="A355" s="129">
        <v>3200</v>
      </c>
      <c r="B355" s="55">
        <v>60000</v>
      </c>
      <c r="C355" s="134">
        <v>2</v>
      </c>
      <c r="D355" s="65">
        <v>4</v>
      </c>
      <c r="E355" s="27">
        <v>10</v>
      </c>
    </row>
    <row r="356" spans="1:5" x14ac:dyDescent="0.2">
      <c r="A356" s="128">
        <v>910</v>
      </c>
      <c r="B356" s="55">
        <v>5000</v>
      </c>
      <c r="C356" s="133">
        <v>1</v>
      </c>
      <c r="D356" s="51">
        <v>4</v>
      </c>
      <c r="E356" s="25">
        <v>4</v>
      </c>
    </row>
    <row r="357" spans="1:5" x14ac:dyDescent="0.2">
      <c r="A357" s="129">
        <v>10600</v>
      </c>
      <c r="B357" s="55">
        <v>60000</v>
      </c>
      <c r="C357" s="134">
        <v>2</v>
      </c>
      <c r="D357" s="65">
        <v>5</v>
      </c>
      <c r="E357" s="27">
        <v>6</v>
      </c>
    </row>
    <row r="358" spans="1:5" x14ac:dyDescent="0.2">
      <c r="A358" s="128">
        <v>3900</v>
      </c>
      <c r="B358" s="55">
        <v>40000</v>
      </c>
      <c r="C358" s="133">
        <v>1</v>
      </c>
      <c r="D358" s="51">
        <v>4</v>
      </c>
      <c r="E358" s="25">
        <v>13</v>
      </c>
    </row>
    <row r="359" spans="1:5" x14ac:dyDescent="0.2">
      <c r="A359" s="129">
        <v>350</v>
      </c>
      <c r="B359" s="55">
        <v>20000</v>
      </c>
      <c r="C359" s="134">
        <v>1</v>
      </c>
      <c r="D359" s="65">
        <v>5</v>
      </c>
      <c r="E359" s="27">
        <v>2</v>
      </c>
    </row>
    <row r="360" spans="1:5" x14ac:dyDescent="0.2">
      <c r="A360" s="128">
        <v>3700</v>
      </c>
      <c r="B360" s="55">
        <v>40000</v>
      </c>
      <c r="C360" s="133">
        <v>2</v>
      </c>
      <c r="D360" s="51">
        <v>4</v>
      </c>
      <c r="E360" s="25">
        <v>11</v>
      </c>
    </row>
    <row r="361" spans="1:5" x14ac:dyDescent="0.2">
      <c r="A361" s="129">
        <v>1300</v>
      </c>
      <c r="B361" s="55">
        <v>40000</v>
      </c>
      <c r="C361" s="134">
        <v>1</v>
      </c>
      <c r="D361" s="65">
        <v>4</v>
      </c>
      <c r="E361" s="27">
        <v>8</v>
      </c>
    </row>
    <row r="362" spans="1:5" x14ac:dyDescent="0.2">
      <c r="A362" s="128">
        <v>1000</v>
      </c>
      <c r="B362" s="55">
        <v>40000</v>
      </c>
      <c r="C362" s="133">
        <v>1</v>
      </c>
      <c r="D362" s="51">
        <v>5</v>
      </c>
      <c r="E362" s="25">
        <v>8</v>
      </c>
    </row>
    <row r="363" spans="1:5" x14ac:dyDescent="0.2">
      <c r="A363" s="129">
        <v>780</v>
      </c>
      <c r="B363" s="55">
        <v>40000</v>
      </c>
      <c r="C363" s="134">
        <v>1</v>
      </c>
      <c r="D363" s="65">
        <v>4</v>
      </c>
      <c r="E363" s="27">
        <v>4</v>
      </c>
    </row>
    <row r="364" spans="1:5" x14ac:dyDescent="0.2">
      <c r="A364" s="128">
        <v>3800</v>
      </c>
      <c r="B364" s="55">
        <v>40000</v>
      </c>
      <c r="C364" s="133">
        <v>2</v>
      </c>
      <c r="D364" s="51">
        <v>4</v>
      </c>
      <c r="E364" s="25">
        <v>11</v>
      </c>
    </row>
    <row r="365" spans="1:5" x14ac:dyDescent="0.2">
      <c r="A365" s="129">
        <v>520</v>
      </c>
      <c r="B365" s="55">
        <v>40000</v>
      </c>
      <c r="C365" s="134">
        <v>1</v>
      </c>
      <c r="D365" s="65">
        <v>4</v>
      </c>
      <c r="E365" s="27">
        <v>3</v>
      </c>
    </row>
    <row r="366" spans="1:5" x14ac:dyDescent="0.2">
      <c r="A366" s="128">
        <v>900</v>
      </c>
      <c r="B366" s="55">
        <v>5000</v>
      </c>
      <c r="C366" s="133">
        <v>1</v>
      </c>
      <c r="D366" s="51">
        <v>4</v>
      </c>
      <c r="E366" s="25">
        <v>4</v>
      </c>
    </row>
    <row r="367" spans="1:5" x14ac:dyDescent="0.2">
      <c r="A367" s="129">
        <v>9900</v>
      </c>
      <c r="B367" s="55">
        <v>40000</v>
      </c>
      <c r="C367" s="134">
        <v>2</v>
      </c>
      <c r="D367" s="65">
        <v>6</v>
      </c>
      <c r="E367" s="27">
        <v>6</v>
      </c>
    </row>
    <row r="368" spans="1:5" x14ac:dyDescent="0.2">
      <c r="A368" s="128">
        <v>11430</v>
      </c>
      <c r="B368" s="55">
        <v>40000</v>
      </c>
      <c r="C368" s="133">
        <v>1</v>
      </c>
      <c r="D368" s="51">
        <v>3</v>
      </c>
      <c r="E368" s="25">
        <v>10</v>
      </c>
    </row>
    <row r="369" spans="1:5" x14ac:dyDescent="0.2">
      <c r="A369" s="129">
        <v>390</v>
      </c>
      <c r="B369" s="55">
        <v>40000</v>
      </c>
      <c r="C369" s="134">
        <v>1</v>
      </c>
      <c r="D369" s="65">
        <v>5</v>
      </c>
      <c r="E369" s="27">
        <v>3</v>
      </c>
    </row>
    <row r="370" spans="1:5" x14ac:dyDescent="0.2">
      <c r="A370" s="128">
        <v>4000</v>
      </c>
      <c r="B370" s="55">
        <v>40000</v>
      </c>
      <c r="C370" s="133">
        <v>2</v>
      </c>
      <c r="D370" s="51">
        <v>5</v>
      </c>
      <c r="E370" s="25">
        <v>12</v>
      </c>
    </row>
    <row r="371" spans="1:5" x14ac:dyDescent="0.2">
      <c r="A371" s="129">
        <v>2900</v>
      </c>
      <c r="B371" s="55">
        <v>60000</v>
      </c>
      <c r="C371" s="134">
        <v>1</v>
      </c>
      <c r="D371" s="65">
        <v>4</v>
      </c>
      <c r="E371" s="27">
        <v>9</v>
      </c>
    </row>
    <row r="372" spans="1:5" x14ac:dyDescent="0.2">
      <c r="A372" s="128">
        <v>1070</v>
      </c>
      <c r="B372" s="55">
        <v>40000</v>
      </c>
      <c r="C372" s="133">
        <v>1</v>
      </c>
      <c r="D372" s="51">
        <v>4</v>
      </c>
      <c r="E372" s="25">
        <v>7</v>
      </c>
    </row>
    <row r="373" spans="1:5" x14ac:dyDescent="0.2">
      <c r="A373" s="129">
        <v>1300</v>
      </c>
      <c r="B373" s="55">
        <v>5000</v>
      </c>
      <c r="C373" s="134">
        <v>1</v>
      </c>
      <c r="D373" s="65">
        <v>4</v>
      </c>
      <c r="E373" s="27">
        <v>5</v>
      </c>
    </row>
    <row r="374" spans="1:5" x14ac:dyDescent="0.2">
      <c r="A374" s="128">
        <v>2400</v>
      </c>
      <c r="B374" s="55">
        <v>40000</v>
      </c>
      <c r="C374" s="133">
        <v>2</v>
      </c>
      <c r="D374" s="51">
        <v>4</v>
      </c>
      <c r="E374" s="25">
        <v>7</v>
      </c>
    </row>
    <row r="375" spans="1:5" x14ac:dyDescent="0.2">
      <c r="A375" s="129">
        <v>1700</v>
      </c>
      <c r="B375" s="55">
        <v>40000</v>
      </c>
      <c r="C375" s="134">
        <v>1</v>
      </c>
      <c r="D375" s="65">
        <v>5</v>
      </c>
      <c r="E375" s="27">
        <v>7</v>
      </c>
    </row>
    <row r="376" spans="1:5" x14ac:dyDescent="0.2">
      <c r="A376" s="128">
        <v>6500</v>
      </c>
      <c r="B376" s="55">
        <v>40000</v>
      </c>
      <c r="C376" s="133">
        <v>1</v>
      </c>
      <c r="D376" s="51">
        <v>4</v>
      </c>
      <c r="E376" s="25">
        <v>12</v>
      </c>
    </row>
    <row r="377" spans="1:5" x14ac:dyDescent="0.2">
      <c r="A377" s="129">
        <v>900</v>
      </c>
      <c r="B377" s="55">
        <v>5000</v>
      </c>
      <c r="C377" s="134">
        <v>1</v>
      </c>
      <c r="D377" s="65">
        <v>5</v>
      </c>
      <c r="E377" s="27">
        <v>3</v>
      </c>
    </row>
    <row r="378" spans="1:5" x14ac:dyDescent="0.2">
      <c r="A378" s="128">
        <v>2000</v>
      </c>
      <c r="B378" s="55">
        <v>60000</v>
      </c>
      <c r="C378" s="133">
        <v>1</v>
      </c>
      <c r="D378" s="51">
        <v>5</v>
      </c>
      <c r="E378" s="25">
        <v>6</v>
      </c>
    </row>
    <row r="379" spans="1:5" x14ac:dyDescent="0.2">
      <c r="A379" s="129">
        <v>2600</v>
      </c>
      <c r="B379" s="55">
        <v>40000</v>
      </c>
      <c r="C379" s="134">
        <v>1</v>
      </c>
      <c r="D379" s="65">
        <v>4</v>
      </c>
      <c r="E379" s="27">
        <v>7</v>
      </c>
    </row>
    <row r="380" spans="1:5" x14ac:dyDescent="0.2">
      <c r="A380" s="128">
        <v>2200</v>
      </c>
      <c r="B380" s="55">
        <v>60000</v>
      </c>
      <c r="C380" s="133">
        <v>2</v>
      </c>
      <c r="D380" s="51">
        <v>6</v>
      </c>
      <c r="E380" s="25">
        <v>6</v>
      </c>
    </row>
    <row r="381" spans="1:5" x14ac:dyDescent="0.2">
      <c r="A381" s="129">
        <v>3800</v>
      </c>
      <c r="B381" s="55">
        <v>40000</v>
      </c>
      <c r="C381" s="134">
        <v>1</v>
      </c>
      <c r="D381" s="65">
        <v>5</v>
      </c>
      <c r="E381" s="27">
        <v>13</v>
      </c>
    </row>
    <row r="382" spans="1:5" x14ac:dyDescent="0.2">
      <c r="A382" s="128">
        <v>520</v>
      </c>
      <c r="B382" s="55">
        <v>5000</v>
      </c>
      <c r="C382" s="133">
        <v>1</v>
      </c>
      <c r="D382" s="51">
        <v>4</v>
      </c>
      <c r="E382" s="25">
        <v>3</v>
      </c>
    </row>
    <row r="383" spans="1:5" x14ac:dyDescent="0.2">
      <c r="A383" s="129">
        <v>11000</v>
      </c>
      <c r="B383" s="55">
        <v>60000</v>
      </c>
      <c r="C383" s="134">
        <v>2</v>
      </c>
      <c r="D383" s="65">
        <v>5</v>
      </c>
      <c r="E383" s="27">
        <v>6</v>
      </c>
    </row>
    <row r="384" spans="1:5" x14ac:dyDescent="0.2">
      <c r="A384" s="128">
        <v>1000</v>
      </c>
      <c r="B384" s="55">
        <v>40000</v>
      </c>
      <c r="C384" s="133">
        <v>1</v>
      </c>
      <c r="D384" s="51">
        <v>3</v>
      </c>
      <c r="E384" s="25">
        <v>7</v>
      </c>
    </row>
    <row r="385" spans="1:5" x14ac:dyDescent="0.2">
      <c r="A385" s="129">
        <v>9400</v>
      </c>
      <c r="B385" s="55">
        <v>40000</v>
      </c>
      <c r="C385" s="134">
        <v>1</v>
      </c>
      <c r="D385" s="65">
        <v>5</v>
      </c>
      <c r="E385" s="27">
        <v>6</v>
      </c>
    </row>
    <row r="386" spans="1:5" x14ac:dyDescent="0.2">
      <c r="A386" s="128">
        <v>6800</v>
      </c>
      <c r="B386" s="55">
        <v>40000</v>
      </c>
      <c r="C386" s="133">
        <v>1</v>
      </c>
      <c r="D386" s="51">
        <v>5</v>
      </c>
      <c r="E386" s="25">
        <v>5</v>
      </c>
    </row>
    <row r="387" spans="1:5" x14ac:dyDescent="0.2">
      <c r="A387" s="129">
        <v>4000</v>
      </c>
      <c r="B387" s="55">
        <v>40000</v>
      </c>
      <c r="C387" s="134">
        <v>2</v>
      </c>
      <c r="D387" s="65">
        <v>4</v>
      </c>
      <c r="E387" s="27">
        <v>12</v>
      </c>
    </row>
    <row r="388" spans="1:5" x14ac:dyDescent="0.2">
      <c r="A388" s="128">
        <v>390</v>
      </c>
      <c r="B388" s="55">
        <v>20000</v>
      </c>
      <c r="C388" s="133">
        <v>1</v>
      </c>
      <c r="D388" s="51">
        <v>5</v>
      </c>
      <c r="E388" s="25">
        <v>2</v>
      </c>
    </row>
    <row r="389" spans="1:5" x14ac:dyDescent="0.2">
      <c r="A389" s="129">
        <v>3900</v>
      </c>
      <c r="B389" s="55">
        <v>60000</v>
      </c>
      <c r="C389" s="134">
        <v>2</v>
      </c>
      <c r="D389" s="65">
        <v>4</v>
      </c>
      <c r="E389" s="27">
        <v>12</v>
      </c>
    </row>
    <row r="390" spans="1:5" x14ac:dyDescent="0.2">
      <c r="A390" s="128">
        <v>1070</v>
      </c>
      <c r="B390" s="55">
        <v>40000</v>
      </c>
      <c r="C390" s="133">
        <v>1</v>
      </c>
      <c r="D390" s="51">
        <v>5</v>
      </c>
      <c r="E390" s="25">
        <v>8</v>
      </c>
    </row>
    <row r="391" spans="1:5" x14ac:dyDescent="0.2">
      <c r="A391" s="129">
        <v>1300</v>
      </c>
      <c r="B391" s="55">
        <v>40000</v>
      </c>
      <c r="C391" s="134">
        <v>1</v>
      </c>
      <c r="D391" s="65">
        <v>4</v>
      </c>
      <c r="E391" s="27">
        <v>8</v>
      </c>
    </row>
    <row r="392" spans="1:5" x14ac:dyDescent="0.2">
      <c r="A392" s="128">
        <v>1300</v>
      </c>
      <c r="B392" s="55">
        <v>60000</v>
      </c>
      <c r="C392" s="133">
        <v>2</v>
      </c>
      <c r="D392" s="51">
        <v>4</v>
      </c>
      <c r="E392" s="25">
        <v>6</v>
      </c>
    </row>
    <row r="393" spans="1:5" x14ac:dyDescent="0.2">
      <c r="A393" s="129">
        <v>650</v>
      </c>
      <c r="B393" s="55">
        <v>40000</v>
      </c>
      <c r="C393" s="134">
        <v>1</v>
      </c>
      <c r="D393" s="65">
        <v>5</v>
      </c>
      <c r="E393" s="27">
        <v>4</v>
      </c>
    </row>
    <row r="394" spans="1:5" x14ac:dyDescent="0.2">
      <c r="A394" s="128">
        <v>520</v>
      </c>
      <c r="B394" s="55">
        <v>40000</v>
      </c>
      <c r="C394" s="133">
        <v>1</v>
      </c>
      <c r="D394" s="51">
        <v>4</v>
      </c>
      <c r="E394" s="25">
        <v>4</v>
      </c>
    </row>
    <row r="395" spans="1:5" x14ac:dyDescent="0.2">
      <c r="A395" s="129">
        <v>390</v>
      </c>
      <c r="B395" s="55">
        <v>20000</v>
      </c>
      <c r="C395" s="134">
        <v>1</v>
      </c>
      <c r="D395" s="65">
        <v>5</v>
      </c>
      <c r="E395" s="27">
        <v>2</v>
      </c>
    </row>
    <row r="396" spans="1:5" x14ac:dyDescent="0.2">
      <c r="A396" s="128">
        <v>4500</v>
      </c>
      <c r="B396" s="55">
        <v>60000</v>
      </c>
      <c r="C396" s="133">
        <v>3</v>
      </c>
      <c r="D396" s="51">
        <v>4</v>
      </c>
      <c r="E396" s="25">
        <v>10</v>
      </c>
    </row>
    <row r="397" spans="1:5" x14ac:dyDescent="0.2">
      <c r="A397" s="129">
        <v>1430</v>
      </c>
      <c r="B397" s="55">
        <v>40000</v>
      </c>
      <c r="C397" s="134">
        <v>1</v>
      </c>
      <c r="D397" s="65">
        <v>5</v>
      </c>
      <c r="E397" s="27">
        <v>9</v>
      </c>
    </row>
    <row r="398" spans="1:5" x14ac:dyDescent="0.2">
      <c r="A398" s="128">
        <v>260</v>
      </c>
      <c r="B398" s="55">
        <v>20000</v>
      </c>
      <c r="C398" s="133">
        <v>1</v>
      </c>
      <c r="D398" s="51">
        <v>5</v>
      </c>
      <c r="E398" s="25">
        <v>2</v>
      </c>
    </row>
    <row r="399" spans="1:5" x14ac:dyDescent="0.2">
      <c r="A399" s="129">
        <v>1560</v>
      </c>
      <c r="B399" s="55">
        <v>5000</v>
      </c>
      <c r="C399" s="134">
        <v>1</v>
      </c>
      <c r="D399" s="65">
        <v>4</v>
      </c>
      <c r="E399" s="27">
        <v>10</v>
      </c>
    </row>
    <row r="400" spans="1:5" x14ac:dyDescent="0.2">
      <c r="A400" s="128">
        <v>1690</v>
      </c>
      <c r="B400" s="55">
        <v>40000</v>
      </c>
      <c r="C400" s="133">
        <v>1</v>
      </c>
      <c r="D400" s="51">
        <v>5</v>
      </c>
      <c r="E400" s="25">
        <v>11</v>
      </c>
    </row>
    <row r="401" spans="1:5" x14ac:dyDescent="0.2">
      <c r="A401" s="129">
        <v>390</v>
      </c>
      <c r="B401" s="55">
        <v>20000</v>
      </c>
      <c r="C401" s="134">
        <v>1</v>
      </c>
      <c r="D401" s="65">
        <v>5</v>
      </c>
      <c r="E401" s="27">
        <v>2</v>
      </c>
    </row>
    <row r="402" spans="1:5" x14ac:dyDescent="0.2">
      <c r="A402" s="128">
        <v>3600</v>
      </c>
      <c r="B402" s="55">
        <v>40000</v>
      </c>
      <c r="C402" s="133">
        <v>2</v>
      </c>
      <c r="D402" s="51">
        <v>4</v>
      </c>
      <c r="E402" s="25">
        <v>11</v>
      </c>
    </row>
    <row r="403" spans="1:5" x14ac:dyDescent="0.2">
      <c r="A403" s="129">
        <v>650</v>
      </c>
      <c r="B403" s="55">
        <v>40000</v>
      </c>
      <c r="C403" s="134">
        <v>1</v>
      </c>
      <c r="D403" s="65">
        <v>5</v>
      </c>
      <c r="E403" s="27">
        <v>4</v>
      </c>
    </row>
    <row r="404" spans="1:5" x14ac:dyDescent="0.2">
      <c r="A404" s="128">
        <v>9600</v>
      </c>
      <c r="B404" s="55">
        <v>85000</v>
      </c>
      <c r="C404" s="133">
        <v>1</v>
      </c>
      <c r="D404" s="51">
        <v>6</v>
      </c>
      <c r="E404" s="25">
        <v>30</v>
      </c>
    </row>
    <row r="405" spans="1:5" x14ac:dyDescent="0.2">
      <c r="A405" s="129">
        <v>1430</v>
      </c>
      <c r="B405" s="55">
        <v>5000</v>
      </c>
      <c r="C405" s="134">
        <v>1</v>
      </c>
      <c r="D405" s="65">
        <v>4</v>
      </c>
      <c r="E405" s="27">
        <v>9</v>
      </c>
    </row>
    <row r="406" spans="1:5" x14ac:dyDescent="0.2">
      <c r="A406" s="128">
        <v>9200</v>
      </c>
      <c r="B406" s="55">
        <v>60000</v>
      </c>
      <c r="C406" s="133">
        <v>2</v>
      </c>
      <c r="D406" s="51">
        <v>5</v>
      </c>
      <c r="E406" s="25">
        <v>5</v>
      </c>
    </row>
    <row r="407" spans="1:5" x14ac:dyDescent="0.2">
      <c r="A407" s="129">
        <v>520</v>
      </c>
      <c r="B407" s="55">
        <v>5000</v>
      </c>
      <c r="C407" s="134">
        <v>1</v>
      </c>
      <c r="D407" s="65">
        <v>5</v>
      </c>
      <c r="E407" s="27">
        <v>3</v>
      </c>
    </row>
    <row r="408" spans="1:5" x14ac:dyDescent="0.2">
      <c r="A408" s="128">
        <v>1560</v>
      </c>
      <c r="B408" s="55">
        <v>40000</v>
      </c>
      <c r="C408" s="133">
        <v>1</v>
      </c>
      <c r="D408" s="51">
        <v>5</v>
      </c>
      <c r="E408" s="25">
        <v>6</v>
      </c>
    </row>
    <row r="409" spans="1:5" x14ac:dyDescent="0.2">
      <c r="A409" s="129">
        <v>390</v>
      </c>
      <c r="B409" s="55">
        <v>20000</v>
      </c>
      <c r="C409" s="134">
        <v>1</v>
      </c>
      <c r="D409" s="65">
        <v>5</v>
      </c>
      <c r="E409" s="27">
        <v>2</v>
      </c>
    </row>
    <row r="410" spans="1:5" x14ac:dyDescent="0.2">
      <c r="A410" s="128">
        <v>1820</v>
      </c>
      <c r="B410" s="55">
        <v>20000</v>
      </c>
      <c r="C410" s="133">
        <v>1</v>
      </c>
      <c r="D410" s="51">
        <v>5</v>
      </c>
      <c r="E410" s="25">
        <v>12</v>
      </c>
    </row>
    <row r="411" spans="1:5" x14ac:dyDescent="0.2">
      <c r="A411" s="129">
        <v>260</v>
      </c>
      <c r="B411" s="55">
        <v>20000</v>
      </c>
      <c r="C411" s="134">
        <v>1</v>
      </c>
      <c r="D411" s="65">
        <v>5</v>
      </c>
      <c r="E411" s="27">
        <v>2</v>
      </c>
    </row>
    <row r="412" spans="1:5" x14ac:dyDescent="0.2">
      <c r="A412" s="128">
        <v>3900</v>
      </c>
      <c r="B412" s="55">
        <v>60000</v>
      </c>
      <c r="C412" s="133">
        <v>2</v>
      </c>
      <c r="D412" s="51">
        <v>4</v>
      </c>
      <c r="E412" s="25">
        <v>12</v>
      </c>
    </row>
    <row r="413" spans="1:5" x14ac:dyDescent="0.2">
      <c r="A413" s="129">
        <v>390</v>
      </c>
      <c r="B413" s="55">
        <v>20000</v>
      </c>
      <c r="C413" s="134">
        <v>1</v>
      </c>
      <c r="D413" s="65">
        <v>5</v>
      </c>
      <c r="E413" s="27">
        <v>2</v>
      </c>
    </row>
    <row r="414" spans="1:5" x14ac:dyDescent="0.2">
      <c r="A414" s="128">
        <v>1690</v>
      </c>
      <c r="B414" s="55">
        <v>5000</v>
      </c>
      <c r="C414" s="133">
        <v>1</v>
      </c>
      <c r="D414" s="51">
        <v>4</v>
      </c>
      <c r="E414" s="25">
        <v>11</v>
      </c>
    </row>
    <row r="415" spans="1:5" x14ac:dyDescent="0.2">
      <c r="A415" s="129">
        <v>11000</v>
      </c>
      <c r="B415" s="55">
        <v>40000</v>
      </c>
      <c r="C415" s="134">
        <v>2</v>
      </c>
      <c r="D415" s="65">
        <v>6</v>
      </c>
      <c r="E415" s="27">
        <v>6</v>
      </c>
    </row>
    <row r="416" spans="1:5" x14ac:dyDescent="0.2">
      <c r="A416" s="128">
        <v>650</v>
      </c>
      <c r="B416" s="55">
        <v>40000</v>
      </c>
      <c r="C416" s="133">
        <v>1</v>
      </c>
      <c r="D416" s="51">
        <v>3</v>
      </c>
      <c r="E416" s="25">
        <v>4</v>
      </c>
    </row>
    <row r="417" spans="1:5" x14ac:dyDescent="0.2">
      <c r="A417" s="129">
        <v>4400</v>
      </c>
      <c r="B417" s="55">
        <v>85000</v>
      </c>
      <c r="C417" s="134">
        <v>3</v>
      </c>
      <c r="D417" s="65">
        <v>4</v>
      </c>
      <c r="E417" s="27">
        <v>12</v>
      </c>
    </row>
    <row r="418" spans="1:5" x14ac:dyDescent="0.2">
      <c r="A418" s="128">
        <v>390</v>
      </c>
      <c r="B418" s="55">
        <v>20000</v>
      </c>
      <c r="C418" s="133">
        <v>1</v>
      </c>
      <c r="D418" s="51">
        <v>6</v>
      </c>
      <c r="E418" s="25">
        <v>2</v>
      </c>
    </row>
    <row r="419" spans="1:5" x14ac:dyDescent="0.2">
      <c r="A419" s="129">
        <v>4000</v>
      </c>
      <c r="B419" s="55">
        <v>60000</v>
      </c>
      <c r="C419" s="134">
        <v>1</v>
      </c>
      <c r="D419" s="65">
        <v>4</v>
      </c>
      <c r="E419" s="27">
        <v>14</v>
      </c>
    </row>
    <row r="420" spans="1:5" x14ac:dyDescent="0.2">
      <c r="A420" s="128">
        <v>1430</v>
      </c>
      <c r="B420" s="55">
        <v>40000</v>
      </c>
      <c r="C420" s="133">
        <v>1</v>
      </c>
      <c r="D420" s="51">
        <v>3</v>
      </c>
      <c r="E420" s="25">
        <v>9</v>
      </c>
    </row>
    <row r="421" spans="1:5" x14ac:dyDescent="0.2">
      <c r="A421" s="129">
        <v>9400</v>
      </c>
      <c r="B421" s="55">
        <v>40000</v>
      </c>
      <c r="C421" s="134">
        <v>3</v>
      </c>
      <c r="D421" s="65">
        <v>5</v>
      </c>
      <c r="E421" s="27">
        <v>7</v>
      </c>
    </row>
    <row r="422" spans="1:5" x14ac:dyDescent="0.2">
      <c r="A422" s="128">
        <v>8800</v>
      </c>
      <c r="B422" s="55">
        <v>40000</v>
      </c>
      <c r="C422" s="133">
        <v>2</v>
      </c>
      <c r="D422" s="51">
        <v>5</v>
      </c>
      <c r="E422" s="25">
        <v>5</v>
      </c>
    </row>
    <row r="423" spans="1:5" x14ac:dyDescent="0.2">
      <c r="A423" s="129">
        <v>520</v>
      </c>
      <c r="B423" s="55">
        <v>5000</v>
      </c>
      <c r="C423" s="134">
        <v>1</v>
      </c>
      <c r="D423" s="65">
        <v>4</v>
      </c>
      <c r="E423" s="27">
        <v>3</v>
      </c>
    </row>
    <row r="424" spans="1:5" x14ac:dyDescent="0.2">
      <c r="A424" s="128">
        <v>3700</v>
      </c>
      <c r="B424" s="55">
        <v>60000</v>
      </c>
      <c r="C424" s="133">
        <v>2</v>
      </c>
      <c r="D424" s="51">
        <v>4</v>
      </c>
      <c r="E424" s="25">
        <v>11</v>
      </c>
    </row>
    <row r="425" spans="1:5" x14ac:dyDescent="0.2">
      <c r="A425" s="129">
        <v>9200</v>
      </c>
      <c r="B425" s="55">
        <v>40000</v>
      </c>
      <c r="C425" s="134">
        <v>1</v>
      </c>
      <c r="D425" s="65">
        <v>6</v>
      </c>
      <c r="E425" s="27">
        <v>6</v>
      </c>
    </row>
    <row r="426" spans="1:5" x14ac:dyDescent="0.2">
      <c r="A426" s="128">
        <v>780</v>
      </c>
      <c r="B426" s="55">
        <v>60000</v>
      </c>
      <c r="C426" s="133">
        <v>1</v>
      </c>
      <c r="D426" s="51">
        <v>6</v>
      </c>
      <c r="E426" s="25">
        <v>3</v>
      </c>
    </row>
    <row r="427" spans="1:5" x14ac:dyDescent="0.2">
      <c r="A427" s="129">
        <v>780</v>
      </c>
      <c r="B427" s="55">
        <v>40000</v>
      </c>
      <c r="C427" s="134">
        <v>1</v>
      </c>
      <c r="D427" s="65">
        <v>5</v>
      </c>
      <c r="E427" s="27">
        <v>4</v>
      </c>
    </row>
    <row r="428" spans="1:5" x14ac:dyDescent="0.2">
      <c r="A428" s="128">
        <v>1180</v>
      </c>
      <c r="B428" s="55">
        <v>5000</v>
      </c>
      <c r="C428" s="133">
        <v>1</v>
      </c>
      <c r="D428" s="51">
        <v>5</v>
      </c>
      <c r="E428" s="25">
        <v>9</v>
      </c>
    </row>
    <row r="429" spans="1:5" x14ac:dyDescent="0.2">
      <c r="A429" s="129">
        <v>3600</v>
      </c>
      <c r="B429" s="55">
        <v>60000</v>
      </c>
      <c r="C429" s="134">
        <v>2</v>
      </c>
      <c r="D429" s="65">
        <v>5</v>
      </c>
      <c r="E429" s="27">
        <v>13</v>
      </c>
    </row>
    <row r="430" spans="1:5" x14ac:dyDescent="0.2">
      <c r="A430" s="128">
        <v>520</v>
      </c>
      <c r="B430" s="55">
        <v>20000</v>
      </c>
      <c r="C430" s="133">
        <v>1</v>
      </c>
      <c r="D430" s="51">
        <v>5</v>
      </c>
      <c r="E430" s="25">
        <v>3</v>
      </c>
    </row>
    <row r="431" spans="1:5" x14ac:dyDescent="0.2">
      <c r="A431" s="129">
        <v>2080</v>
      </c>
      <c r="B431" s="55">
        <v>60000</v>
      </c>
      <c r="C431" s="134">
        <v>1</v>
      </c>
      <c r="D431" s="65">
        <v>5</v>
      </c>
      <c r="E431" s="27">
        <v>12</v>
      </c>
    </row>
    <row r="432" spans="1:5" x14ac:dyDescent="0.2">
      <c r="A432" s="128">
        <v>390</v>
      </c>
      <c r="B432" s="55">
        <v>40000</v>
      </c>
      <c r="C432" s="133">
        <v>1</v>
      </c>
      <c r="D432" s="51">
        <v>5</v>
      </c>
      <c r="E432" s="25">
        <v>4</v>
      </c>
    </row>
    <row r="433" spans="1:5" x14ac:dyDescent="0.2">
      <c r="A433" s="129">
        <v>4350</v>
      </c>
      <c r="B433" s="55">
        <v>40000</v>
      </c>
      <c r="C433" s="134">
        <v>1</v>
      </c>
      <c r="D433" s="65">
        <v>6</v>
      </c>
      <c r="E433" s="27">
        <v>15</v>
      </c>
    </row>
    <row r="434" spans="1:5" x14ac:dyDescent="0.2">
      <c r="A434" s="128">
        <v>520</v>
      </c>
      <c r="B434" s="55">
        <v>5000</v>
      </c>
      <c r="C434" s="133">
        <v>1</v>
      </c>
      <c r="D434" s="51">
        <v>5</v>
      </c>
      <c r="E434" s="25">
        <v>3</v>
      </c>
    </row>
    <row r="435" spans="1:5" x14ac:dyDescent="0.2">
      <c r="A435" s="129">
        <v>11430</v>
      </c>
      <c r="B435" s="55">
        <v>40000</v>
      </c>
      <c r="C435" s="134">
        <v>1</v>
      </c>
      <c r="D435" s="65">
        <v>5</v>
      </c>
      <c r="E435" s="27">
        <v>9</v>
      </c>
    </row>
    <row r="436" spans="1:5" x14ac:dyDescent="0.2">
      <c r="A436" s="128">
        <v>900</v>
      </c>
      <c r="B436" s="55">
        <v>40000</v>
      </c>
      <c r="C436" s="133">
        <v>1</v>
      </c>
      <c r="D436" s="51">
        <v>5</v>
      </c>
      <c r="E436" s="25">
        <v>6</v>
      </c>
    </row>
    <row r="437" spans="1:5" x14ac:dyDescent="0.2">
      <c r="A437" s="129">
        <v>910</v>
      </c>
      <c r="B437" s="55">
        <v>40000</v>
      </c>
      <c r="C437" s="134">
        <v>1</v>
      </c>
      <c r="D437" s="65">
        <v>4</v>
      </c>
      <c r="E437" s="27">
        <v>5</v>
      </c>
    </row>
    <row r="438" spans="1:5" x14ac:dyDescent="0.2">
      <c r="A438" s="128">
        <v>1560</v>
      </c>
      <c r="B438" s="55">
        <v>5000</v>
      </c>
      <c r="C438" s="133">
        <v>1</v>
      </c>
      <c r="D438" s="51">
        <v>5</v>
      </c>
      <c r="E438" s="25">
        <v>10</v>
      </c>
    </row>
    <row r="439" spans="1:5" x14ac:dyDescent="0.2">
      <c r="A439" s="129">
        <v>4160</v>
      </c>
      <c r="B439" s="55">
        <v>60000</v>
      </c>
      <c r="C439" s="134">
        <v>2</v>
      </c>
      <c r="D439" s="65">
        <v>5</v>
      </c>
      <c r="E439" s="27">
        <v>15</v>
      </c>
    </row>
    <row r="440" spans="1:5" x14ac:dyDescent="0.2">
      <c r="A440" s="128">
        <v>520</v>
      </c>
      <c r="B440" s="55">
        <v>5000</v>
      </c>
      <c r="C440" s="133">
        <v>1</v>
      </c>
      <c r="D440" s="51">
        <v>5</v>
      </c>
      <c r="E440" s="25">
        <v>3</v>
      </c>
    </row>
    <row r="441" spans="1:5" x14ac:dyDescent="0.2">
      <c r="A441" s="129">
        <v>1560</v>
      </c>
      <c r="B441" s="55">
        <v>40000</v>
      </c>
      <c r="C441" s="134">
        <v>1</v>
      </c>
      <c r="D441" s="65">
        <v>5</v>
      </c>
      <c r="E441" s="27">
        <v>12</v>
      </c>
    </row>
    <row r="442" spans="1:5" x14ac:dyDescent="0.2">
      <c r="A442" s="128">
        <v>390</v>
      </c>
      <c r="B442" s="55">
        <v>5000</v>
      </c>
      <c r="C442" s="133">
        <v>1</v>
      </c>
      <c r="D442" s="51">
        <v>5</v>
      </c>
      <c r="E442" s="25">
        <v>2</v>
      </c>
    </row>
    <row r="443" spans="1:5" x14ac:dyDescent="0.2">
      <c r="A443" s="129">
        <v>4550</v>
      </c>
      <c r="B443" s="55">
        <v>40000</v>
      </c>
      <c r="C443" s="134">
        <v>1</v>
      </c>
      <c r="D443" s="65">
        <v>4</v>
      </c>
      <c r="E443" s="27">
        <v>16</v>
      </c>
    </row>
    <row r="444" spans="1:5" x14ac:dyDescent="0.2">
      <c r="A444" s="128">
        <v>650</v>
      </c>
      <c r="B444" s="55">
        <v>40000</v>
      </c>
      <c r="C444" s="133">
        <v>1</v>
      </c>
      <c r="D444" s="51">
        <v>4</v>
      </c>
      <c r="E444" s="25">
        <v>4</v>
      </c>
    </row>
    <row r="445" spans="1:5" x14ac:dyDescent="0.2">
      <c r="A445" s="129">
        <v>1430</v>
      </c>
      <c r="B445" s="55">
        <v>60000</v>
      </c>
      <c r="C445" s="134">
        <v>2</v>
      </c>
      <c r="D445" s="65">
        <v>4</v>
      </c>
      <c r="E445" s="27">
        <v>6</v>
      </c>
    </row>
    <row r="446" spans="1:5" x14ac:dyDescent="0.2">
      <c r="A446" s="128">
        <v>1040</v>
      </c>
      <c r="B446" s="55">
        <v>40000</v>
      </c>
      <c r="C446" s="133">
        <v>1</v>
      </c>
      <c r="D446" s="51">
        <v>5</v>
      </c>
      <c r="E446" s="25">
        <v>6</v>
      </c>
    </row>
    <row r="447" spans="1:5" x14ac:dyDescent="0.2">
      <c r="A447" s="129">
        <v>780</v>
      </c>
      <c r="B447" s="55">
        <v>40000</v>
      </c>
      <c r="C447" s="134">
        <v>1</v>
      </c>
      <c r="D447" s="65">
        <v>3</v>
      </c>
      <c r="E447" s="27">
        <v>5</v>
      </c>
    </row>
    <row r="448" spans="1:5" x14ac:dyDescent="0.2">
      <c r="A448" s="128">
        <v>7200</v>
      </c>
      <c r="B448" s="55">
        <v>60000</v>
      </c>
      <c r="C448" s="133">
        <v>1</v>
      </c>
      <c r="D448" s="51">
        <v>4</v>
      </c>
      <c r="E448" s="25">
        <v>35</v>
      </c>
    </row>
    <row r="449" spans="1:5" x14ac:dyDescent="0.2">
      <c r="A449" s="129">
        <v>1170</v>
      </c>
      <c r="B449" s="55">
        <v>5000</v>
      </c>
      <c r="C449" s="134">
        <v>1</v>
      </c>
      <c r="D449" s="65">
        <v>4</v>
      </c>
      <c r="E449" s="27">
        <v>7</v>
      </c>
    </row>
    <row r="450" spans="1:5" x14ac:dyDescent="0.2">
      <c r="A450" s="128">
        <v>3250</v>
      </c>
      <c r="B450" s="55">
        <v>85000</v>
      </c>
      <c r="C450" s="133">
        <v>2</v>
      </c>
      <c r="D450" s="51">
        <v>5</v>
      </c>
      <c r="E450" s="25">
        <v>11</v>
      </c>
    </row>
    <row r="451" spans="1:5" x14ac:dyDescent="0.2">
      <c r="A451" s="129">
        <v>4550</v>
      </c>
      <c r="B451" s="55">
        <v>40000</v>
      </c>
      <c r="C451" s="134">
        <v>1</v>
      </c>
      <c r="D451" s="65">
        <v>3</v>
      </c>
      <c r="E451" s="27">
        <v>25</v>
      </c>
    </row>
    <row r="452" spans="1:5" x14ac:dyDescent="0.2">
      <c r="A452" s="128">
        <v>520</v>
      </c>
      <c r="B452" s="55">
        <v>20000</v>
      </c>
      <c r="C452" s="133">
        <v>1</v>
      </c>
      <c r="D452" s="51">
        <v>4</v>
      </c>
      <c r="E452" s="25">
        <v>3</v>
      </c>
    </row>
    <row r="453" spans="1:5" x14ac:dyDescent="0.2">
      <c r="A453" s="129">
        <v>1430</v>
      </c>
      <c r="B453" s="55">
        <v>5000</v>
      </c>
      <c r="C453" s="134">
        <v>1</v>
      </c>
      <c r="D453" s="65">
        <v>5</v>
      </c>
      <c r="E453" s="27">
        <v>9</v>
      </c>
    </row>
    <row r="454" spans="1:5" x14ac:dyDescent="0.2">
      <c r="A454" s="128">
        <v>780</v>
      </c>
      <c r="B454" s="55">
        <v>60000</v>
      </c>
      <c r="C454" s="133">
        <v>1</v>
      </c>
      <c r="D454" s="51">
        <v>6</v>
      </c>
      <c r="E454" s="25">
        <v>4</v>
      </c>
    </row>
    <row r="455" spans="1:5" x14ac:dyDescent="0.2">
      <c r="A455" s="129">
        <v>4100</v>
      </c>
      <c r="B455" s="55">
        <v>125000</v>
      </c>
      <c r="C455" s="134">
        <v>1</v>
      </c>
      <c r="D455" s="65">
        <v>3</v>
      </c>
      <c r="E455" s="27">
        <v>14</v>
      </c>
    </row>
    <row r="456" spans="1:5" x14ac:dyDescent="0.2">
      <c r="A456" s="128">
        <v>910</v>
      </c>
      <c r="B456" s="55">
        <v>20000</v>
      </c>
      <c r="C456" s="133">
        <v>1</v>
      </c>
      <c r="D456" s="51">
        <v>5</v>
      </c>
      <c r="E456" s="25">
        <v>5</v>
      </c>
    </row>
    <row r="457" spans="1:5" x14ac:dyDescent="0.2">
      <c r="A457" s="129">
        <v>910</v>
      </c>
      <c r="B457" s="55">
        <v>40000</v>
      </c>
      <c r="C457" s="134">
        <v>1</v>
      </c>
      <c r="D457" s="65">
        <v>3</v>
      </c>
      <c r="E457" s="27">
        <v>6</v>
      </c>
    </row>
    <row r="458" spans="1:5" x14ac:dyDescent="0.2">
      <c r="A458" s="128">
        <v>1300</v>
      </c>
      <c r="B458" s="55">
        <v>20000</v>
      </c>
      <c r="C458" s="133">
        <v>1</v>
      </c>
      <c r="D458" s="51">
        <v>4</v>
      </c>
      <c r="E458" s="25">
        <v>8</v>
      </c>
    </row>
    <row r="459" spans="1:5" x14ac:dyDescent="0.2">
      <c r="A459" s="129">
        <v>3640</v>
      </c>
      <c r="B459" s="55">
        <v>60000</v>
      </c>
      <c r="C459" s="134">
        <v>2</v>
      </c>
      <c r="D459" s="65">
        <v>6</v>
      </c>
      <c r="E459" s="27">
        <v>12</v>
      </c>
    </row>
    <row r="460" spans="1:5" x14ac:dyDescent="0.2">
      <c r="A460" s="128">
        <v>390</v>
      </c>
      <c r="B460" s="55">
        <v>20000</v>
      </c>
      <c r="C460" s="133">
        <v>1</v>
      </c>
      <c r="D460" s="51">
        <v>4</v>
      </c>
      <c r="E460" s="25">
        <v>2</v>
      </c>
    </row>
    <row r="461" spans="1:5" x14ac:dyDescent="0.2">
      <c r="A461" s="129">
        <v>1820</v>
      </c>
      <c r="B461" s="55">
        <v>60000</v>
      </c>
      <c r="C461" s="134">
        <v>1</v>
      </c>
      <c r="D461" s="65">
        <v>3</v>
      </c>
      <c r="E461" s="27">
        <v>11</v>
      </c>
    </row>
    <row r="462" spans="1:5" x14ac:dyDescent="0.2">
      <c r="A462" s="128">
        <v>520</v>
      </c>
      <c r="B462" s="55">
        <v>20000</v>
      </c>
      <c r="C462" s="133">
        <v>1</v>
      </c>
      <c r="D462" s="51">
        <v>5</v>
      </c>
      <c r="E462" s="25">
        <v>3</v>
      </c>
    </row>
    <row r="463" spans="1:5" x14ac:dyDescent="0.2">
      <c r="A463" s="129">
        <v>3900</v>
      </c>
      <c r="B463" s="55">
        <v>85000</v>
      </c>
      <c r="C463" s="134">
        <v>1</v>
      </c>
      <c r="D463" s="65">
        <v>4</v>
      </c>
      <c r="E463" s="27">
        <v>13</v>
      </c>
    </row>
    <row r="464" spans="1:5" x14ac:dyDescent="0.2">
      <c r="A464" s="128">
        <v>1170</v>
      </c>
      <c r="B464" s="55">
        <v>5000</v>
      </c>
      <c r="C464" s="133">
        <v>1</v>
      </c>
      <c r="D464" s="51">
        <v>4</v>
      </c>
      <c r="E464" s="25">
        <v>7</v>
      </c>
    </row>
    <row r="465" spans="1:5" x14ac:dyDescent="0.2">
      <c r="A465" s="129">
        <v>780</v>
      </c>
      <c r="B465" s="55">
        <v>40000</v>
      </c>
      <c r="C465" s="134">
        <v>1</v>
      </c>
      <c r="D465" s="65">
        <v>3</v>
      </c>
      <c r="E465" s="27">
        <v>5</v>
      </c>
    </row>
    <row r="466" spans="1:5" x14ac:dyDescent="0.2">
      <c r="A466" s="128">
        <v>910</v>
      </c>
      <c r="B466" s="55">
        <v>40000</v>
      </c>
      <c r="C466" s="133">
        <v>1</v>
      </c>
      <c r="D466" s="51">
        <v>4</v>
      </c>
      <c r="E466" s="25">
        <v>5</v>
      </c>
    </row>
    <row r="467" spans="1:5" x14ac:dyDescent="0.2">
      <c r="A467" s="129">
        <v>650</v>
      </c>
      <c r="B467" s="55">
        <v>40000</v>
      </c>
      <c r="C467" s="134">
        <v>1</v>
      </c>
      <c r="D467" s="65">
        <v>3</v>
      </c>
      <c r="E467" s="27">
        <v>4</v>
      </c>
    </row>
    <row r="468" spans="1:5" x14ac:dyDescent="0.2">
      <c r="A468" s="128">
        <v>1560</v>
      </c>
      <c r="B468" s="55">
        <v>5000</v>
      </c>
      <c r="C468" s="133">
        <v>1</v>
      </c>
      <c r="D468" s="51">
        <v>5</v>
      </c>
      <c r="E468" s="25">
        <v>10</v>
      </c>
    </row>
    <row r="469" spans="1:5" x14ac:dyDescent="0.2">
      <c r="A469" s="129">
        <v>3510</v>
      </c>
      <c r="B469" s="55">
        <v>60000</v>
      </c>
      <c r="C469" s="134">
        <v>2</v>
      </c>
      <c r="D469" s="65">
        <v>6</v>
      </c>
      <c r="E469" s="27">
        <v>12</v>
      </c>
    </row>
    <row r="470" spans="1:5" x14ac:dyDescent="0.2">
      <c r="A470" s="128">
        <v>390</v>
      </c>
      <c r="B470" s="55">
        <v>20000</v>
      </c>
      <c r="C470" s="133">
        <v>1</v>
      </c>
      <c r="D470" s="51">
        <v>4</v>
      </c>
      <c r="E470" s="25">
        <v>2</v>
      </c>
    </row>
    <row r="471" spans="1:5" x14ac:dyDescent="0.2">
      <c r="A471" s="129">
        <v>2080</v>
      </c>
      <c r="B471" s="55">
        <v>60000</v>
      </c>
      <c r="C471" s="134">
        <v>1</v>
      </c>
      <c r="D471" s="65">
        <v>3</v>
      </c>
      <c r="E471" s="27">
        <v>13</v>
      </c>
    </row>
    <row r="472" spans="1:5" x14ac:dyDescent="0.2">
      <c r="A472" s="128">
        <v>390</v>
      </c>
      <c r="B472" s="55">
        <v>20000</v>
      </c>
      <c r="C472" s="133">
        <v>1</v>
      </c>
      <c r="D472" s="51">
        <v>5</v>
      </c>
      <c r="E472" s="25">
        <v>2</v>
      </c>
    </row>
    <row r="473" spans="1:5" x14ac:dyDescent="0.2">
      <c r="A473" s="129">
        <v>4160</v>
      </c>
      <c r="B473" s="55">
        <v>85000</v>
      </c>
      <c r="C473" s="134">
        <v>1</v>
      </c>
      <c r="D473" s="65">
        <v>4</v>
      </c>
      <c r="E473" s="27">
        <v>14</v>
      </c>
    </row>
    <row r="474" spans="1:5" x14ac:dyDescent="0.2">
      <c r="A474" s="128">
        <v>520</v>
      </c>
      <c r="B474" s="55">
        <v>5000</v>
      </c>
      <c r="C474" s="133">
        <v>1</v>
      </c>
      <c r="D474" s="51">
        <v>6</v>
      </c>
      <c r="E474" s="25">
        <v>3</v>
      </c>
    </row>
    <row r="475" spans="1:5" x14ac:dyDescent="0.2">
      <c r="A475" s="129">
        <v>1430</v>
      </c>
      <c r="B475" s="55">
        <v>40000</v>
      </c>
      <c r="C475" s="134">
        <v>1</v>
      </c>
      <c r="D475" s="65">
        <v>3</v>
      </c>
      <c r="E475" s="27">
        <v>8</v>
      </c>
    </row>
    <row r="476" spans="1:5" x14ac:dyDescent="0.2">
      <c r="A476" s="128">
        <v>910</v>
      </c>
      <c r="B476" s="55">
        <v>40000</v>
      </c>
      <c r="C476" s="133">
        <v>1</v>
      </c>
      <c r="D476" s="51">
        <v>4</v>
      </c>
      <c r="E476" s="25">
        <v>5</v>
      </c>
    </row>
    <row r="477" spans="1:5" x14ac:dyDescent="0.2">
      <c r="A477" s="129">
        <v>650</v>
      </c>
      <c r="B477" s="55">
        <v>40000</v>
      </c>
      <c r="C477" s="134">
        <v>1</v>
      </c>
      <c r="D477" s="65">
        <v>3</v>
      </c>
      <c r="E477" s="27">
        <v>4</v>
      </c>
    </row>
    <row r="478" spans="1:5" x14ac:dyDescent="0.2">
      <c r="A478" s="128">
        <v>1170</v>
      </c>
      <c r="B478" s="55">
        <v>5000</v>
      </c>
      <c r="C478" s="133">
        <v>1</v>
      </c>
      <c r="D478" s="51">
        <v>5</v>
      </c>
      <c r="E478" s="25">
        <v>7</v>
      </c>
    </row>
    <row r="479" spans="1:5" x14ac:dyDescent="0.2">
      <c r="A479" s="129">
        <v>900</v>
      </c>
      <c r="B479" s="55">
        <v>5000</v>
      </c>
      <c r="C479" s="134">
        <v>1</v>
      </c>
      <c r="D479" s="65">
        <v>4</v>
      </c>
      <c r="E479" s="27">
        <v>7</v>
      </c>
    </row>
    <row r="480" spans="1:5" x14ac:dyDescent="0.2">
      <c r="A480" s="128">
        <v>3380</v>
      </c>
      <c r="B480" s="55">
        <v>60000</v>
      </c>
      <c r="C480" s="133">
        <v>2</v>
      </c>
      <c r="D480" s="51">
        <v>6</v>
      </c>
      <c r="E480" s="25">
        <v>12</v>
      </c>
    </row>
    <row r="481" spans="1:5" x14ac:dyDescent="0.2">
      <c r="A481" s="129">
        <v>390</v>
      </c>
      <c r="B481" s="55">
        <v>20000</v>
      </c>
      <c r="C481" s="134">
        <v>1</v>
      </c>
      <c r="D481" s="65">
        <v>4</v>
      </c>
      <c r="E481" s="27">
        <v>2</v>
      </c>
    </row>
    <row r="482" spans="1:5" x14ac:dyDescent="0.2">
      <c r="A482" s="128">
        <v>1950</v>
      </c>
      <c r="B482" s="55">
        <v>60000</v>
      </c>
      <c r="C482" s="133">
        <v>1</v>
      </c>
      <c r="D482" s="51">
        <v>3</v>
      </c>
      <c r="E482" s="25">
        <v>11</v>
      </c>
    </row>
    <row r="483" spans="1:5" x14ac:dyDescent="0.2">
      <c r="A483" s="129">
        <v>390</v>
      </c>
      <c r="B483" s="55">
        <v>20000</v>
      </c>
      <c r="C483" s="134">
        <v>1</v>
      </c>
      <c r="D483" s="65">
        <v>5</v>
      </c>
      <c r="E483" s="27">
        <v>2</v>
      </c>
    </row>
    <row r="484" spans="1:5" x14ac:dyDescent="0.2">
      <c r="A484" s="128">
        <v>4350</v>
      </c>
      <c r="B484" s="55">
        <v>85000</v>
      </c>
      <c r="C484" s="133">
        <v>1</v>
      </c>
      <c r="D484" s="51">
        <v>4</v>
      </c>
      <c r="E484" s="25">
        <v>15</v>
      </c>
    </row>
    <row r="485" spans="1:5" x14ac:dyDescent="0.2">
      <c r="A485" s="129">
        <v>520</v>
      </c>
      <c r="B485" s="55">
        <v>5000</v>
      </c>
      <c r="C485" s="134">
        <v>1</v>
      </c>
      <c r="D485" s="65">
        <v>6</v>
      </c>
      <c r="E485" s="27">
        <v>3</v>
      </c>
    </row>
    <row r="486" spans="1:5" x14ac:dyDescent="0.2">
      <c r="A486" s="128">
        <v>1560</v>
      </c>
      <c r="B486" s="55">
        <v>40000</v>
      </c>
      <c r="C486" s="133">
        <v>1</v>
      </c>
      <c r="D486" s="51">
        <v>3</v>
      </c>
      <c r="E486" s="25">
        <v>9</v>
      </c>
    </row>
    <row r="487" spans="1:5" x14ac:dyDescent="0.2">
      <c r="A487" s="129">
        <v>420</v>
      </c>
      <c r="B487" s="55">
        <v>5000</v>
      </c>
      <c r="C487" s="134">
        <v>1</v>
      </c>
      <c r="D487" s="65">
        <v>5</v>
      </c>
      <c r="E487" s="27">
        <v>3</v>
      </c>
    </row>
    <row r="488" spans="1:5" x14ac:dyDescent="0.2">
      <c r="A488" s="128">
        <v>3840</v>
      </c>
      <c r="B488" s="55">
        <v>40000</v>
      </c>
      <c r="C488" s="133">
        <v>1</v>
      </c>
      <c r="D488" s="51">
        <v>5</v>
      </c>
      <c r="E488" s="25">
        <v>14</v>
      </c>
    </row>
    <row r="489" spans="1:5" x14ac:dyDescent="0.2">
      <c r="A489" s="129">
        <v>5400</v>
      </c>
      <c r="B489" s="55">
        <v>60000</v>
      </c>
      <c r="C489" s="134">
        <v>2</v>
      </c>
      <c r="D489" s="65">
        <v>5</v>
      </c>
      <c r="E489" s="27">
        <v>4</v>
      </c>
    </row>
    <row r="490" spans="1:5" x14ac:dyDescent="0.2">
      <c r="A490" s="128">
        <v>880</v>
      </c>
      <c r="B490" s="55">
        <v>40000</v>
      </c>
      <c r="C490" s="133">
        <v>1</v>
      </c>
      <c r="D490" s="51">
        <v>4</v>
      </c>
      <c r="E490" s="25">
        <v>5</v>
      </c>
    </row>
    <row r="491" spans="1:5" x14ac:dyDescent="0.2">
      <c r="A491" s="129">
        <v>2000</v>
      </c>
      <c r="B491" s="55">
        <v>60000</v>
      </c>
      <c r="C491" s="134">
        <v>1</v>
      </c>
      <c r="D491" s="65">
        <v>5</v>
      </c>
      <c r="E491" s="27">
        <v>9</v>
      </c>
    </row>
    <row r="492" spans="1:5" x14ac:dyDescent="0.2">
      <c r="A492" s="128">
        <v>2300</v>
      </c>
      <c r="B492" s="55">
        <v>40000</v>
      </c>
      <c r="C492" s="133">
        <v>1</v>
      </c>
      <c r="D492" s="51">
        <v>3</v>
      </c>
      <c r="E492" s="25">
        <v>12</v>
      </c>
    </row>
    <row r="493" spans="1:5" x14ac:dyDescent="0.2">
      <c r="A493" s="129">
        <v>1000</v>
      </c>
      <c r="B493" s="55">
        <v>5000</v>
      </c>
      <c r="C493" s="134">
        <v>1</v>
      </c>
      <c r="D493" s="65">
        <v>5</v>
      </c>
      <c r="E493" s="27">
        <v>4</v>
      </c>
    </row>
    <row r="494" spans="1:5" x14ac:dyDescent="0.2">
      <c r="A494" s="128">
        <v>2800</v>
      </c>
      <c r="B494" s="55">
        <v>60000</v>
      </c>
      <c r="C494" s="133">
        <v>1</v>
      </c>
      <c r="D494" s="51">
        <v>4</v>
      </c>
      <c r="E494" s="25">
        <v>12</v>
      </c>
    </row>
    <row r="495" spans="1:5" x14ac:dyDescent="0.2">
      <c r="A495" s="129">
        <v>580</v>
      </c>
      <c r="B495" s="55">
        <v>40000</v>
      </c>
      <c r="C495" s="134">
        <v>1</v>
      </c>
      <c r="D495" s="65">
        <v>6</v>
      </c>
      <c r="E495" s="27">
        <v>3</v>
      </c>
    </row>
    <row r="496" spans="1:5" x14ac:dyDescent="0.2">
      <c r="A496" s="128">
        <v>1430</v>
      </c>
      <c r="B496" s="55">
        <v>40000</v>
      </c>
      <c r="C496" s="133">
        <v>1</v>
      </c>
      <c r="D496" s="51">
        <v>4</v>
      </c>
      <c r="E496" s="25">
        <v>9</v>
      </c>
    </row>
    <row r="497" spans="1:5" x14ac:dyDescent="0.2">
      <c r="A497" s="129">
        <v>650</v>
      </c>
      <c r="B497" s="55">
        <v>20000</v>
      </c>
      <c r="C497" s="134">
        <v>1</v>
      </c>
      <c r="D497" s="65">
        <v>3</v>
      </c>
      <c r="E497" s="27">
        <v>4</v>
      </c>
    </row>
    <row r="498" spans="1:5" x14ac:dyDescent="0.2">
      <c r="A498" s="128">
        <v>7800</v>
      </c>
      <c r="B498" s="55">
        <v>60000</v>
      </c>
      <c r="C498" s="133">
        <v>2</v>
      </c>
      <c r="D498" s="51">
        <v>6</v>
      </c>
      <c r="E498" s="25">
        <v>3</v>
      </c>
    </row>
    <row r="499" spans="1:5" x14ac:dyDescent="0.2">
      <c r="A499" s="129">
        <v>4800</v>
      </c>
      <c r="B499" s="55">
        <v>85000</v>
      </c>
      <c r="C499" s="134">
        <v>1</v>
      </c>
      <c r="D499" s="65">
        <v>3</v>
      </c>
      <c r="E499" s="27">
        <v>18</v>
      </c>
    </row>
    <row r="500" spans="1:5" x14ac:dyDescent="0.2">
      <c r="A500" s="128">
        <v>390</v>
      </c>
      <c r="B500" s="55">
        <v>20000</v>
      </c>
      <c r="C500" s="133">
        <v>1</v>
      </c>
      <c r="D500" s="51">
        <v>5</v>
      </c>
      <c r="E500" s="25">
        <v>2</v>
      </c>
    </row>
    <row r="501" spans="1:5" x14ac:dyDescent="0.2">
      <c r="A501" s="129">
        <v>3500</v>
      </c>
      <c r="B501" s="55">
        <v>60000</v>
      </c>
      <c r="C501" s="134">
        <v>2</v>
      </c>
      <c r="D501" s="65">
        <v>4</v>
      </c>
      <c r="E501" s="27">
        <v>9</v>
      </c>
    </row>
    <row r="502" spans="1:5" x14ac:dyDescent="0.2">
      <c r="A502" s="128">
        <v>1000</v>
      </c>
      <c r="B502" s="55">
        <v>5000</v>
      </c>
      <c r="C502" s="133">
        <v>1</v>
      </c>
      <c r="D502" s="51">
        <v>5</v>
      </c>
      <c r="E502" s="25">
        <v>8</v>
      </c>
    </row>
    <row r="503" spans="1:5" x14ac:dyDescent="0.2">
      <c r="A503" s="129">
        <v>2100</v>
      </c>
      <c r="B503" s="55">
        <v>60000</v>
      </c>
      <c r="C503" s="134">
        <v>1</v>
      </c>
      <c r="D503" s="65">
        <v>5</v>
      </c>
      <c r="E503" s="27">
        <v>6</v>
      </c>
    </row>
    <row r="504" spans="1:5" x14ac:dyDescent="0.2">
      <c r="A504" s="128">
        <v>1170</v>
      </c>
      <c r="B504" s="55">
        <v>5000</v>
      </c>
      <c r="C504" s="133">
        <v>1</v>
      </c>
      <c r="D504" s="51">
        <v>4</v>
      </c>
      <c r="E504" s="25">
        <v>7</v>
      </c>
    </row>
    <row r="505" spans="1:5" x14ac:dyDescent="0.2">
      <c r="A505" s="129">
        <v>3200</v>
      </c>
      <c r="B505" s="55">
        <v>60000</v>
      </c>
      <c r="C505" s="134">
        <v>1</v>
      </c>
      <c r="D505" s="65">
        <v>4</v>
      </c>
      <c r="E505" s="27">
        <v>11</v>
      </c>
    </row>
    <row r="506" spans="1:5" x14ac:dyDescent="0.2">
      <c r="A506" s="128">
        <v>1430</v>
      </c>
      <c r="B506" s="55">
        <v>40000</v>
      </c>
      <c r="C506" s="133">
        <v>1</v>
      </c>
      <c r="D506" s="51">
        <v>4</v>
      </c>
      <c r="E506" s="25">
        <v>10</v>
      </c>
    </row>
    <row r="507" spans="1:5" x14ac:dyDescent="0.2">
      <c r="A507" s="129">
        <v>9300</v>
      </c>
      <c r="B507" s="55">
        <v>60000</v>
      </c>
      <c r="C507" s="134">
        <v>2</v>
      </c>
      <c r="D507" s="65">
        <v>6</v>
      </c>
      <c r="E507" s="27">
        <v>3</v>
      </c>
    </row>
    <row r="508" spans="1:5" x14ac:dyDescent="0.2">
      <c r="A508" s="128">
        <v>780</v>
      </c>
      <c r="B508" s="55">
        <v>5000</v>
      </c>
      <c r="C508" s="133">
        <v>1</v>
      </c>
      <c r="D508" s="51">
        <v>6</v>
      </c>
      <c r="E508" s="25">
        <v>3</v>
      </c>
    </row>
    <row r="509" spans="1:5" x14ac:dyDescent="0.2">
      <c r="A509" s="129">
        <v>780</v>
      </c>
      <c r="B509" s="55">
        <v>20000</v>
      </c>
      <c r="C509" s="134">
        <v>1</v>
      </c>
      <c r="D509" s="65">
        <v>6</v>
      </c>
      <c r="E509" s="27">
        <v>4</v>
      </c>
    </row>
    <row r="510" spans="1:5" x14ac:dyDescent="0.2">
      <c r="A510" s="128">
        <v>3600</v>
      </c>
      <c r="B510" s="55">
        <v>40000</v>
      </c>
      <c r="C510" s="133">
        <v>2</v>
      </c>
      <c r="D510" s="51">
        <v>4</v>
      </c>
      <c r="E510" s="25">
        <v>10</v>
      </c>
    </row>
    <row r="511" spans="1:5" x14ac:dyDescent="0.2">
      <c r="A511" s="129">
        <v>3600</v>
      </c>
      <c r="B511" s="55">
        <v>40000</v>
      </c>
      <c r="C511" s="134">
        <v>1</v>
      </c>
      <c r="D511" s="65">
        <v>5</v>
      </c>
      <c r="E511" s="27">
        <v>12</v>
      </c>
    </row>
    <row r="512" spans="1:5" x14ac:dyDescent="0.2">
      <c r="A512" s="128">
        <v>7500</v>
      </c>
      <c r="B512" s="55">
        <v>60000</v>
      </c>
      <c r="C512" s="133">
        <v>2</v>
      </c>
      <c r="D512" s="51">
        <v>6</v>
      </c>
      <c r="E512" s="25">
        <v>6</v>
      </c>
    </row>
    <row r="513" spans="1:5" x14ac:dyDescent="0.2">
      <c r="A513" s="129">
        <v>1200</v>
      </c>
      <c r="B513" s="55">
        <v>60000</v>
      </c>
      <c r="C513" s="134">
        <v>1</v>
      </c>
      <c r="D513" s="65">
        <v>3</v>
      </c>
      <c r="E513" s="27">
        <v>14</v>
      </c>
    </row>
    <row r="514" spans="1:5" x14ac:dyDescent="0.2">
      <c r="A514" s="128">
        <v>430</v>
      </c>
      <c r="B514" s="55">
        <v>20000</v>
      </c>
      <c r="C514" s="133">
        <v>1</v>
      </c>
      <c r="D514" s="51">
        <v>5</v>
      </c>
      <c r="E514" s="25">
        <v>3</v>
      </c>
    </row>
    <row r="515" spans="1:5" x14ac:dyDescent="0.2">
      <c r="A515" s="129">
        <v>1000</v>
      </c>
      <c r="B515" s="55">
        <v>40000</v>
      </c>
      <c r="C515" s="134">
        <v>1</v>
      </c>
      <c r="D515" s="65">
        <v>3</v>
      </c>
      <c r="E515" s="27">
        <v>9</v>
      </c>
    </row>
    <row r="516" spans="1:5" x14ac:dyDescent="0.2">
      <c r="A516" s="128">
        <v>1100</v>
      </c>
      <c r="B516" s="55">
        <v>40000</v>
      </c>
      <c r="C516" s="133">
        <v>1</v>
      </c>
      <c r="D516" s="51">
        <v>3</v>
      </c>
      <c r="E516" s="25">
        <v>12</v>
      </c>
    </row>
    <row r="517" spans="1:5" x14ac:dyDescent="0.2">
      <c r="A517" s="129">
        <v>3000</v>
      </c>
      <c r="B517" s="55">
        <v>60000</v>
      </c>
      <c r="C517" s="134">
        <v>2</v>
      </c>
      <c r="D517" s="65">
        <v>5</v>
      </c>
      <c r="E517" s="27">
        <v>6</v>
      </c>
    </row>
    <row r="518" spans="1:5" x14ac:dyDescent="0.2">
      <c r="A518" s="128">
        <v>900</v>
      </c>
      <c r="B518" s="55">
        <v>5000</v>
      </c>
      <c r="C518" s="133">
        <v>1</v>
      </c>
      <c r="D518" s="51">
        <v>5</v>
      </c>
      <c r="E518" s="25">
        <v>7</v>
      </c>
    </row>
    <row r="519" spans="1:5" x14ac:dyDescent="0.2">
      <c r="A519" s="129">
        <v>1900</v>
      </c>
      <c r="B519" s="55">
        <v>60000</v>
      </c>
      <c r="C519" s="134">
        <v>1</v>
      </c>
      <c r="D519" s="65">
        <v>5</v>
      </c>
      <c r="E519" s="27">
        <v>9</v>
      </c>
    </row>
    <row r="520" spans="1:5" x14ac:dyDescent="0.2">
      <c r="A520" s="128">
        <v>650</v>
      </c>
      <c r="B520" s="55">
        <v>40000</v>
      </c>
      <c r="C520" s="133">
        <v>1</v>
      </c>
      <c r="D520" s="51">
        <v>3</v>
      </c>
      <c r="E520" s="25">
        <v>3</v>
      </c>
    </row>
    <row r="521" spans="1:5" x14ac:dyDescent="0.2">
      <c r="A521" s="129">
        <v>8700</v>
      </c>
      <c r="B521" s="55">
        <v>40000</v>
      </c>
      <c r="C521" s="134">
        <v>2</v>
      </c>
      <c r="D521" s="65">
        <v>6</v>
      </c>
      <c r="E521" s="27">
        <v>3</v>
      </c>
    </row>
    <row r="522" spans="1:5" x14ac:dyDescent="0.2">
      <c r="A522" s="128">
        <v>3000</v>
      </c>
      <c r="B522" s="55">
        <v>60000</v>
      </c>
      <c r="C522" s="133">
        <v>1</v>
      </c>
      <c r="D522" s="51">
        <v>3</v>
      </c>
      <c r="E522" s="25">
        <v>12</v>
      </c>
    </row>
    <row r="523" spans="1:5" x14ac:dyDescent="0.2">
      <c r="A523" s="129">
        <v>3600</v>
      </c>
      <c r="B523" s="55">
        <v>60000</v>
      </c>
      <c r="C523" s="134">
        <v>2</v>
      </c>
      <c r="D523" s="65">
        <v>4</v>
      </c>
      <c r="E523" s="27">
        <v>10</v>
      </c>
    </row>
    <row r="524" spans="1:5" x14ac:dyDescent="0.2">
      <c r="A524" s="128">
        <v>600</v>
      </c>
      <c r="B524" s="55">
        <v>40000</v>
      </c>
      <c r="C524" s="133">
        <v>1</v>
      </c>
      <c r="D524" s="51">
        <v>5</v>
      </c>
      <c r="E524" s="25">
        <v>5</v>
      </c>
    </row>
    <row r="525" spans="1:5" x14ac:dyDescent="0.2">
      <c r="A525" s="129">
        <v>1300</v>
      </c>
      <c r="B525" s="55">
        <v>40000</v>
      </c>
      <c r="C525" s="134">
        <v>1</v>
      </c>
      <c r="D525" s="65">
        <v>5</v>
      </c>
      <c r="E525" s="27">
        <v>6</v>
      </c>
    </row>
    <row r="526" spans="1:5" x14ac:dyDescent="0.2">
      <c r="A526" s="128">
        <v>3000</v>
      </c>
      <c r="B526" s="55">
        <v>85000</v>
      </c>
      <c r="C526" s="133">
        <v>2</v>
      </c>
      <c r="D526" s="51">
        <v>5</v>
      </c>
      <c r="E526" s="25">
        <v>10</v>
      </c>
    </row>
    <row r="527" spans="1:5" x14ac:dyDescent="0.2">
      <c r="A527" s="129">
        <v>980</v>
      </c>
      <c r="B527" s="55">
        <v>5000</v>
      </c>
      <c r="C527" s="134">
        <v>1</v>
      </c>
      <c r="D527" s="65">
        <v>5</v>
      </c>
      <c r="E527" s="27">
        <v>6</v>
      </c>
    </row>
    <row r="528" spans="1:5" x14ac:dyDescent="0.2">
      <c r="A528" s="128">
        <v>910</v>
      </c>
      <c r="B528" s="55">
        <v>40000</v>
      </c>
      <c r="C528" s="133">
        <v>1</v>
      </c>
      <c r="D528" s="51">
        <v>6</v>
      </c>
      <c r="E528" s="25">
        <v>4</v>
      </c>
    </row>
    <row r="529" spans="1:5" x14ac:dyDescent="0.2">
      <c r="A529" s="129">
        <v>2300</v>
      </c>
      <c r="B529" s="55">
        <v>60000</v>
      </c>
      <c r="C529" s="134">
        <v>1</v>
      </c>
      <c r="D529" s="65">
        <v>4</v>
      </c>
      <c r="E529" s="27">
        <v>12</v>
      </c>
    </row>
    <row r="530" spans="1:5" x14ac:dyDescent="0.2">
      <c r="A530" s="128">
        <v>2300</v>
      </c>
      <c r="B530" s="55">
        <v>40000</v>
      </c>
      <c r="C530" s="133">
        <v>1</v>
      </c>
      <c r="D530" s="51">
        <v>4</v>
      </c>
      <c r="E530" s="25">
        <v>12</v>
      </c>
    </row>
    <row r="531" spans="1:5" x14ac:dyDescent="0.2">
      <c r="A531" s="129">
        <v>630</v>
      </c>
      <c r="B531" s="55">
        <v>20000</v>
      </c>
      <c r="C531" s="134">
        <v>1</v>
      </c>
      <c r="D531" s="65">
        <v>4</v>
      </c>
      <c r="E531" s="27">
        <v>3</v>
      </c>
    </row>
    <row r="532" spans="1:5" x14ac:dyDescent="0.2">
      <c r="A532" s="128">
        <v>1820</v>
      </c>
      <c r="B532" s="55">
        <v>40000</v>
      </c>
      <c r="C532" s="133">
        <v>1</v>
      </c>
      <c r="D532" s="51">
        <v>4</v>
      </c>
      <c r="E532" s="25">
        <v>13</v>
      </c>
    </row>
    <row r="533" spans="1:5" x14ac:dyDescent="0.2">
      <c r="A533" s="129">
        <v>3900</v>
      </c>
      <c r="B533" s="55">
        <v>60000</v>
      </c>
      <c r="C533" s="134">
        <v>2</v>
      </c>
      <c r="D533" s="65">
        <v>5</v>
      </c>
      <c r="E533" s="27">
        <v>10</v>
      </c>
    </row>
    <row r="534" spans="1:5" x14ac:dyDescent="0.2">
      <c r="A534" s="128">
        <v>780</v>
      </c>
      <c r="B534" s="55">
        <v>40000</v>
      </c>
      <c r="C534" s="133">
        <v>1</v>
      </c>
      <c r="D534" s="51">
        <v>5</v>
      </c>
      <c r="E534" s="25">
        <v>6</v>
      </c>
    </row>
    <row r="535" spans="1:5" x14ac:dyDescent="0.2">
      <c r="A535" s="129">
        <v>3200</v>
      </c>
      <c r="B535" s="55">
        <v>40000</v>
      </c>
      <c r="C535" s="134">
        <v>2</v>
      </c>
      <c r="D535" s="65">
        <v>5</v>
      </c>
      <c r="E535" s="27">
        <v>6</v>
      </c>
    </row>
    <row r="536" spans="1:5" x14ac:dyDescent="0.2">
      <c r="A536" s="128">
        <v>6700</v>
      </c>
      <c r="B536" s="55">
        <v>40000</v>
      </c>
      <c r="C536" s="133">
        <v>2</v>
      </c>
      <c r="D536" s="51">
        <v>5</v>
      </c>
      <c r="E536" s="25">
        <v>3</v>
      </c>
    </row>
    <row r="537" spans="1:5" x14ac:dyDescent="0.2">
      <c r="A537" s="129">
        <v>780</v>
      </c>
      <c r="B537" s="55">
        <v>5000</v>
      </c>
      <c r="C537" s="134">
        <v>1</v>
      </c>
      <c r="D537" s="65">
        <v>4</v>
      </c>
      <c r="E537" s="27">
        <v>5</v>
      </c>
    </row>
    <row r="538" spans="1:5" x14ac:dyDescent="0.2">
      <c r="A538" s="128">
        <v>3900</v>
      </c>
      <c r="B538" s="55">
        <v>125000</v>
      </c>
      <c r="C538" s="133">
        <v>2</v>
      </c>
      <c r="D538" s="51">
        <v>4</v>
      </c>
      <c r="E538" s="25">
        <v>10</v>
      </c>
    </row>
    <row r="539" spans="1:5" x14ac:dyDescent="0.2">
      <c r="A539" s="129">
        <v>3520</v>
      </c>
      <c r="B539" s="55">
        <v>85000</v>
      </c>
      <c r="C539" s="134">
        <v>1</v>
      </c>
      <c r="D539" s="65">
        <v>3</v>
      </c>
      <c r="E539" s="27">
        <v>12</v>
      </c>
    </row>
    <row r="540" spans="1:5" x14ac:dyDescent="0.2">
      <c r="A540" s="128">
        <v>1049</v>
      </c>
      <c r="B540" s="55">
        <v>20000</v>
      </c>
      <c r="C540" s="133">
        <v>1</v>
      </c>
      <c r="D540" s="51">
        <v>6</v>
      </c>
      <c r="E540" s="25">
        <v>6</v>
      </c>
    </row>
    <row r="541" spans="1:5" x14ac:dyDescent="0.2">
      <c r="A541" s="129">
        <v>530</v>
      </c>
      <c r="B541" s="55">
        <v>20000</v>
      </c>
      <c r="C541" s="134">
        <v>1</v>
      </c>
      <c r="D541" s="65">
        <v>4</v>
      </c>
      <c r="E541" s="27">
        <v>3</v>
      </c>
    </row>
    <row r="542" spans="1:5" x14ac:dyDescent="0.2">
      <c r="A542" s="128">
        <v>4890</v>
      </c>
      <c r="B542" s="55">
        <v>85000</v>
      </c>
      <c r="C542" s="133">
        <v>1</v>
      </c>
      <c r="D542" s="51">
        <v>3</v>
      </c>
      <c r="E542" s="25">
        <v>15</v>
      </c>
    </row>
    <row r="543" spans="1:5" x14ac:dyDescent="0.2">
      <c r="A543" s="129">
        <v>1180</v>
      </c>
      <c r="B543" s="55">
        <v>60000</v>
      </c>
      <c r="C543" s="134">
        <v>1</v>
      </c>
      <c r="D543" s="65">
        <v>3</v>
      </c>
      <c r="E543" s="27">
        <v>7</v>
      </c>
    </row>
    <row r="544" spans="1:5" x14ac:dyDescent="0.2">
      <c r="A544" s="128">
        <v>8100</v>
      </c>
      <c r="B544" s="55">
        <v>60000</v>
      </c>
      <c r="C544" s="133">
        <v>2</v>
      </c>
      <c r="D544" s="51">
        <v>5</v>
      </c>
      <c r="E544" s="25">
        <v>2</v>
      </c>
    </row>
    <row r="545" spans="1:5" x14ac:dyDescent="0.2">
      <c r="A545" s="129">
        <v>2600</v>
      </c>
      <c r="B545" s="55">
        <v>125000</v>
      </c>
      <c r="C545" s="134">
        <v>2</v>
      </c>
      <c r="D545" s="65">
        <v>5</v>
      </c>
      <c r="E545" s="27">
        <v>11</v>
      </c>
    </row>
    <row r="546" spans="1:5" x14ac:dyDescent="0.2">
      <c r="A546" s="128">
        <v>3000</v>
      </c>
      <c r="B546" s="55">
        <v>5000</v>
      </c>
      <c r="C546" s="133">
        <v>3</v>
      </c>
      <c r="D546" s="51">
        <v>4</v>
      </c>
      <c r="E546" s="25">
        <v>2</v>
      </c>
    </row>
    <row r="547" spans="1:5" x14ac:dyDescent="0.2">
      <c r="A547" s="131">
        <v>555</v>
      </c>
      <c r="B547" s="55">
        <v>20000</v>
      </c>
      <c r="C547" s="134">
        <v>2</v>
      </c>
      <c r="D547" s="65">
        <v>6</v>
      </c>
      <c r="E547" s="27">
        <v>5</v>
      </c>
    </row>
    <row r="548" spans="1:5" x14ac:dyDescent="0.2">
      <c r="A548" s="130">
        <v>650</v>
      </c>
      <c r="B548" s="55">
        <v>5000</v>
      </c>
      <c r="C548" s="133">
        <v>1</v>
      </c>
      <c r="D548" s="51">
        <v>5</v>
      </c>
      <c r="E548" s="28">
        <v>6</v>
      </c>
    </row>
    <row r="549" spans="1:5" x14ac:dyDescent="0.2">
      <c r="A549" s="131">
        <v>750</v>
      </c>
      <c r="B549" s="55">
        <v>5000</v>
      </c>
      <c r="C549" s="134">
        <v>1</v>
      </c>
      <c r="D549" s="65">
        <v>6</v>
      </c>
      <c r="E549" s="27">
        <v>7</v>
      </c>
    </row>
    <row r="550" spans="1:5" x14ac:dyDescent="0.2">
      <c r="A550" s="130">
        <v>950</v>
      </c>
      <c r="B550" s="55">
        <v>5000</v>
      </c>
      <c r="C550" s="133">
        <v>1</v>
      </c>
      <c r="D550" s="51">
        <v>6</v>
      </c>
      <c r="E550" s="28">
        <v>6</v>
      </c>
    </row>
    <row r="551" spans="1:5" x14ac:dyDescent="0.2">
      <c r="A551" s="131">
        <v>1000</v>
      </c>
      <c r="B551" s="55">
        <v>20000</v>
      </c>
      <c r="C551" s="134">
        <v>2</v>
      </c>
      <c r="D551" s="65">
        <v>6</v>
      </c>
      <c r="E551" s="27">
        <v>6</v>
      </c>
    </row>
    <row r="552" spans="1:5" x14ac:dyDescent="0.2">
      <c r="A552" s="128">
        <v>3000</v>
      </c>
      <c r="B552" s="55">
        <v>5000</v>
      </c>
      <c r="C552" s="133">
        <v>1</v>
      </c>
      <c r="D552" s="51">
        <v>4</v>
      </c>
      <c r="E552" s="25">
        <v>5</v>
      </c>
    </row>
    <row r="553" spans="1:5" x14ac:dyDescent="0.2">
      <c r="A553" s="131">
        <v>1000</v>
      </c>
      <c r="B553" s="55">
        <v>5000</v>
      </c>
      <c r="C553" s="134">
        <v>1</v>
      </c>
      <c r="D553" s="65">
        <v>6</v>
      </c>
      <c r="E553" s="27">
        <v>5</v>
      </c>
    </row>
    <row r="554" spans="1:5" x14ac:dyDescent="0.2">
      <c r="A554" s="130">
        <v>750</v>
      </c>
      <c r="B554" s="55">
        <v>5000</v>
      </c>
      <c r="C554" s="133">
        <v>1</v>
      </c>
      <c r="D554" s="51">
        <v>3</v>
      </c>
      <c r="E554" s="25">
        <v>12</v>
      </c>
    </row>
    <row r="555" spans="1:5" x14ac:dyDescent="0.2">
      <c r="A555" s="131">
        <v>950</v>
      </c>
      <c r="B555" s="55">
        <v>5000</v>
      </c>
      <c r="C555" s="134">
        <v>1</v>
      </c>
      <c r="D555" s="65">
        <v>3</v>
      </c>
      <c r="E555" s="27">
        <v>6</v>
      </c>
    </row>
    <row r="556" spans="1:5" x14ac:dyDescent="0.2">
      <c r="A556" s="128">
        <v>2600</v>
      </c>
      <c r="B556" s="55">
        <v>40000</v>
      </c>
      <c r="C556" s="133">
        <v>2</v>
      </c>
      <c r="D556" s="51">
        <v>5</v>
      </c>
      <c r="E556" s="25">
        <v>11</v>
      </c>
    </row>
    <row r="557" spans="1:5" x14ac:dyDescent="0.2">
      <c r="A557" s="129">
        <v>8100</v>
      </c>
      <c r="B557" s="55">
        <v>40000</v>
      </c>
      <c r="C557" s="134">
        <v>2</v>
      </c>
      <c r="D557" s="65">
        <v>6</v>
      </c>
      <c r="E557" s="27">
        <v>2</v>
      </c>
    </row>
    <row r="558" spans="1:5" x14ac:dyDescent="0.2">
      <c r="A558" s="128">
        <v>1170</v>
      </c>
      <c r="B558" s="55">
        <v>40000</v>
      </c>
      <c r="C558" s="133">
        <v>1</v>
      </c>
      <c r="D558" s="51">
        <v>4</v>
      </c>
      <c r="E558" s="25">
        <v>7</v>
      </c>
    </row>
    <row r="559" spans="1:5" x14ac:dyDescent="0.2">
      <c r="A559" s="129">
        <v>4480</v>
      </c>
      <c r="B559" s="55">
        <v>40000</v>
      </c>
      <c r="C559" s="134">
        <v>1</v>
      </c>
      <c r="D559" s="65">
        <v>4</v>
      </c>
      <c r="E559" s="27">
        <v>16</v>
      </c>
    </row>
    <row r="560" spans="1:5" x14ac:dyDescent="0.2">
      <c r="A560" s="128">
        <v>3510</v>
      </c>
      <c r="B560" s="55">
        <v>60000</v>
      </c>
      <c r="C560" s="133">
        <v>2</v>
      </c>
      <c r="D560" s="51">
        <v>4</v>
      </c>
      <c r="E560" s="25">
        <v>10</v>
      </c>
    </row>
    <row r="561" spans="1:5" x14ac:dyDescent="0.2">
      <c r="A561" s="129">
        <v>520</v>
      </c>
      <c r="B561" s="55">
        <v>20000</v>
      </c>
      <c r="C561" s="134">
        <v>1</v>
      </c>
      <c r="D561" s="65">
        <v>5</v>
      </c>
      <c r="E561" s="27">
        <v>2</v>
      </c>
    </row>
    <row r="562" spans="1:5" x14ac:dyDescent="0.2">
      <c r="A562" s="128">
        <v>7200</v>
      </c>
      <c r="B562" s="55">
        <v>60000</v>
      </c>
      <c r="C562" s="133">
        <v>2</v>
      </c>
      <c r="D562" s="51">
        <v>5</v>
      </c>
      <c r="E562" s="25">
        <v>7</v>
      </c>
    </row>
    <row r="563" spans="1:5" x14ac:dyDescent="0.2">
      <c r="A563" s="129">
        <v>1560</v>
      </c>
      <c r="B563" s="55">
        <v>40000</v>
      </c>
      <c r="C563" s="134">
        <v>1</v>
      </c>
      <c r="D563" s="65">
        <v>3</v>
      </c>
      <c r="E563" s="27">
        <v>11</v>
      </c>
    </row>
    <row r="564" spans="1:5" x14ac:dyDescent="0.2">
      <c r="A564" s="128">
        <v>520</v>
      </c>
      <c r="B564" s="55">
        <v>20000</v>
      </c>
      <c r="C564" s="133">
        <v>1</v>
      </c>
      <c r="D564" s="51">
        <v>5</v>
      </c>
      <c r="E564" s="25">
        <v>2</v>
      </c>
    </row>
    <row r="565" spans="1:5" x14ac:dyDescent="0.2">
      <c r="A565" s="129">
        <v>1180</v>
      </c>
      <c r="B565" s="55">
        <v>40000</v>
      </c>
      <c r="C565" s="134">
        <v>1</v>
      </c>
      <c r="D565" s="65">
        <v>5</v>
      </c>
      <c r="E565" s="27">
        <v>10</v>
      </c>
    </row>
    <row r="566" spans="1:5" x14ac:dyDescent="0.2">
      <c r="A566" s="128">
        <v>6600</v>
      </c>
      <c r="B566" s="55">
        <v>40000</v>
      </c>
      <c r="C566" s="133">
        <v>2</v>
      </c>
      <c r="D566" s="51">
        <v>5</v>
      </c>
      <c r="E566" s="25">
        <v>3</v>
      </c>
    </row>
    <row r="567" spans="1:5" x14ac:dyDescent="0.2">
      <c r="A567" s="129">
        <v>680</v>
      </c>
      <c r="B567" s="55">
        <v>40000</v>
      </c>
      <c r="C567" s="134">
        <v>1</v>
      </c>
      <c r="D567" s="65">
        <v>5</v>
      </c>
      <c r="E567" s="27">
        <v>3</v>
      </c>
    </row>
    <row r="568" spans="1:5" x14ac:dyDescent="0.2">
      <c r="A568" s="128">
        <v>2000</v>
      </c>
      <c r="B568" s="55">
        <v>60000</v>
      </c>
      <c r="C568" s="133">
        <v>1</v>
      </c>
      <c r="D568" s="51">
        <v>5</v>
      </c>
      <c r="E568" s="25">
        <v>9</v>
      </c>
    </row>
  </sheetData>
  <conditionalFormatting sqref="A1:A568">
    <cfRule type="containsBlanks" dxfId="35" priority="8">
      <formula>LEN(TRIM(A1))=0</formula>
    </cfRule>
  </conditionalFormatting>
  <conditionalFormatting sqref="C1:C568">
    <cfRule type="containsBlanks" dxfId="34" priority="7">
      <formula>LEN(TRIM(C1))=0</formula>
    </cfRule>
  </conditionalFormatting>
  <conditionalFormatting sqref="B1">
    <cfRule type="containsBlanks" dxfId="33" priority="6">
      <formula>LEN(TRIM(B1))=0</formula>
    </cfRule>
  </conditionalFormatting>
  <conditionalFormatting sqref="D1:D568">
    <cfRule type="containsBlanks" dxfId="32" priority="5">
      <formula>LEN(TRIM(D1))=0</formula>
    </cfRule>
  </conditionalFormatting>
  <conditionalFormatting sqref="E1:E568">
    <cfRule type="containsBlanks" dxfId="31" priority="4">
      <formula>LEN(TRIM(E1))=0</formula>
    </cfRule>
  </conditionalFormatting>
  <conditionalFormatting sqref="G4:L9 G11">
    <cfRule type="colorScale" priority="3">
      <colorScale>
        <cfvo type="min"/>
        <cfvo type="percentile" val="50"/>
        <cfvo type="max"/>
        <color rgb="FFF8696B"/>
        <color rgb="FFFCFCFF"/>
        <color rgb="FF5A8AC6"/>
      </colorScale>
    </cfRule>
  </conditionalFormatting>
  <conditionalFormatting sqref="H5:L9">
    <cfRule type="colorScale" priority="2">
      <colorScale>
        <cfvo type="min"/>
        <cfvo type="percentile" val="50"/>
        <cfvo type="max"/>
        <color rgb="FFF8696B"/>
        <color rgb="FFFCFCFF"/>
        <color rgb="FF5A8AC6"/>
      </colorScale>
    </cfRule>
  </conditionalFormatting>
  <conditionalFormatting sqref="G21">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J568"/>
  <sheetViews>
    <sheetView topLeftCell="B1" workbookViewId="0">
      <selection activeCell="J19" sqref="J19"/>
    </sheetView>
  </sheetViews>
  <sheetFormatPr defaultRowHeight="12.75" x14ac:dyDescent="0.2"/>
  <cols>
    <col min="1" max="1" width="12.42578125" customWidth="1"/>
    <col min="2" max="2" width="14.28515625" customWidth="1"/>
    <col min="3" max="3" width="14.7109375" customWidth="1"/>
    <col min="4" max="4" width="16.5703125" customWidth="1"/>
    <col min="5" max="5" width="13.7109375" customWidth="1"/>
    <col min="6" max="6" width="11.85546875" customWidth="1"/>
    <col min="7" max="7" width="13.5703125" style="55" customWidth="1"/>
    <col min="9" max="9" width="22.28515625" customWidth="1"/>
    <col min="10" max="10" width="13.28515625" customWidth="1"/>
  </cols>
  <sheetData>
    <row r="1" spans="1:10" s="52" customFormat="1" ht="39" thickBot="1" x14ac:dyDescent="0.25">
      <c r="A1" s="17" t="s">
        <v>1579</v>
      </c>
      <c r="B1" s="17" t="s">
        <v>1494</v>
      </c>
      <c r="C1" s="17" t="s">
        <v>1495</v>
      </c>
      <c r="D1" s="17" t="s">
        <v>1496</v>
      </c>
      <c r="E1" s="17" t="s">
        <v>1497</v>
      </c>
      <c r="F1" s="17" t="s">
        <v>1462</v>
      </c>
      <c r="G1" s="17" t="s">
        <v>1581</v>
      </c>
    </row>
    <row r="2" spans="1:10" ht="13.5" thickTop="1" x14ac:dyDescent="0.2">
      <c r="A2" s="100">
        <f>IFERROR(B2,0)+IFERROR(C2,0)+IFERROR(D2,0)+IFERROR(E2,0)</f>
        <v>30</v>
      </c>
      <c r="B2" s="25">
        <v>30</v>
      </c>
      <c r="C2" s="25"/>
      <c r="D2" s="25"/>
      <c r="E2" s="25"/>
      <c r="F2" s="157">
        <v>4</v>
      </c>
      <c r="G2" s="55">
        <f>IFERROR(A2/F2," ")</f>
        <v>7.5</v>
      </c>
      <c r="I2" s="54" t="s">
        <v>1523</v>
      </c>
      <c r="J2" s="67"/>
    </row>
    <row r="3" spans="1:10" x14ac:dyDescent="0.2">
      <c r="A3" s="100">
        <f t="shared" ref="A3:A66" si="0">IFERROR(B3,0)+IFERROR(C3,0)+IFERROR(D3,0)+IFERROR(E3,0)</f>
        <v>76</v>
      </c>
      <c r="B3" s="27">
        <v>75</v>
      </c>
      <c r="C3" s="27"/>
      <c r="D3" s="27"/>
      <c r="E3" s="27">
        <v>1</v>
      </c>
      <c r="F3" s="158">
        <v>4</v>
      </c>
      <c r="G3" s="55">
        <f t="shared" ref="G3:G66" si="1">IFERROR(A3/F3," ")</f>
        <v>19</v>
      </c>
      <c r="I3" s="155" t="s">
        <v>1524</v>
      </c>
      <c r="J3" s="155" t="s">
        <v>1525</v>
      </c>
    </row>
    <row r="4" spans="1:10" x14ac:dyDescent="0.2">
      <c r="A4" s="100">
        <f t="shared" si="0"/>
        <v>10</v>
      </c>
      <c r="B4" s="25"/>
      <c r="C4" s="25">
        <v>10</v>
      </c>
      <c r="D4" s="25"/>
      <c r="E4" s="25"/>
      <c r="F4" s="157">
        <v>6</v>
      </c>
      <c r="G4" s="55">
        <f t="shared" si="1"/>
        <v>1.6666666666666667</v>
      </c>
      <c r="I4" s="92" t="s">
        <v>1526</v>
      </c>
      <c r="J4" s="156">
        <f>AVERAGE(G2:G568)</f>
        <v>6.0711997144536829</v>
      </c>
    </row>
    <row r="5" spans="1:10" x14ac:dyDescent="0.2">
      <c r="A5" s="100">
        <f t="shared" si="0"/>
        <v>20</v>
      </c>
      <c r="B5" s="27">
        <v>20</v>
      </c>
      <c r="C5" s="27"/>
      <c r="D5" s="27"/>
      <c r="E5" s="27"/>
      <c r="F5" s="158">
        <v>5</v>
      </c>
      <c r="G5" s="55">
        <f t="shared" si="1"/>
        <v>4</v>
      </c>
      <c r="I5" s="92" t="s">
        <v>1527</v>
      </c>
      <c r="J5" s="55">
        <f>MEDIAN(G2:G568)</f>
        <v>3.75</v>
      </c>
    </row>
    <row r="6" spans="1:10" x14ac:dyDescent="0.2">
      <c r="A6" s="100">
        <f t="shared" si="0"/>
        <v>113</v>
      </c>
      <c r="B6" s="25">
        <v>8</v>
      </c>
      <c r="C6" s="25"/>
      <c r="D6" s="25">
        <v>45</v>
      </c>
      <c r="E6" s="25">
        <v>60</v>
      </c>
      <c r="F6" s="157">
        <v>5</v>
      </c>
      <c r="G6" s="55">
        <f t="shared" si="1"/>
        <v>22.6</v>
      </c>
      <c r="I6" s="92" t="s">
        <v>1528</v>
      </c>
      <c r="J6" s="55">
        <v>0.4</v>
      </c>
    </row>
    <row r="7" spans="1:10" x14ac:dyDescent="0.2">
      <c r="A7" s="100">
        <f t="shared" si="0"/>
        <v>10</v>
      </c>
      <c r="B7" s="27"/>
      <c r="C7" s="27">
        <v>10</v>
      </c>
      <c r="D7" s="27"/>
      <c r="E7" s="27"/>
      <c r="F7" s="158">
        <v>3</v>
      </c>
      <c r="G7" s="55">
        <f t="shared" si="1"/>
        <v>3.3333333333333335</v>
      </c>
      <c r="I7" s="92" t="s">
        <v>1529</v>
      </c>
      <c r="J7" s="55">
        <f>MAX(G2:G568)</f>
        <v>45</v>
      </c>
    </row>
    <row r="8" spans="1:10" x14ac:dyDescent="0.2">
      <c r="A8" s="100">
        <f t="shared" si="0"/>
        <v>90</v>
      </c>
      <c r="B8" s="25">
        <v>20</v>
      </c>
      <c r="C8" s="25"/>
      <c r="D8" s="25">
        <v>70</v>
      </c>
      <c r="E8" s="25"/>
      <c r="F8" s="157">
        <v>2</v>
      </c>
      <c r="G8" s="55">
        <f t="shared" si="1"/>
        <v>45</v>
      </c>
      <c r="I8" s="92" t="s">
        <v>1530</v>
      </c>
      <c r="J8" s="55">
        <f>STDEV(G2:G568)</f>
        <v>6.2044078436688075</v>
      </c>
    </row>
    <row r="9" spans="1:10" x14ac:dyDescent="0.2">
      <c r="A9" s="100">
        <f t="shared" si="0"/>
        <v>28</v>
      </c>
      <c r="B9" s="27">
        <v>28</v>
      </c>
      <c r="C9" s="27"/>
      <c r="D9" s="27"/>
      <c r="E9" s="27"/>
      <c r="F9" s="158">
        <v>6</v>
      </c>
      <c r="G9" s="55">
        <f t="shared" si="1"/>
        <v>4.666666666666667</v>
      </c>
      <c r="I9" s="92" t="s">
        <v>1531</v>
      </c>
      <c r="J9" s="55">
        <f>COUNT(G2:G568)</f>
        <v>567</v>
      </c>
    </row>
    <row r="10" spans="1:10" x14ac:dyDescent="0.2">
      <c r="A10" s="100">
        <f t="shared" si="0"/>
        <v>12</v>
      </c>
      <c r="B10" s="25"/>
      <c r="C10" s="25">
        <v>12</v>
      </c>
      <c r="D10" s="25"/>
      <c r="E10" s="25"/>
      <c r="F10" s="157">
        <v>3</v>
      </c>
      <c r="G10" s="55">
        <f t="shared" si="1"/>
        <v>4</v>
      </c>
    </row>
    <row r="11" spans="1:10" x14ac:dyDescent="0.2">
      <c r="A11" s="100">
        <f t="shared" si="0"/>
        <v>60</v>
      </c>
      <c r="B11" s="27"/>
      <c r="C11" s="27"/>
      <c r="D11" s="27">
        <v>60</v>
      </c>
      <c r="E11" s="27"/>
      <c r="F11" s="158">
        <v>4</v>
      </c>
      <c r="G11" s="55">
        <f t="shared" si="1"/>
        <v>15</v>
      </c>
    </row>
    <row r="12" spans="1:10" x14ac:dyDescent="0.2">
      <c r="A12" s="100">
        <f t="shared" si="0"/>
        <v>8</v>
      </c>
      <c r="B12" s="25"/>
      <c r="C12" s="25">
        <v>8</v>
      </c>
      <c r="D12" s="25"/>
      <c r="E12" s="25"/>
      <c r="F12" s="157">
        <v>3</v>
      </c>
      <c r="G12" s="55">
        <f t="shared" si="1"/>
        <v>2.6666666666666665</v>
      </c>
    </row>
    <row r="13" spans="1:10" x14ac:dyDescent="0.2">
      <c r="A13" s="100">
        <f t="shared" si="0"/>
        <v>80</v>
      </c>
      <c r="B13" s="27">
        <v>10</v>
      </c>
      <c r="C13" s="27"/>
      <c r="D13" s="27"/>
      <c r="E13" s="27">
        <v>70</v>
      </c>
      <c r="F13" s="158">
        <v>5</v>
      </c>
      <c r="G13" s="55">
        <f t="shared" si="1"/>
        <v>16</v>
      </c>
    </row>
    <row r="14" spans="1:10" x14ac:dyDescent="0.2">
      <c r="A14" s="100">
        <f t="shared" si="0"/>
        <v>67</v>
      </c>
      <c r="B14" s="25">
        <v>12</v>
      </c>
      <c r="C14" s="25"/>
      <c r="D14" s="25">
        <v>55</v>
      </c>
      <c r="E14" s="25"/>
      <c r="F14" s="157">
        <v>4</v>
      </c>
      <c r="G14" s="55">
        <f t="shared" si="1"/>
        <v>16.75</v>
      </c>
    </row>
    <row r="15" spans="1:10" x14ac:dyDescent="0.2">
      <c r="A15" s="100">
        <f t="shared" si="0"/>
        <v>77</v>
      </c>
      <c r="B15" s="27">
        <v>7</v>
      </c>
      <c r="C15" s="27"/>
      <c r="D15" s="27">
        <v>70</v>
      </c>
      <c r="E15" s="27"/>
      <c r="F15" s="158">
        <v>4</v>
      </c>
      <c r="G15" s="55">
        <f t="shared" si="1"/>
        <v>19.25</v>
      </c>
    </row>
    <row r="16" spans="1:10" x14ac:dyDescent="0.2">
      <c r="A16" s="100">
        <f t="shared" si="0"/>
        <v>87</v>
      </c>
      <c r="B16" s="25">
        <v>13</v>
      </c>
      <c r="C16" s="25">
        <v>9</v>
      </c>
      <c r="D16" s="25">
        <v>65</v>
      </c>
      <c r="E16" s="25"/>
      <c r="F16" s="157">
        <v>5</v>
      </c>
      <c r="G16" s="55">
        <f t="shared" si="1"/>
        <v>17.399999999999999</v>
      </c>
    </row>
    <row r="17" spans="1:7" x14ac:dyDescent="0.2">
      <c r="A17" s="100">
        <f t="shared" si="0"/>
        <v>7</v>
      </c>
      <c r="B17" s="27"/>
      <c r="C17" s="27">
        <v>7</v>
      </c>
      <c r="D17" s="27"/>
      <c r="E17" s="27"/>
      <c r="F17" s="158">
        <v>4</v>
      </c>
      <c r="G17" s="55">
        <f t="shared" si="1"/>
        <v>1.75</v>
      </c>
    </row>
    <row r="18" spans="1:7" x14ac:dyDescent="0.2">
      <c r="A18" s="100">
        <f t="shared" si="0"/>
        <v>31</v>
      </c>
      <c r="B18" s="25">
        <v>6</v>
      </c>
      <c r="C18" s="25"/>
      <c r="D18" s="25">
        <v>25</v>
      </c>
      <c r="E18" s="25"/>
      <c r="F18" s="157">
        <v>5</v>
      </c>
      <c r="G18" s="55">
        <f t="shared" si="1"/>
        <v>6.2</v>
      </c>
    </row>
    <row r="19" spans="1:7" x14ac:dyDescent="0.2">
      <c r="A19" s="100">
        <f t="shared" si="0"/>
        <v>18</v>
      </c>
      <c r="B19" s="27">
        <v>18</v>
      </c>
      <c r="C19" s="27"/>
      <c r="D19" s="27"/>
      <c r="E19" s="27"/>
      <c r="F19" s="158">
        <v>3</v>
      </c>
      <c r="G19" s="55">
        <f t="shared" si="1"/>
        <v>6</v>
      </c>
    </row>
    <row r="20" spans="1:7" x14ac:dyDescent="0.2">
      <c r="A20" s="100">
        <f t="shared" si="0"/>
        <v>10</v>
      </c>
      <c r="B20" s="25"/>
      <c r="C20" s="25">
        <v>10</v>
      </c>
      <c r="D20" s="25"/>
      <c r="E20" s="25"/>
      <c r="F20" s="157">
        <v>4</v>
      </c>
      <c r="G20" s="55">
        <f t="shared" si="1"/>
        <v>2.5</v>
      </c>
    </row>
    <row r="21" spans="1:7" x14ac:dyDescent="0.2">
      <c r="A21" s="100">
        <f t="shared" si="0"/>
        <v>90</v>
      </c>
      <c r="B21" s="27">
        <v>10</v>
      </c>
      <c r="C21" s="27"/>
      <c r="D21" s="27"/>
      <c r="E21" s="27">
        <v>80</v>
      </c>
      <c r="F21" s="158">
        <v>6</v>
      </c>
      <c r="G21" s="55">
        <f t="shared" si="1"/>
        <v>15</v>
      </c>
    </row>
    <row r="22" spans="1:7" x14ac:dyDescent="0.2">
      <c r="A22" s="100">
        <f t="shared" si="0"/>
        <v>50</v>
      </c>
      <c r="B22" s="25"/>
      <c r="C22" s="25"/>
      <c r="D22" s="25">
        <v>50</v>
      </c>
      <c r="E22" s="25"/>
      <c r="F22" s="157">
        <v>3</v>
      </c>
      <c r="G22" s="55">
        <f t="shared" si="1"/>
        <v>16.666666666666668</v>
      </c>
    </row>
    <row r="23" spans="1:7" x14ac:dyDescent="0.2">
      <c r="A23" s="100">
        <f t="shared" si="0"/>
        <v>61</v>
      </c>
      <c r="B23" s="27">
        <v>6</v>
      </c>
      <c r="C23" s="27"/>
      <c r="D23" s="27">
        <v>55</v>
      </c>
      <c r="E23" s="27"/>
      <c r="F23" s="158">
        <v>5</v>
      </c>
      <c r="G23" s="55">
        <f t="shared" si="1"/>
        <v>12.2</v>
      </c>
    </row>
    <row r="24" spans="1:7" x14ac:dyDescent="0.2">
      <c r="A24" s="100">
        <f t="shared" si="0"/>
        <v>24</v>
      </c>
      <c r="B24" s="25">
        <v>24</v>
      </c>
      <c r="C24" s="25"/>
      <c r="D24" s="25"/>
      <c r="E24" s="25"/>
      <c r="F24" s="157">
        <v>4</v>
      </c>
      <c r="G24" s="55">
        <f t="shared" si="1"/>
        <v>6</v>
      </c>
    </row>
    <row r="25" spans="1:7" x14ac:dyDescent="0.2">
      <c r="A25" s="100">
        <f t="shared" si="0"/>
        <v>17</v>
      </c>
      <c r="B25" s="27">
        <v>9</v>
      </c>
      <c r="C25" s="27">
        <v>8</v>
      </c>
      <c r="D25" s="27"/>
      <c r="E25" s="27"/>
      <c r="F25" s="158">
        <v>6</v>
      </c>
      <c r="G25" s="55">
        <f t="shared" si="1"/>
        <v>2.8333333333333335</v>
      </c>
    </row>
    <row r="26" spans="1:7" x14ac:dyDescent="0.2">
      <c r="A26" s="100">
        <f t="shared" si="0"/>
        <v>49</v>
      </c>
      <c r="B26" s="25"/>
      <c r="C26" s="25">
        <v>9</v>
      </c>
      <c r="D26" s="25">
        <v>40</v>
      </c>
      <c r="E26" s="25"/>
      <c r="F26" s="157">
        <v>5</v>
      </c>
      <c r="G26" s="55">
        <f t="shared" si="1"/>
        <v>9.8000000000000007</v>
      </c>
    </row>
    <row r="27" spans="1:7" x14ac:dyDescent="0.2">
      <c r="A27" s="100">
        <f t="shared" si="0"/>
        <v>77</v>
      </c>
      <c r="B27" s="27">
        <v>7</v>
      </c>
      <c r="C27" s="27"/>
      <c r="D27" s="27">
        <v>70</v>
      </c>
      <c r="E27" s="27"/>
      <c r="F27" s="158">
        <v>4</v>
      </c>
      <c r="G27" s="55">
        <f t="shared" si="1"/>
        <v>19.25</v>
      </c>
    </row>
    <row r="28" spans="1:7" x14ac:dyDescent="0.2">
      <c r="A28" s="100">
        <f t="shared" si="0"/>
        <v>77</v>
      </c>
      <c r="B28" s="25">
        <v>12</v>
      </c>
      <c r="C28" s="25"/>
      <c r="D28" s="25"/>
      <c r="E28" s="25">
        <v>65</v>
      </c>
      <c r="F28" s="157">
        <v>5</v>
      </c>
      <c r="G28" s="55">
        <f t="shared" si="1"/>
        <v>15.4</v>
      </c>
    </row>
    <row r="29" spans="1:7" x14ac:dyDescent="0.2">
      <c r="A29" s="100">
        <f t="shared" si="0"/>
        <v>20</v>
      </c>
      <c r="B29" s="27">
        <v>20</v>
      </c>
      <c r="C29" s="27"/>
      <c r="D29" s="27"/>
      <c r="E29" s="27"/>
      <c r="F29" s="158">
        <v>3</v>
      </c>
      <c r="G29" s="55">
        <f t="shared" si="1"/>
        <v>6.666666666666667</v>
      </c>
    </row>
    <row r="30" spans="1:7" x14ac:dyDescent="0.2">
      <c r="A30" s="100">
        <f t="shared" si="0"/>
        <v>26</v>
      </c>
      <c r="B30" s="25">
        <v>26</v>
      </c>
      <c r="C30" s="25"/>
      <c r="D30" s="25"/>
      <c r="E30" s="25"/>
      <c r="F30" s="157">
        <v>4</v>
      </c>
      <c r="G30" s="55">
        <f t="shared" si="1"/>
        <v>6.5</v>
      </c>
    </row>
    <row r="31" spans="1:7" x14ac:dyDescent="0.2">
      <c r="A31" s="100">
        <f t="shared" si="0"/>
        <v>82</v>
      </c>
      <c r="B31" s="27">
        <v>16</v>
      </c>
      <c r="C31" s="27">
        <v>6</v>
      </c>
      <c r="D31" s="27">
        <v>60</v>
      </c>
      <c r="E31" s="27"/>
      <c r="F31" s="158">
        <v>6</v>
      </c>
      <c r="G31" s="55">
        <f t="shared" si="1"/>
        <v>13.666666666666666</v>
      </c>
    </row>
    <row r="32" spans="1:7" x14ac:dyDescent="0.2">
      <c r="A32" s="100">
        <f t="shared" si="0"/>
        <v>45</v>
      </c>
      <c r="B32" s="25"/>
      <c r="C32" s="25"/>
      <c r="D32" s="25">
        <v>45</v>
      </c>
      <c r="E32" s="25"/>
      <c r="F32" s="157">
        <v>3</v>
      </c>
      <c r="G32" s="55">
        <f t="shared" si="1"/>
        <v>15</v>
      </c>
    </row>
    <row r="33" spans="1:7" x14ac:dyDescent="0.2">
      <c r="A33" s="100">
        <f t="shared" si="0"/>
        <v>72</v>
      </c>
      <c r="B33" s="27">
        <v>7</v>
      </c>
      <c r="C33" s="27"/>
      <c r="D33" s="27">
        <v>65</v>
      </c>
      <c r="E33" s="27"/>
      <c r="F33" s="158">
        <v>4</v>
      </c>
      <c r="G33" s="55">
        <f t="shared" si="1"/>
        <v>18</v>
      </c>
    </row>
    <row r="34" spans="1:7" x14ac:dyDescent="0.2">
      <c r="A34" s="100">
        <f t="shared" si="0"/>
        <v>69</v>
      </c>
      <c r="B34" s="25">
        <v>14</v>
      </c>
      <c r="C34" s="25"/>
      <c r="D34" s="25"/>
      <c r="E34" s="25">
        <v>55</v>
      </c>
      <c r="F34" s="157">
        <v>5</v>
      </c>
      <c r="G34" s="55">
        <f t="shared" si="1"/>
        <v>13.8</v>
      </c>
    </row>
    <row r="35" spans="1:7" x14ac:dyDescent="0.2">
      <c r="A35" s="100">
        <f t="shared" si="0"/>
        <v>36</v>
      </c>
      <c r="B35" s="27">
        <v>12</v>
      </c>
      <c r="C35" s="27"/>
      <c r="D35" s="27">
        <v>24</v>
      </c>
      <c r="E35" s="27"/>
      <c r="F35" s="158">
        <v>5</v>
      </c>
      <c r="G35" s="55">
        <f t="shared" si="1"/>
        <v>7.2</v>
      </c>
    </row>
    <row r="36" spans="1:7" x14ac:dyDescent="0.2">
      <c r="A36" s="100">
        <f t="shared" si="0"/>
        <v>7</v>
      </c>
      <c r="B36" s="25"/>
      <c r="C36" s="25">
        <v>7</v>
      </c>
      <c r="D36" s="25"/>
      <c r="E36" s="25"/>
      <c r="F36" s="157">
        <v>3</v>
      </c>
      <c r="G36" s="55">
        <f t="shared" si="1"/>
        <v>2.3333333333333335</v>
      </c>
    </row>
    <row r="37" spans="1:7" x14ac:dyDescent="0.2">
      <c r="A37" s="100">
        <f t="shared" si="0"/>
        <v>52</v>
      </c>
      <c r="B37" s="27">
        <v>10</v>
      </c>
      <c r="C37" s="27"/>
      <c r="D37" s="27"/>
      <c r="E37" s="27">
        <v>42</v>
      </c>
      <c r="F37" s="158">
        <v>6</v>
      </c>
      <c r="G37" s="55">
        <f t="shared" si="1"/>
        <v>8.6666666666666661</v>
      </c>
    </row>
    <row r="38" spans="1:7" x14ac:dyDescent="0.2">
      <c r="A38" s="100">
        <f t="shared" si="0"/>
        <v>5</v>
      </c>
      <c r="B38" s="25"/>
      <c r="C38" s="25">
        <v>5</v>
      </c>
      <c r="D38" s="25"/>
      <c r="E38" s="25"/>
      <c r="F38" s="157">
        <v>4</v>
      </c>
      <c r="G38" s="55">
        <f t="shared" si="1"/>
        <v>1.25</v>
      </c>
    </row>
    <row r="39" spans="1:7" x14ac:dyDescent="0.2">
      <c r="A39" s="100">
        <f t="shared" si="0"/>
        <v>67</v>
      </c>
      <c r="B39" s="27">
        <v>15</v>
      </c>
      <c r="C39" s="27"/>
      <c r="D39" s="27">
        <v>26</v>
      </c>
      <c r="E39" s="27">
        <v>26</v>
      </c>
      <c r="F39" s="158">
        <v>5</v>
      </c>
      <c r="G39" s="55">
        <f t="shared" si="1"/>
        <v>13.4</v>
      </c>
    </row>
    <row r="40" spans="1:7" x14ac:dyDescent="0.2">
      <c r="A40" s="100">
        <f t="shared" si="0"/>
        <v>20</v>
      </c>
      <c r="B40" s="25"/>
      <c r="C40" s="25"/>
      <c r="D40" s="25">
        <v>20</v>
      </c>
      <c r="E40" s="25"/>
      <c r="F40" s="157">
        <v>4</v>
      </c>
      <c r="G40" s="55">
        <f t="shared" si="1"/>
        <v>5</v>
      </c>
    </row>
    <row r="41" spans="1:7" x14ac:dyDescent="0.2">
      <c r="A41" s="100">
        <f t="shared" si="0"/>
        <v>14</v>
      </c>
      <c r="B41" s="27">
        <v>14</v>
      </c>
      <c r="C41" s="27"/>
      <c r="D41" s="27"/>
      <c r="E41" s="27"/>
      <c r="F41" s="158">
        <v>3</v>
      </c>
      <c r="G41" s="55">
        <f t="shared" si="1"/>
        <v>4.666666666666667</v>
      </c>
    </row>
    <row r="42" spans="1:7" x14ac:dyDescent="0.2">
      <c r="A42" s="100">
        <f t="shared" si="0"/>
        <v>4</v>
      </c>
      <c r="B42" s="25"/>
      <c r="C42" s="25">
        <v>4</v>
      </c>
      <c r="D42" s="25"/>
      <c r="E42" s="25"/>
      <c r="F42" s="157">
        <v>4</v>
      </c>
      <c r="G42" s="55">
        <f t="shared" si="1"/>
        <v>1</v>
      </c>
    </row>
    <row r="43" spans="1:7" x14ac:dyDescent="0.2">
      <c r="A43" s="100">
        <f t="shared" si="0"/>
        <v>18</v>
      </c>
      <c r="B43" s="27">
        <v>9</v>
      </c>
      <c r="C43" s="27"/>
      <c r="D43" s="27">
        <v>9</v>
      </c>
      <c r="E43" s="27"/>
      <c r="F43" s="158">
        <v>4</v>
      </c>
      <c r="G43" s="55">
        <f t="shared" si="1"/>
        <v>4.5</v>
      </c>
    </row>
    <row r="44" spans="1:7" x14ac:dyDescent="0.2">
      <c r="A44" s="100">
        <f t="shared" si="0"/>
        <v>7</v>
      </c>
      <c r="B44" s="25">
        <v>7</v>
      </c>
      <c r="C44" s="25"/>
      <c r="D44" s="25"/>
      <c r="E44" s="25"/>
      <c r="F44" s="157">
        <v>5</v>
      </c>
      <c r="G44" s="55">
        <f t="shared" si="1"/>
        <v>1.4</v>
      </c>
    </row>
    <row r="45" spans="1:7" x14ac:dyDescent="0.2">
      <c r="A45" s="100">
        <f t="shared" si="0"/>
        <v>14</v>
      </c>
      <c r="B45" s="27">
        <v>14</v>
      </c>
      <c r="C45" s="27"/>
      <c r="D45" s="27"/>
      <c r="E45" s="27"/>
      <c r="F45" s="158">
        <v>4</v>
      </c>
      <c r="G45" s="55">
        <f t="shared" si="1"/>
        <v>3.5</v>
      </c>
    </row>
    <row r="46" spans="1:7" x14ac:dyDescent="0.2">
      <c r="A46" s="100">
        <f t="shared" si="0"/>
        <v>27</v>
      </c>
      <c r="B46" s="25"/>
      <c r="C46" s="25">
        <v>7</v>
      </c>
      <c r="D46" s="25">
        <v>20</v>
      </c>
      <c r="E46" s="25"/>
      <c r="F46" s="157">
        <v>3</v>
      </c>
      <c r="G46" s="55">
        <f t="shared" si="1"/>
        <v>9</v>
      </c>
    </row>
    <row r="47" spans="1:7" x14ac:dyDescent="0.2">
      <c r="A47" s="100">
        <f t="shared" si="0"/>
        <v>61</v>
      </c>
      <c r="B47" s="27">
        <v>16</v>
      </c>
      <c r="C47" s="27"/>
      <c r="D47" s="27"/>
      <c r="E47" s="27">
        <v>45</v>
      </c>
      <c r="F47" s="158">
        <v>5</v>
      </c>
      <c r="G47" s="55">
        <f t="shared" si="1"/>
        <v>12.2</v>
      </c>
    </row>
    <row r="48" spans="1:7" x14ac:dyDescent="0.2">
      <c r="A48" s="100">
        <f t="shared" si="0"/>
        <v>6</v>
      </c>
      <c r="B48" s="25"/>
      <c r="C48" s="25">
        <v>6</v>
      </c>
      <c r="D48" s="25"/>
      <c r="E48" s="25"/>
      <c r="F48" s="157">
        <v>4</v>
      </c>
      <c r="G48" s="55">
        <f t="shared" si="1"/>
        <v>1.5</v>
      </c>
    </row>
    <row r="49" spans="1:7" x14ac:dyDescent="0.2">
      <c r="A49" s="100">
        <f t="shared" si="0"/>
        <v>95</v>
      </c>
      <c r="B49" s="27">
        <v>12</v>
      </c>
      <c r="C49" s="27"/>
      <c r="D49" s="27">
        <v>28</v>
      </c>
      <c r="E49" s="27">
        <v>55</v>
      </c>
      <c r="F49" s="158">
        <v>5</v>
      </c>
      <c r="G49" s="55">
        <f t="shared" si="1"/>
        <v>19</v>
      </c>
    </row>
    <row r="50" spans="1:7" x14ac:dyDescent="0.2">
      <c r="A50" s="100">
        <f t="shared" si="0"/>
        <v>8</v>
      </c>
      <c r="B50" s="25"/>
      <c r="C50" s="25">
        <v>8</v>
      </c>
      <c r="D50" s="25"/>
      <c r="E50" s="25"/>
      <c r="F50" s="157">
        <v>3</v>
      </c>
      <c r="G50" s="55">
        <f t="shared" si="1"/>
        <v>2.6666666666666665</v>
      </c>
    </row>
    <row r="51" spans="1:7" x14ac:dyDescent="0.2">
      <c r="A51" s="100">
        <f t="shared" si="0"/>
        <v>34</v>
      </c>
      <c r="B51" s="27">
        <v>18</v>
      </c>
      <c r="C51" s="27">
        <v>16</v>
      </c>
      <c r="D51" s="27"/>
      <c r="E51" s="27"/>
      <c r="F51" s="158">
        <v>4</v>
      </c>
      <c r="G51" s="55">
        <f t="shared" si="1"/>
        <v>8.5</v>
      </c>
    </row>
    <row r="52" spans="1:7" x14ac:dyDescent="0.2">
      <c r="A52" s="100">
        <f t="shared" si="0"/>
        <v>10</v>
      </c>
      <c r="B52" s="25">
        <v>5</v>
      </c>
      <c r="C52" s="25">
        <v>5</v>
      </c>
      <c r="D52" s="25"/>
      <c r="E52" s="25"/>
      <c r="F52" s="157">
        <v>5</v>
      </c>
      <c r="G52" s="55">
        <f t="shared" si="1"/>
        <v>2</v>
      </c>
    </row>
    <row r="53" spans="1:7" x14ac:dyDescent="0.2">
      <c r="A53" s="100">
        <f t="shared" si="0"/>
        <v>24</v>
      </c>
      <c r="B53" s="27"/>
      <c r="C53" s="27"/>
      <c r="D53" s="27">
        <v>24</v>
      </c>
      <c r="E53" s="27"/>
      <c r="F53" s="158">
        <v>3</v>
      </c>
      <c r="G53" s="55">
        <f t="shared" si="1"/>
        <v>8</v>
      </c>
    </row>
    <row r="54" spans="1:7" x14ac:dyDescent="0.2">
      <c r="A54" s="100">
        <f t="shared" si="0"/>
        <v>48</v>
      </c>
      <c r="B54" s="25">
        <v>10</v>
      </c>
      <c r="C54" s="25"/>
      <c r="D54" s="25"/>
      <c r="E54" s="25">
        <v>38</v>
      </c>
      <c r="F54" s="157">
        <v>6</v>
      </c>
      <c r="G54" s="55">
        <f t="shared" si="1"/>
        <v>8</v>
      </c>
    </row>
    <row r="55" spans="1:7" x14ac:dyDescent="0.2">
      <c r="A55" s="100">
        <f t="shared" si="0"/>
        <v>6</v>
      </c>
      <c r="B55" s="27"/>
      <c r="C55" s="27">
        <v>6</v>
      </c>
      <c r="D55" s="27"/>
      <c r="E55" s="27"/>
      <c r="F55" s="158">
        <v>4</v>
      </c>
      <c r="G55" s="55">
        <f t="shared" si="1"/>
        <v>1.5</v>
      </c>
    </row>
    <row r="56" spans="1:7" x14ac:dyDescent="0.2">
      <c r="A56" s="100">
        <f t="shared" si="0"/>
        <v>10</v>
      </c>
      <c r="B56" s="25">
        <v>10</v>
      </c>
      <c r="C56" s="25"/>
      <c r="D56" s="25"/>
      <c r="E56" s="25"/>
      <c r="F56" s="157">
        <v>5</v>
      </c>
      <c r="G56" s="55">
        <f t="shared" si="1"/>
        <v>2</v>
      </c>
    </row>
    <row r="57" spans="1:7" x14ac:dyDescent="0.2">
      <c r="A57" s="100">
        <f t="shared" si="0"/>
        <v>22</v>
      </c>
      <c r="B57" s="27">
        <v>12</v>
      </c>
      <c r="C57" s="27">
        <v>10</v>
      </c>
      <c r="D57" s="27"/>
      <c r="E57" s="27"/>
      <c r="F57" s="158">
        <v>4</v>
      </c>
      <c r="G57" s="55">
        <f t="shared" si="1"/>
        <v>5.5</v>
      </c>
    </row>
    <row r="58" spans="1:7" x14ac:dyDescent="0.2">
      <c r="A58" s="100">
        <f t="shared" si="0"/>
        <v>1</v>
      </c>
      <c r="B58" s="25">
        <v>1</v>
      </c>
      <c r="C58" s="25"/>
      <c r="D58" s="25"/>
      <c r="E58" s="25"/>
      <c r="F58" s="157">
        <v>5</v>
      </c>
      <c r="G58" s="55">
        <f t="shared" si="1"/>
        <v>0.2</v>
      </c>
    </row>
    <row r="59" spans="1:7" x14ac:dyDescent="0.2">
      <c r="A59" s="100">
        <f t="shared" si="0"/>
        <v>8</v>
      </c>
      <c r="B59" s="27">
        <v>8</v>
      </c>
      <c r="C59" s="27"/>
      <c r="D59" s="27"/>
      <c r="E59" s="27"/>
      <c r="F59" s="158">
        <v>5</v>
      </c>
      <c r="G59" s="55">
        <f t="shared" si="1"/>
        <v>1.6</v>
      </c>
    </row>
    <row r="60" spans="1:7" x14ac:dyDescent="0.2">
      <c r="A60" s="100">
        <f t="shared" si="0"/>
        <v>14</v>
      </c>
      <c r="B60" s="25">
        <v>8</v>
      </c>
      <c r="C60" s="25">
        <v>6</v>
      </c>
      <c r="D60" s="25"/>
      <c r="E60" s="25"/>
      <c r="F60" s="157">
        <v>6</v>
      </c>
      <c r="G60" s="55">
        <f t="shared" si="1"/>
        <v>2.3333333333333335</v>
      </c>
    </row>
    <row r="61" spans="1:7" x14ac:dyDescent="0.2">
      <c r="A61" s="100">
        <f t="shared" si="0"/>
        <v>10</v>
      </c>
      <c r="B61" s="27"/>
      <c r="C61" s="27">
        <v>10</v>
      </c>
      <c r="D61" s="27"/>
      <c r="E61" s="27"/>
      <c r="F61" s="158">
        <v>5</v>
      </c>
      <c r="G61" s="55">
        <f t="shared" si="1"/>
        <v>2</v>
      </c>
    </row>
    <row r="62" spans="1:7" x14ac:dyDescent="0.2">
      <c r="A62" s="100">
        <f t="shared" si="0"/>
        <v>60</v>
      </c>
      <c r="B62" s="25">
        <v>60</v>
      </c>
      <c r="C62" s="25"/>
      <c r="D62" s="25"/>
      <c r="E62" s="25"/>
      <c r="F62" s="157">
        <v>3</v>
      </c>
      <c r="G62" s="55">
        <f t="shared" si="1"/>
        <v>20</v>
      </c>
    </row>
    <row r="63" spans="1:7" x14ac:dyDescent="0.2">
      <c r="A63" s="100">
        <f t="shared" si="0"/>
        <v>110</v>
      </c>
      <c r="B63" s="27">
        <v>55</v>
      </c>
      <c r="C63" s="27"/>
      <c r="D63" s="27"/>
      <c r="E63" s="27">
        <v>55</v>
      </c>
      <c r="F63" s="158">
        <v>6</v>
      </c>
      <c r="G63" s="55">
        <f t="shared" si="1"/>
        <v>18.333333333333332</v>
      </c>
    </row>
    <row r="64" spans="1:7" x14ac:dyDescent="0.2">
      <c r="A64" s="100">
        <f t="shared" si="0"/>
        <v>7</v>
      </c>
      <c r="B64" s="25"/>
      <c r="C64" s="25">
        <v>7</v>
      </c>
      <c r="D64" s="25"/>
      <c r="E64" s="25"/>
      <c r="F64" s="157">
        <v>3</v>
      </c>
      <c r="G64" s="55">
        <f t="shared" si="1"/>
        <v>2.3333333333333335</v>
      </c>
    </row>
    <row r="65" spans="1:7" x14ac:dyDescent="0.2">
      <c r="A65" s="100">
        <f t="shared" si="0"/>
        <v>37</v>
      </c>
      <c r="B65" s="27">
        <v>15</v>
      </c>
      <c r="C65" s="27"/>
      <c r="D65" s="27">
        <v>22</v>
      </c>
      <c r="E65" s="27"/>
      <c r="F65" s="158">
        <v>4</v>
      </c>
      <c r="G65" s="55">
        <f t="shared" si="1"/>
        <v>9.25</v>
      </c>
    </row>
    <row r="66" spans="1:7" x14ac:dyDescent="0.2">
      <c r="A66" s="100">
        <f t="shared" si="0"/>
        <v>6</v>
      </c>
      <c r="B66" s="25"/>
      <c r="C66" s="25">
        <v>6</v>
      </c>
      <c r="D66" s="25"/>
      <c r="E66" s="25"/>
      <c r="F66" s="157">
        <v>5</v>
      </c>
      <c r="G66" s="55">
        <f t="shared" si="1"/>
        <v>1.2</v>
      </c>
    </row>
    <row r="67" spans="1:7" x14ac:dyDescent="0.2">
      <c r="A67" s="100">
        <f t="shared" ref="A67:A130" si="2">IFERROR(B67,0)+IFERROR(C67,0)+IFERROR(D67,0)+IFERROR(E67,0)</f>
        <v>10</v>
      </c>
      <c r="B67" s="27">
        <v>10</v>
      </c>
      <c r="C67" s="27"/>
      <c r="D67" s="27"/>
      <c r="E67" s="27"/>
      <c r="F67" s="158">
        <v>6</v>
      </c>
      <c r="G67" s="55">
        <f t="shared" ref="G67:G130" si="3">IFERROR(A67/F67," ")</f>
        <v>1.6666666666666667</v>
      </c>
    </row>
    <row r="68" spans="1:7" x14ac:dyDescent="0.2">
      <c r="A68" s="100">
        <f t="shared" si="2"/>
        <v>24</v>
      </c>
      <c r="B68" s="25"/>
      <c r="C68" s="25"/>
      <c r="D68" s="25">
        <v>24</v>
      </c>
      <c r="E68" s="25"/>
      <c r="F68" s="157">
        <v>3</v>
      </c>
      <c r="G68" s="55">
        <f t="shared" si="3"/>
        <v>8</v>
      </c>
    </row>
    <row r="69" spans="1:7" x14ac:dyDescent="0.2">
      <c r="A69" s="100">
        <f t="shared" si="2"/>
        <v>33</v>
      </c>
      <c r="B69" s="27">
        <v>14</v>
      </c>
      <c r="C69" s="27"/>
      <c r="D69" s="27">
        <v>19</v>
      </c>
      <c r="E69" s="27"/>
      <c r="F69" s="158">
        <v>4</v>
      </c>
      <c r="G69" s="55">
        <f t="shared" si="3"/>
        <v>8.25</v>
      </c>
    </row>
    <row r="70" spans="1:7" x14ac:dyDescent="0.2">
      <c r="A70" s="100">
        <f t="shared" si="2"/>
        <v>6</v>
      </c>
      <c r="B70" s="25"/>
      <c r="C70" s="25">
        <v>6</v>
      </c>
      <c r="D70" s="25"/>
      <c r="E70" s="25"/>
      <c r="F70" s="157">
        <v>4</v>
      </c>
      <c r="G70" s="55">
        <f t="shared" si="3"/>
        <v>1.5</v>
      </c>
    </row>
    <row r="71" spans="1:7" x14ac:dyDescent="0.2">
      <c r="A71" s="100">
        <f t="shared" si="2"/>
        <v>90</v>
      </c>
      <c r="B71" s="27"/>
      <c r="C71" s="27"/>
      <c r="D71" s="27">
        <v>25</v>
      </c>
      <c r="E71" s="27">
        <v>65</v>
      </c>
      <c r="F71" s="158">
        <v>5</v>
      </c>
      <c r="G71" s="55">
        <f t="shared" si="3"/>
        <v>18</v>
      </c>
    </row>
    <row r="72" spans="1:7" x14ac:dyDescent="0.2">
      <c r="A72" s="100">
        <f t="shared" si="2"/>
        <v>19</v>
      </c>
      <c r="B72" s="25"/>
      <c r="C72" s="25"/>
      <c r="D72" s="25">
        <v>19</v>
      </c>
      <c r="E72" s="25"/>
      <c r="F72" s="157">
        <v>3</v>
      </c>
      <c r="G72" s="55">
        <f t="shared" si="3"/>
        <v>6.333333333333333</v>
      </c>
    </row>
    <row r="73" spans="1:7" x14ac:dyDescent="0.2">
      <c r="A73" s="100">
        <f t="shared" si="2"/>
        <v>19</v>
      </c>
      <c r="B73" s="27">
        <v>19</v>
      </c>
      <c r="C73" s="27"/>
      <c r="D73" s="27"/>
      <c r="E73" s="27"/>
      <c r="F73" s="158">
        <v>4</v>
      </c>
      <c r="G73" s="55">
        <f t="shared" si="3"/>
        <v>4.75</v>
      </c>
    </row>
    <row r="74" spans="1:7" x14ac:dyDescent="0.2">
      <c r="A74" s="100">
        <f t="shared" si="2"/>
        <v>50</v>
      </c>
      <c r="B74" s="25">
        <v>10</v>
      </c>
      <c r="C74" s="25"/>
      <c r="D74" s="25">
        <v>40</v>
      </c>
      <c r="E74" s="25"/>
      <c r="F74" s="157">
        <v>4</v>
      </c>
      <c r="G74" s="55">
        <f t="shared" si="3"/>
        <v>12.5</v>
      </c>
    </row>
    <row r="75" spans="1:7" x14ac:dyDescent="0.2">
      <c r="A75" s="100">
        <f t="shared" si="2"/>
        <v>6</v>
      </c>
      <c r="B75" s="27"/>
      <c r="C75" s="27">
        <v>6</v>
      </c>
      <c r="D75" s="27"/>
      <c r="E75" s="27"/>
      <c r="F75" s="158">
        <v>5</v>
      </c>
      <c r="G75" s="55">
        <f t="shared" si="3"/>
        <v>1.2</v>
      </c>
    </row>
    <row r="76" spans="1:7" x14ac:dyDescent="0.2">
      <c r="A76" s="100">
        <f t="shared" si="2"/>
        <v>77</v>
      </c>
      <c r="B76" s="25">
        <v>7</v>
      </c>
      <c r="C76" s="25"/>
      <c r="D76" s="25"/>
      <c r="E76" s="25">
        <v>70</v>
      </c>
      <c r="F76" s="157">
        <v>6</v>
      </c>
      <c r="G76" s="55">
        <f t="shared" si="3"/>
        <v>12.833333333333334</v>
      </c>
    </row>
    <row r="77" spans="1:7" x14ac:dyDescent="0.2">
      <c r="A77" s="100">
        <f t="shared" si="2"/>
        <v>9</v>
      </c>
      <c r="B77" s="27"/>
      <c r="C77" s="27">
        <v>4</v>
      </c>
      <c r="D77" s="27">
        <v>5</v>
      </c>
      <c r="E77" s="27"/>
      <c r="F77" s="158">
        <v>3</v>
      </c>
      <c r="G77" s="55">
        <f t="shared" si="3"/>
        <v>3</v>
      </c>
    </row>
    <row r="78" spans="1:7" x14ac:dyDescent="0.2">
      <c r="A78" s="100">
        <f t="shared" si="2"/>
        <v>130</v>
      </c>
      <c r="B78" s="25"/>
      <c r="C78" s="25"/>
      <c r="D78" s="25">
        <v>50</v>
      </c>
      <c r="E78" s="25">
        <v>80</v>
      </c>
      <c r="F78" s="157">
        <v>4</v>
      </c>
      <c r="G78" s="55">
        <f t="shared" si="3"/>
        <v>32.5</v>
      </c>
    </row>
    <row r="79" spans="1:7" x14ac:dyDescent="0.2">
      <c r="A79" s="100">
        <f t="shared" si="2"/>
        <v>6</v>
      </c>
      <c r="B79" s="27">
        <v>6</v>
      </c>
      <c r="C79" s="27"/>
      <c r="D79" s="27"/>
      <c r="E79" s="27"/>
      <c r="F79" s="158">
        <v>5</v>
      </c>
      <c r="G79" s="55">
        <f t="shared" si="3"/>
        <v>1.2</v>
      </c>
    </row>
    <row r="80" spans="1:7" x14ac:dyDescent="0.2">
      <c r="A80" s="100">
        <f t="shared" si="2"/>
        <v>12</v>
      </c>
      <c r="B80" s="25">
        <v>12</v>
      </c>
      <c r="C80" s="25"/>
      <c r="D80" s="25"/>
      <c r="E80" s="25"/>
      <c r="F80" s="157">
        <v>3</v>
      </c>
      <c r="G80" s="55">
        <f t="shared" si="3"/>
        <v>4</v>
      </c>
    </row>
    <row r="81" spans="1:7" x14ac:dyDescent="0.2">
      <c r="A81" s="100">
        <f t="shared" si="2"/>
        <v>7</v>
      </c>
      <c r="B81" s="27"/>
      <c r="C81" s="27">
        <v>7</v>
      </c>
      <c r="D81" s="27"/>
      <c r="E81" s="27"/>
      <c r="F81" s="158">
        <v>4</v>
      </c>
      <c r="G81" s="55">
        <f t="shared" si="3"/>
        <v>1.75</v>
      </c>
    </row>
    <row r="82" spans="1:7" x14ac:dyDescent="0.2">
      <c r="A82" s="100">
        <f t="shared" si="2"/>
        <v>30</v>
      </c>
      <c r="B82" s="25"/>
      <c r="C82" s="25"/>
      <c r="D82" s="25">
        <v>30</v>
      </c>
      <c r="E82" s="25"/>
      <c r="F82" s="157">
        <v>3</v>
      </c>
      <c r="G82" s="55">
        <f t="shared" si="3"/>
        <v>10</v>
      </c>
    </row>
    <row r="83" spans="1:7" x14ac:dyDescent="0.2">
      <c r="A83" s="100">
        <f t="shared" si="2"/>
        <v>5</v>
      </c>
      <c r="B83" s="27"/>
      <c r="C83" s="27">
        <v>5</v>
      </c>
      <c r="D83" s="27"/>
      <c r="E83" s="27"/>
      <c r="F83" s="158">
        <v>6</v>
      </c>
      <c r="G83" s="55">
        <f t="shared" si="3"/>
        <v>0.83333333333333337</v>
      </c>
    </row>
    <row r="84" spans="1:7" x14ac:dyDescent="0.2">
      <c r="A84" s="100">
        <f t="shared" si="2"/>
        <v>99</v>
      </c>
      <c r="B84" s="25">
        <v>9</v>
      </c>
      <c r="C84" s="25"/>
      <c r="D84" s="25"/>
      <c r="E84" s="25">
        <v>90</v>
      </c>
      <c r="F84" s="157">
        <v>6</v>
      </c>
      <c r="G84" s="55">
        <f t="shared" si="3"/>
        <v>16.5</v>
      </c>
    </row>
    <row r="85" spans="1:7" x14ac:dyDescent="0.2">
      <c r="A85" s="100">
        <f t="shared" si="2"/>
        <v>20</v>
      </c>
      <c r="B85" s="27">
        <v>20</v>
      </c>
      <c r="C85" s="27"/>
      <c r="D85" s="27"/>
      <c r="E85" s="27"/>
      <c r="F85" s="158">
        <v>6</v>
      </c>
      <c r="G85" s="55">
        <f t="shared" si="3"/>
        <v>3.3333333333333335</v>
      </c>
    </row>
    <row r="86" spans="1:7" x14ac:dyDescent="0.2">
      <c r="A86" s="100">
        <f t="shared" si="2"/>
        <v>30</v>
      </c>
      <c r="B86" s="25">
        <v>9</v>
      </c>
      <c r="C86" s="25"/>
      <c r="D86" s="25">
        <v>21</v>
      </c>
      <c r="E86" s="25"/>
      <c r="F86" s="157">
        <v>5</v>
      </c>
      <c r="G86" s="55">
        <f t="shared" si="3"/>
        <v>6</v>
      </c>
    </row>
    <row r="87" spans="1:7" x14ac:dyDescent="0.2">
      <c r="A87" s="100">
        <f t="shared" si="2"/>
        <v>20</v>
      </c>
      <c r="B87" s="27"/>
      <c r="C87" s="27"/>
      <c r="D87" s="27">
        <v>20</v>
      </c>
      <c r="E87" s="27"/>
      <c r="F87" s="158">
        <v>3</v>
      </c>
      <c r="G87" s="55">
        <f t="shared" si="3"/>
        <v>6.666666666666667</v>
      </c>
    </row>
    <row r="88" spans="1:7" x14ac:dyDescent="0.2">
      <c r="A88" s="100">
        <f t="shared" si="2"/>
        <v>10</v>
      </c>
      <c r="B88" s="25">
        <v>10</v>
      </c>
      <c r="C88" s="25"/>
      <c r="D88" s="25"/>
      <c r="E88" s="25"/>
      <c r="F88" s="157">
        <v>6</v>
      </c>
      <c r="G88" s="55">
        <f t="shared" si="3"/>
        <v>1.6666666666666667</v>
      </c>
    </row>
    <row r="89" spans="1:7" x14ac:dyDescent="0.2">
      <c r="A89" s="100">
        <f t="shared" si="2"/>
        <v>5</v>
      </c>
      <c r="B89" s="27"/>
      <c r="C89" s="27">
        <v>5</v>
      </c>
      <c r="D89" s="27"/>
      <c r="E89" s="27"/>
      <c r="F89" s="158">
        <v>4</v>
      </c>
      <c r="G89" s="55">
        <f t="shared" si="3"/>
        <v>1.25</v>
      </c>
    </row>
    <row r="90" spans="1:7" x14ac:dyDescent="0.2">
      <c r="A90" s="100">
        <f t="shared" si="2"/>
        <v>26</v>
      </c>
      <c r="B90" s="25">
        <v>8</v>
      </c>
      <c r="C90" s="25"/>
      <c r="D90" s="25">
        <v>18</v>
      </c>
      <c r="E90" s="25"/>
      <c r="F90" s="157">
        <v>3</v>
      </c>
      <c r="G90" s="55">
        <f t="shared" si="3"/>
        <v>8.6666666666666661</v>
      </c>
    </row>
    <row r="91" spans="1:7" x14ac:dyDescent="0.2">
      <c r="A91" s="100">
        <f t="shared" si="2"/>
        <v>11</v>
      </c>
      <c r="B91" s="27">
        <v>11</v>
      </c>
      <c r="C91" s="27"/>
      <c r="D91" s="27"/>
      <c r="E91" s="27"/>
      <c r="F91" s="158">
        <v>5</v>
      </c>
      <c r="G91" s="55">
        <f t="shared" si="3"/>
        <v>2.2000000000000002</v>
      </c>
    </row>
    <row r="92" spans="1:7" x14ac:dyDescent="0.2">
      <c r="A92" s="100">
        <f t="shared" si="2"/>
        <v>5</v>
      </c>
      <c r="B92" s="25"/>
      <c r="C92" s="25">
        <v>5</v>
      </c>
      <c r="D92" s="25"/>
      <c r="E92" s="25"/>
      <c r="F92" s="157">
        <v>4</v>
      </c>
      <c r="G92" s="55">
        <f t="shared" si="3"/>
        <v>1.25</v>
      </c>
    </row>
    <row r="93" spans="1:7" x14ac:dyDescent="0.2">
      <c r="A93" s="100">
        <f t="shared" si="2"/>
        <v>26</v>
      </c>
      <c r="B93" s="27">
        <v>9</v>
      </c>
      <c r="C93" s="27"/>
      <c r="D93" s="27">
        <v>17</v>
      </c>
      <c r="E93" s="27"/>
      <c r="F93" s="158">
        <v>3</v>
      </c>
      <c r="G93" s="55">
        <f t="shared" si="3"/>
        <v>8.6666666666666661</v>
      </c>
    </row>
    <row r="94" spans="1:7" x14ac:dyDescent="0.2">
      <c r="A94" s="100">
        <f t="shared" si="2"/>
        <v>6</v>
      </c>
      <c r="B94" s="25"/>
      <c r="C94" s="25">
        <v>6</v>
      </c>
      <c r="D94" s="25"/>
      <c r="E94" s="25"/>
      <c r="F94" s="157">
        <v>4</v>
      </c>
      <c r="G94" s="55">
        <f t="shared" si="3"/>
        <v>1.5</v>
      </c>
    </row>
    <row r="95" spans="1:7" x14ac:dyDescent="0.2">
      <c r="A95" s="100">
        <f t="shared" si="2"/>
        <v>18</v>
      </c>
      <c r="B95" s="27"/>
      <c r="C95" s="27"/>
      <c r="D95" s="27">
        <v>18</v>
      </c>
      <c r="E95" s="27"/>
      <c r="F95" s="158">
        <v>3</v>
      </c>
      <c r="G95" s="55">
        <f t="shared" si="3"/>
        <v>6</v>
      </c>
    </row>
    <row r="96" spans="1:7" x14ac:dyDescent="0.2">
      <c r="A96" s="100">
        <f t="shared" si="2"/>
        <v>10</v>
      </c>
      <c r="B96" s="25">
        <v>10</v>
      </c>
      <c r="C96" s="25"/>
      <c r="D96" s="25"/>
      <c r="E96" s="25"/>
      <c r="F96" s="157">
        <v>5</v>
      </c>
      <c r="G96" s="55">
        <f t="shared" si="3"/>
        <v>2</v>
      </c>
    </row>
    <row r="97" spans="1:7" x14ac:dyDescent="0.2">
      <c r="A97" s="100">
        <f t="shared" si="2"/>
        <v>5</v>
      </c>
      <c r="B97" s="27"/>
      <c r="C97" s="27">
        <v>5</v>
      </c>
      <c r="D97" s="27"/>
      <c r="E97" s="27"/>
      <c r="F97" s="158">
        <v>4</v>
      </c>
      <c r="G97" s="55">
        <f t="shared" si="3"/>
        <v>1.25</v>
      </c>
    </row>
    <row r="98" spans="1:7" x14ac:dyDescent="0.2">
      <c r="A98" s="100">
        <f t="shared" si="2"/>
        <v>71</v>
      </c>
      <c r="B98" s="25">
        <v>11</v>
      </c>
      <c r="C98" s="25"/>
      <c r="D98" s="25"/>
      <c r="E98" s="25">
        <v>60</v>
      </c>
      <c r="F98" s="157">
        <v>6</v>
      </c>
      <c r="G98" s="55">
        <f t="shared" si="3"/>
        <v>11.833333333333334</v>
      </c>
    </row>
    <row r="99" spans="1:7" x14ac:dyDescent="0.2">
      <c r="A99" s="100">
        <f t="shared" si="2"/>
        <v>83</v>
      </c>
      <c r="B99" s="27">
        <v>13</v>
      </c>
      <c r="C99" s="27"/>
      <c r="D99" s="27"/>
      <c r="E99" s="27">
        <v>70</v>
      </c>
      <c r="F99" s="158">
        <v>6</v>
      </c>
      <c r="G99" s="55">
        <f t="shared" si="3"/>
        <v>13.833333333333334</v>
      </c>
    </row>
    <row r="100" spans="1:7" x14ac:dyDescent="0.2">
      <c r="A100" s="100">
        <f t="shared" si="2"/>
        <v>19</v>
      </c>
      <c r="B100" s="25"/>
      <c r="C100" s="25"/>
      <c r="D100" s="25">
        <v>19</v>
      </c>
      <c r="E100" s="25"/>
      <c r="F100" s="157">
        <v>3</v>
      </c>
      <c r="G100" s="55">
        <f t="shared" si="3"/>
        <v>6.333333333333333</v>
      </c>
    </row>
    <row r="101" spans="1:7" x14ac:dyDescent="0.2">
      <c r="A101" s="100">
        <f t="shared" si="2"/>
        <v>65</v>
      </c>
      <c r="B101" s="27">
        <v>10</v>
      </c>
      <c r="C101" s="27"/>
      <c r="D101" s="27"/>
      <c r="E101" s="27">
        <v>55</v>
      </c>
      <c r="F101" s="158">
        <v>6</v>
      </c>
      <c r="G101" s="55">
        <f t="shared" si="3"/>
        <v>10.833333333333334</v>
      </c>
    </row>
    <row r="102" spans="1:7" x14ac:dyDescent="0.2">
      <c r="A102" s="100">
        <f t="shared" si="2"/>
        <v>6</v>
      </c>
      <c r="B102" s="25"/>
      <c r="C102" s="25">
        <v>6</v>
      </c>
      <c r="D102" s="25"/>
      <c r="E102" s="25"/>
      <c r="F102" s="157">
        <v>4</v>
      </c>
      <c r="G102" s="55">
        <f t="shared" si="3"/>
        <v>1.5</v>
      </c>
    </row>
    <row r="103" spans="1:7" x14ac:dyDescent="0.2">
      <c r="A103" s="100">
        <f t="shared" si="2"/>
        <v>30</v>
      </c>
      <c r="B103" s="27">
        <v>9</v>
      </c>
      <c r="C103" s="27"/>
      <c r="D103" s="27">
        <v>21</v>
      </c>
      <c r="E103" s="27"/>
      <c r="F103" s="158">
        <v>3</v>
      </c>
      <c r="G103" s="55">
        <f t="shared" si="3"/>
        <v>10</v>
      </c>
    </row>
    <row r="104" spans="1:7" x14ac:dyDescent="0.2">
      <c r="A104" s="100">
        <f t="shared" si="2"/>
        <v>31</v>
      </c>
      <c r="B104" s="25">
        <v>9</v>
      </c>
      <c r="C104" s="25"/>
      <c r="D104" s="25">
        <v>22</v>
      </c>
      <c r="E104" s="25"/>
      <c r="F104" s="157">
        <v>5</v>
      </c>
      <c r="G104" s="55">
        <f t="shared" si="3"/>
        <v>6.2</v>
      </c>
    </row>
    <row r="105" spans="1:7" x14ac:dyDescent="0.2">
      <c r="A105" s="100">
        <f t="shared" si="2"/>
        <v>5</v>
      </c>
      <c r="B105" s="27">
        <v>5</v>
      </c>
      <c r="C105" s="27"/>
      <c r="D105" s="27"/>
      <c r="E105" s="27"/>
      <c r="F105" s="158">
        <v>4</v>
      </c>
      <c r="G105" s="55">
        <f t="shared" si="3"/>
        <v>1.25</v>
      </c>
    </row>
    <row r="106" spans="1:7" x14ac:dyDescent="0.2">
      <c r="A106" s="100">
        <f t="shared" si="2"/>
        <v>33</v>
      </c>
      <c r="B106" s="25">
        <v>11</v>
      </c>
      <c r="C106" s="25"/>
      <c r="D106" s="25">
        <v>22</v>
      </c>
      <c r="E106" s="25"/>
      <c r="F106" s="157">
        <v>5</v>
      </c>
      <c r="G106" s="55">
        <f t="shared" si="3"/>
        <v>6.6</v>
      </c>
    </row>
    <row r="107" spans="1:7" x14ac:dyDescent="0.2">
      <c r="A107" s="100">
        <f t="shared" si="2"/>
        <v>72</v>
      </c>
      <c r="B107" s="27">
        <v>7</v>
      </c>
      <c r="C107" s="27"/>
      <c r="D107" s="27"/>
      <c r="E107" s="27">
        <v>65</v>
      </c>
      <c r="F107" s="158">
        <v>5</v>
      </c>
      <c r="G107" s="55">
        <f t="shared" si="3"/>
        <v>14.4</v>
      </c>
    </row>
    <row r="108" spans="1:7" x14ac:dyDescent="0.2">
      <c r="A108" s="100">
        <f t="shared" si="2"/>
        <v>6</v>
      </c>
      <c r="B108" s="25"/>
      <c r="C108" s="25">
        <v>6</v>
      </c>
      <c r="D108" s="25"/>
      <c r="E108" s="25"/>
      <c r="F108" s="157">
        <v>4</v>
      </c>
      <c r="G108" s="55">
        <f t="shared" si="3"/>
        <v>1.5</v>
      </c>
    </row>
    <row r="109" spans="1:7" x14ac:dyDescent="0.2">
      <c r="A109" s="100">
        <f t="shared" si="2"/>
        <v>10</v>
      </c>
      <c r="B109" s="27"/>
      <c r="C109" s="27">
        <v>10</v>
      </c>
      <c r="D109" s="27"/>
      <c r="E109" s="27"/>
      <c r="F109" s="158">
        <v>3</v>
      </c>
      <c r="G109" s="55">
        <f t="shared" si="3"/>
        <v>3.3333333333333335</v>
      </c>
    </row>
    <row r="110" spans="1:7" x14ac:dyDescent="0.2">
      <c r="A110" s="100">
        <f t="shared" si="2"/>
        <v>76</v>
      </c>
      <c r="B110" s="25">
        <v>11</v>
      </c>
      <c r="C110" s="25"/>
      <c r="D110" s="25"/>
      <c r="E110" s="25">
        <v>65</v>
      </c>
      <c r="F110" s="157">
        <v>6</v>
      </c>
      <c r="G110" s="55">
        <f t="shared" si="3"/>
        <v>12.666666666666666</v>
      </c>
    </row>
    <row r="111" spans="1:7" x14ac:dyDescent="0.2">
      <c r="A111" s="100">
        <f t="shared" si="2"/>
        <v>92</v>
      </c>
      <c r="B111" s="27">
        <v>7</v>
      </c>
      <c r="C111" s="27"/>
      <c r="D111" s="27">
        <v>27</v>
      </c>
      <c r="E111" s="27">
        <v>58</v>
      </c>
      <c r="F111" s="158">
        <v>6</v>
      </c>
      <c r="G111" s="55">
        <f t="shared" si="3"/>
        <v>15.333333333333334</v>
      </c>
    </row>
    <row r="112" spans="1:7" x14ac:dyDescent="0.2">
      <c r="A112" s="100">
        <f t="shared" si="2"/>
        <v>20</v>
      </c>
      <c r="B112" s="25"/>
      <c r="C112" s="25"/>
      <c r="D112" s="25">
        <v>20</v>
      </c>
      <c r="E112" s="25"/>
      <c r="F112" s="157">
        <v>3</v>
      </c>
      <c r="G112" s="55">
        <f t="shared" si="3"/>
        <v>6.666666666666667</v>
      </c>
    </row>
    <row r="113" spans="1:7" x14ac:dyDescent="0.2">
      <c r="A113" s="100">
        <f t="shared" si="2"/>
        <v>6</v>
      </c>
      <c r="B113" s="27"/>
      <c r="C113" s="27">
        <v>6</v>
      </c>
      <c r="D113" s="27"/>
      <c r="E113" s="27"/>
      <c r="F113" s="158">
        <v>4</v>
      </c>
      <c r="G113" s="55">
        <f t="shared" si="3"/>
        <v>1.5</v>
      </c>
    </row>
    <row r="114" spans="1:7" x14ac:dyDescent="0.2">
      <c r="A114" s="100">
        <f t="shared" si="2"/>
        <v>33</v>
      </c>
      <c r="B114" s="25">
        <v>7</v>
      </c>
      <c r="C114" s="25"/>
      <c r="D114" s="25">
        <v>26</v>
      </c>
      <c r="E114" s="25"/>
      <c r="F114" s="157">
        <v>4</v>
      </c>
      <c r="G114" s="55">
        <f t="shared" si="3"/>
        <v>8.25</v>
      </c>
    </row>
    <row r="115" spans="1:7" x14ac:dyDescent="0.2">
      <c r="A115" s="100">
        <f t="shared" si="2"/>
        <v>5</v>
      </c>
      <c r="B115" s="27"/>
      <c r="C115" s="27">
        <v>5</v>
      </c>
      <c r="D115" s="27"/>
      <c r="E115" s="27"/>
      <c r="F115" s="158">
        <v>3</v>
      </c>
      <c r="G115" s="55">
        <f t="shared" si="3"/>
        <v>1.6666666666666667</v>
      </c>
    </row>
    <row r="116" spans="1:7" x14ac:dyDescent="0.2">
      <c r="A116" s="100">
        <f t="shared" si="2"/>
        <v>37</v>
      </c>
      <c r="B116" s="25">
        <v>5</v>
      </c>
      <c r="C116" s="25"/>
      <c r="D116" s="25">
        <v>32</v>
      </c>
      <c r="E116" s="25"/>
      <c r="F116" s="157">
        <v>5</v>
      </c>
      <c r="G116" s="55">
        <f t="shared" si="3"/>
        <v>7.4</v>
      </c>
    </row>
    <row r="117" spans="1:7" x14ac:dyDescent="0.2">
      <c r="A117" s="100">
        <f t="shared" si="2"/>
        <v>6</v>
      </c>
      <c r="B117" s="27">
        <v>6</v>
      </c>
      <c r="C117" s="27"/>
      <c r="D117" s="27"/>
      <c r="E117" s="27"/>
      <c r="F117" s="158">
        <v>6</v>
      </c>
      <c r="G117" s="55">
        <f t="shared" si="3"/>
        <v>1</v>
      </c>
    </row>
    <row r="118" spans="1:7" x14ac:dyDescent="0.2">
      <c r="A118" s="100">
        <f t="shared" si="2"/>
        <v>41</v>
      </c>
      <c r="B118" s="25">
        <v>6</v>
      </c>
      <c r="C118" s="25"/>
      <c r="D118" s="25">
        <v>35</v>
      </c>
      <c r="E118" s="25"/>
      <c r="F118" s="157">
        <v>4</v>
      </c>
      <c r="G118" s="55">
        <f t="shared" si="3"/>
        <v>10.25</v>
      </c>
    </row>
    <row r="119" spans="1:7" x14ac:dyDescent="0.2">
      <c r="A119" s="100">
        <f t="shared" si="2"/>
        <v>12</v>
      </c>
      <c r="B119" s="27">
        <v>12</v>
      </c>
      <c r="C119" s="27"/>
      <c r="D119" s="27"/>
      <c r="E119" s="27"/>
      <c r="F119" s="158">
        <v>3</v>
      </c>
      <c r="G119" s="55">
        <f t="shared" si="3"/>
        <v>4</v>
      </c>
    </row>
    <row r="120" spans="1:7" x14ac:dyDescent="0.2">
      <c r="A120" s="100">
        <f t="shared" si="2"/>
        <v>5</v>
      </c>
      <c r="B120" s="25"/>
      <c r="C120" s="25">
        <v>5</v>
      </c>
      <c r="D120" s="25"/>
      <c r="E120" s="25"/>
      <c r="F120" s="157">
        <v>4</v>
      </c>
      <c r="G120" s="55">
        <f t="shared" si="3"/>
        <v>1.25</v>
      </c>
    </row>
    <row r="121" spans="1:7" x14ac:dyDescent="0.2">
      <c r="A121" s="100">
        <f t="shared" si="2"/>
        <v>6</v>
      </c>
      <c r="B121" s="27">
        <v>6</v>
      </c>
      <c r="C121" s="27"/>
      <c r="D121" s="27"/>
      <c r="E121" s="27"/>
      <c r="F121" s="158">
        <v>5</v>
      </c>
      <c r="G121" s="55">
        <f t="shared" si="3"/>
        <v>1.2</v>
      </c>
    </row>
    <row r="122" spans="1:7" x14ac:dyDescent="0.2">
      <c r="A122" s="100">
        <f t="shared" si="2"/>
        <v>30</v>
      </c>
      <c r="B122" s="25">
        <v>30</v>
      </c>
      <c r="C122" s="25"/>
      <c r="D122" s="25"/>
      <c r="E122" s="25"/>
      <c r="F122" s="157">
        <v>5</v>
      </c>
      <c r="G122" s="55">
        <f t="shared" si="3"/>
        <v>6</v>
      </c>
    </row>
    <row r="123" spans="1:7" x14ac:dyDescent="0.2">
      <c r="A123" s="100">
        <f t="shared" si="2"/>
        <v>10</v>
      </c>
      <c r="B123" s="27">
        <v>10</v>
      </c>
      <c r="C123" s="29"/>
      <c r="D123" s="29"/>
      <c r="E123" s="29"/>
      <c r="F123" s="158">
        <v>4</v>
      </c>
      <c r="G123" s="55">
        <f t="shared" si="3"/>
        <v>2.5</v>
      </c>
    </row>
    <row r="124" spans="1:7" x14ac:dyDescent="0.2">
      <c r="A124" s="100">
        <f t="shared" si="2"/>
        <v>30</v>
      </c>
      <c r="B124" s="25">
        <v>30</v>
      </c>
      <c r="C124" s="28"/>
      <c r="D124" s="28"/>
      <c r="E124" s="28"/>
      <c r="F124" s="157">
        <v>4</v>
      </c>
      <c r="G124" s="55">
        <f t="shared" si="3"/>
        <v>7.5</v>
      </c>
    </row>
    <row r="125" spans="1:7" x14ac:dyDescent="0.2">
      <c r="A125" s="100">
        <f t="shared" si="2"/>
        <v>44</v>
      </c>
      <c r="B125" s="27">
        <v>10</v>
      </c>
      <c r="C125" s="29"/>
      <c r="D125" s="27">
        <v>34</v>
      </c>
      <c r="E125" s="29"/>
      <c r="F125" s="158">
        <v>6</v>
      </c>
      <c r="G125" s="55">
        <f t="shared" si="3"/>
        <v>7.333333333333333</v>
      </c>
    </row>
    <row r="126" spans="1:7" x14ac:dyDescent="0.2">
      <c r="A126" s="100">
        <f t="shared" si="2"/>
        <v>5</v>
      </c>
      <c r="B126" s="28"/>
      <c r="C126" s="25">
        <v>5</v>
      </c>
      <c r="D126" s="28"/>
      <c r="E126" s="28"/>
      <c r="F126" s="157">
        <v>3</v>
      </c>
      <c r="G126" s="55">
        <f t="shared" si="3"/>
        <v>1.6666666666666667</v>
      </c>
    </row>
    <row r="127" spans="1:7" x14ac:dyDescent="0.2">
      <c r="A127" s="100">
        <f t="shared" si="2"/>
        <v>50</v>
      </c>
      <c r="B127" s="27">
        <v>12</v>
      </c>
      <c r="C127" s="29"/>
      <c r="D127" s="27">
        <v>38</v>
      </c>
      <c r="E127" s="29"/>
      <c r="F127" s="158">
        <v>4</v>
      </c>
      <c r="G127" s="55">
        <f t="shared" si="3"/>
        <v>12.5</v>
      </c>
    </row>
    <row r="128" spans="1:7" x14ac:dyDescent="0.2">
      <c r="A128" s="100">
        <f t="shared" si="2"/>
        <v>6</v>
      </c>
      <c r="B128" s="28"/>
      <c r="C128" s="25">
        <v>6</v>
      </c>
      <c r="D128" s="28"/>
      <c r="E128" s="28"/>
      <c r="F128" s="157">
        <v>5</v>
      </c>
      <c r="G128" s="55">
        <f t="shared" si="3"/>
        <v>1.2</v>
      </c>
    </row>
    <row r="129" spans="1:7" x14ac:dyDescent="0.2">
      <c r="A129" s="100">
        <f t="shared" si="2"/>
        <v>65</v>
      </c>
      <c r="B129" s="27">
        <v>5</v>
      </c>
      <c r="C129" s="29"/>
      <c r="D129" s="29"/>
      <c r="E129" s="27">
        <v>60</v>
      </c>
      <c r="F129" s="158">
        <v>7</v>
      </c>
      <c r="G129" s="55">
        <f t="shared" si="3"/>
        <v>9.2857142857142865</v>
      </c>
    </row>
    <row r="130" spans="1:7" x14ac:dyDescent="0.2">
      <c r="A130" s="100">
        <f t="shared" si="2"/>
        <v>4</v>
      </c>
      <c r="B130" s="28"/>
      <c r="C130" s="25">
        <v>4</v>
      </c>
      <c r="D130" s="28"/>
      <c r="E130" s="28"/>
      <c r="F130" s="157">
        <v>4</v>
      </c>
      <c r="G130" s="55">
        <f t="shared" si="3"/>
        <v>1</v>
      </c>
    </row>
    <row r="131" spans="1:7" x14ac:dyDescent="0.2">
      <c r="A131" s="100">
        <f t="shared" ref="A131:A194" si="4">IFERROR(B131,0)+IFERROR(C131,0)+IFERROR(D131,0)+IFERROR(E131,0)</f>
        <v>54</v>
      </c>
      <c r="B131" s="27">
        <v>12</v>
      </c>
      <c r="C131" s="29"/>
      <c r="D131" s="27">
        <v>42</v>
      </c>
      <c r="E131" s="29"/>
      <c r="F131" s="158">
        <v>3</v>
      </c>
      <c r="G131" s="55">
        <f t="shared" ref="G131:G194" si="5">IFERROR(A131/F131," ")</f>
        <v>18</v>
      </c>
    </row>
    <row r="132" spans="1:7" x14ac:dyDescent="0.2">
      <c r="A132" s="100">
        <f t="shared" si="4"/>
        <v>7</v>
      </c>
      <c r="B132" s="25">
        <v>7</v>
      </c>
      <c r="C132" s="28"/>
      <c r="D132" s="28"/>
      <c r="E132" s="28"/>
      <c r="F132" s="157">
        <v>5</v>
      </c>
      <c r="G132" s="55">
        <f t="shared" si="5"/>
        <v>1.4</v>
      </c>
    </row>
    <row r="133" spans="1:7" x14ac:dyDescent="0.2">
      <c r="A133" s="100">
        <f t="shared" si="4"/>
        <v>8</v>
      </c>
      <c r="B133" s="27">
        <v>8</v>
      </c>
      <c r="C133" s="29"/>
      <c r="D133" s="29"/>
      <c r="E133" s="29"/>
      <c r="F133" s="158">
        <v>6</v>
      </c>
      <c r="G133" s="55">
        <f t="shared" si="5"/>
        <v>1.3333333333333333</v>
      </c>
    </row>
    <row r="134" spans="1:7" x14ac:dyDescent="0.2">
      <c r="A134" s="100">
        <f t="shared" si="4"/>
        <v>7</v>
      </c>
      <c r="B134" s="28"/>
      <c r="C134" s="25">
        <v>7</v>
      </c>
      <c r="D134" s="28"/>
      <c r="E134" s="28"/>
      <c r="F134" s="157">
        <v>4</v>
      </c>
      <c r="G134" s="55">
        <f t="shared" si="5"/>
        <v>1.75</v>
      </c>
    </row>
    <row r="135" spans="1:7" x14ac:dyDescent="0.2">
      <c r="A135" s="100">
        <f t="shared" si="4"/>
        <v>41</v>
      </c>
      <c r="B135" s="27">
        <v>9</v>
      </c>
      <c r="C135" s="29"/>
      <c r="D135" s="27">
        <v>32</v>
      </c>
      <c r="E135" s="29"/>
      <c r="F135" s="158">
        <v>5</v>
      </c>
      <c r="G135" s="55">
        <f t="shared" si="5"/>
        <v>8.1999999999999993</v>
      </c>
    </row>
    <row r="136" spans="1:7" x14ac:dyDescent="0.2">
      <c r="A136" s="100">
        <f t="shared" si="4"/>
        <v>6</v>
      </c>
      <c r="B136" s="28"/>
      <c r="C136" s="25">
        <v>6</v>
      </c>
      <c r="D136" s="28"/>
      <c r="E136" s="28"/>
      <c r="F136" s="157">
        <v>4</v>
      </c>
      <c r="G136" s="55">
        <f t="shared" si="5"/>
        <v>1.5</v>
      </c>
    </row>
    <row r="137" spans="1:7" x14ac:dyDescent="0.2">
      <c r="A137" s="100">
        <f t="shared" si="4"/>
        <v>75</v>
      </c>
      <c r="B137" s="27">
        <v>5</v>
      </c>
      <c r="C137" s="29"/>
      <c r="D137" s="29"/>
      <c r="E137" s="27">
        <v>70</v>
      </c>
      <c r="F137" s="158">
        <v>6</v>
      </c>
      <c r="G137" s="55">
        <f t="shared" si="5"/>
        <v>12.5</v>
      </c>
    </row>
    <row r="138" spans="1:7" x14ac:dyDescent="0.2">
      <c r="A138" s="100">
        <f t="shared" si="4"/>
        <v>7</v>
      </c>
      <c r="B138" s="28"/>
      <c r="C138" s="25">
        <v>7</v>
      </c>
      <c r="D138" s="28"/>
      <c r="E138" s="28"/>
      <c r="F138" s="157">
        <v>3</v>
      </c>
      <c r="G138" s="55">
        <f t="shared" si="5"/>
        <v>2.3333333333333335</v>
      </c>
    </row>
    <row r="139" spans="1:7" x14ac:dyDescent="0.2">
      <c r="A139" s="100">
        <f t="shared" si="4"/>
        <v>38</v>
      </c>
      <c r="B139" s="27">
        <v>8</v>
      </c>
      <c r="C139" s="29"/>
      <c r="D139" s="27">
        <v>30</v>
      </c>
      <c r="E139" s="29"/>
      <c r="F139" s="158">
        <v>5</v>
      </c>
      <c r="G139" s="55">
        <f t="shared" si="5"/>
        <v>7.6</v>
      </c>
    </row>
    <row r="140" spans="1:7" x14ac:dyDescent="0.2">
      <c r="A140" s="100">
        <f t="shared" si="4"/>
        <v>7</v>
      </c>
      <c r="B140" s="25">
        <v>7</v>
      </c>
      <c r="C140" s="28"/>
      <c r="D140" s="28"/>
      <c r="E140" s="28"/>
      <c r="F140" s="157">
        <v>6</v>
      </c>
      <c r="G140" s="55">
        <f t="shared" si="5"/>
        <v>1.1666666666666667</v>
      </c>
    </row>
    <row r="141" spans="1:7" x14ac:dyDescent="0.2">
      <c r="A141" s="100">
        <f t="shared" si="4"/>
        <v>49</v>
      </c>
      <c r="B141" s="27">
        <v>11</v>
      </c>
      <c r="C141" s="29"/>
      <c r="D141" s="27">
        <v>38</v>
      </c>
      <c r="E141" s="29"/>
      <c r="F141" s="158">
        <v>4</v>
      </c>
      <c r="G141" s="55">
        <f t="shared" si="5"/>
        <v>12.25</v>
      </c>
    </row>
    <row r="142" spans="1:7" x14ac:dyDescent="0.2">
      <c r="A142" s="100">
        <f t="shared" si="4"/>
        <v>6</v>
      </c>
      <c r="B142" s="28"/>
      <c r="C142" s="25">
        <v>6</v>
      </c>
      <c r="D142" s="28"/>
      <c r="E142" s="28"/>
      <c r="F142" s="157">
        <v>3</v>
      </c>
      <c r="G142" s="55">
        <f t="shared" si="5"/>
        <v>2</v>
      </c>
    </row>
    <row r="143" spans="1:7" x14ac:dyDescent="0.2">
      <c r="A143" s="100">
        <f t="shared" si="4"/>
        <v>8</v>
      </c>
      <c r="B143" s="27">
        <v>8</v>
      </c>
      <c r="C143" s="29"/>
      <c r="D143" s="29"/>
      <c r="E143" s="29"/>
      <c r="F143" s="158">
        <v>5</v>
      </c>
      <c r="G143" s="55">
        <f t="shared" si="5"/>
        <v>1.6</v>
      </c>
    </row>
    <row r="144" spans="1:7" x14ac:dyDescent="0.2">
      <c r="A144" s="100">
        <f t="shared" si="4"/>
        <v>5</v>
      </c>
      <c r="B144" s="28"/>
      <c r="C144" s="25">
        <v>5</v>
      </c>
      <c r="D144" s="28"/>
      <c r="E144" s="28"/>
      <c r="F144" s="157">
        <v>4</v>
      </c>
      <c r="G144" s="55">
        <f t="shared" si="5"/>
        <v>1.25</v>
      </c>
    </row>
    <row r="145" spans="1:7" x14ac:dyDescent="0.2">
      <c r="A145" s="100">
        <f t="shared" si="4"/>
        <v>39</v>
      </c>
      <c r="B145" s="27">
        <v>5</v>
      </c>
      <c r="C145" s="27">
        <v>10</v>
      </c>
      <c r="D145" s="27">
        <v>24</v>
      </c>
      <c r="E145" s="29"/>
      <c r="F145" s="158">
        <v>4</v>
      </c>
      <c r="G145" s="55">
        <f t="shared" si="5"/>
        <v>9.75</v>
      </c>
    </row>
    <row r="146" spans="1:7" x14ac:dyDescent="0.2">
      <c r="A146" s="100">
        <f t="shared" si="4"/>
        <v>10</v>
      </c>
      <c r="B146" s="25">
        <v>5</v>
      </c>
      <c r="C146" s="25">
        <v>5</v>
      </c>
      <c r="D146" s="28"/>
      <c r="E146" s="28"/>
      <c r="F146" s="157">
        <v>4</v>
      </c>
      <c r="G146" s="55">
        <f t="shared" si="5"/>
        <v>2.5</v>
      </c>
    </row>
    <row r="147" spans="1:7" x14ac:dyDescent="0.2">
      <c r="A147" s="100">
        <f t="shared" si="4"/>
        <v>8</v>
      </c>
      <c r="B147" s="27">
        <v>2</v>
      </c>
      <c r="C147" s="29">
        <v>6</v>
      </c>
      <c r="D147" s="29"/>
      <c r="E147" s="29"/>
      <c r="F147" s="158">
        <v>6</v>
      </c>
      <c r="G147" s="55">
        <f t="shared" si="5"/>
        <v>1.3333333333333333</v>
      </c>
    </row>
    <row r="148" spans="1:7" x14ac:dyDescent="0.2">
      <c r="A148" s="100">
        <f t="shared" si="4"/>
        <v>138</v>
      </c>
      <c r="B148" s="25">
        <v>46</v>
      </c>
      <c r="C148" s="25">
        <v>46</v>
      </c>
      <c r="D148" s="25">
        <v>46</v>
      </c>
      <c r="E148" s="28"/>
      <c r="F148" s="157">
        <v>4</v>
      </c>
      <c r="G148" s="55">
        <f t="shared" si="5"/>
        <v>34.5</v>
      </c>
    </row>
    <row r="149" spans="1:7" x14ac:dyDescent="0.2">
      <c r="A149" s="100">
        <f t="shared" si="4"/>
        <v>36</v>
      </c>
      <c r="B149" s="27">
        <v>14</v>
      </c>
      <c r="C149" s="29"/>
      <c r="D149" s="27">
        <v>22</v>
      </c>
      <c r="E149" s="29"/>
      <c r="F149" s="158">
        <v>4</v>
      </c>
      <c r="G149" s="55">
        <f t="shared" si="5"/>
        <v>9</v>
      </c>
    </row>
    <row r="150" spans="1:7" x14ac:dyDescent="0.2">
      <c r="A150" s="100">
        <f t="shared" si="4"/>
        <v>7</v>
      </c>
      <c r="B150" s="28"/>
      <c r="C150" s="25">
        <v>7</v>
      </c>
      <c r="D150" s="28"/>
      <c r="E150" s="28"/>
      <c r="F150" s="157">
        <v>3</v>
      </c>
      <c r="G150" s="55">
        <f t="shared" si="5"/>
        <v>2.3333333333333335</v>
      </c>
    </row>
    <row r="151" spans="1:7" x14ac:dyDescent="0.2">
      <c r="A151" s="100">
        <f t="shared" si="4"/>
        <v>73</v>
      </c>
      <c r="B151" s="27">
        <v>8</v>
      </c>
      <c r="C151" s="29"/>
      <c r="D151" s="29"/>
      <c r="E151" s="27">
        <v>65</v>
      </c>
      <c r="F151" s="158">
        <v>5</v>
      </c>
      <c r="G151" s="55">
        <f t="shared" si="5"/>
        <v>14.6</v>
      </c>
    </row>
    <row r="152" spans="1:7" x14ac:dyDescent="0.2">
      <c r="A152" s="100">
        <f t="shared" si="4"/>
        <v>40</v>
      </c>
      <c r="B152" s="25">
        <v>10</v>
      </c>
      <c r="C152" s="28"/>
      <c r="D152" s="25">
        <v>30</v>
      </c>
      <c r="E152" s="28"/>
      <c r="F152" s="157">
        <v>4</v>
      </c>
      <c r="G152" s="55">
        <f t="shared" si="5"/>
        <v>10</v>
      </c>
    </row>
    <row r="153" spans="1:7" x14ac:dyDescent="0.2">
      <c r="A153" s="100">
        <f t="shared" si="4"/>
        <v>5</v>
      </c>
      <c r="B153" s="27">
        <v>5</v>
      </c>
      <c r="C153" s="29"/>
      <c r="D153" s="29"/>
      <c r="E153" s="29"/>
      <c r="F153" s="158">
        <v>5</v>
      </c>
      <c r="G153" s="55">
        <f t="shared" si="5"/>
        <v>1</v>
      </c>
    </row>
    <row r="154" spans="1:7" x14ac:dyDescent="0.2">
      <c r="A154" s="100">
        <f t="shared" si="4"/>
        <v>78</v>
      </c>
      <c r="B154" s="25">
        <v>8</v>
      </c>
      <c r="C154" s="28"/>
      <c r="D154" s="28"/>
      <c r="E154" s="25">
        <v>70</v>
      </c>
      <c r="F154" s="157">
        <v>7</v>
      </c>
      <c r="G154" s="55">
        <f t="shared" si="5"/>
        <v>11.142857142857142</v>
      </c>
    </row>
    <row r="155" spans="1:7" x14ac:dyDescent="0.2">
      <c r="A155" s="100">
        <f t="shared" si="4"/>
        <v>5</v>
      </c>
      <c r="B155" s="29"/>
      <c r="C155" s="27">
        <v>5</v>
      </c>
      <c r="D155" s="29"/>
      <c r="E155" s="29"/>
      <c r="F155" s="158">
        <v>4</v>
      </c>
      <c r="G155" s="55">
        <f t="shared" si="5"/>
        <v>1.25</v>
      </c>
    </row>
    <row r="156" spans="1:7" x14ac:dyDescent="0.2">
      <c r="A156" s="100">
        <f t="shared" si="4"/>
        <v>33</v>
      </c>
      <c r="B156" s="25">
        <v>7</v>
      </c>
      <c r="C156" s="28"/>
      <c r="D156" s="25">
        <v>26</v>
      </c>
      <c r="E156" s="28"/>
      <c r="F156" s="157">
        <v>4</v>
      </c>
      <c r="G156" s="55">
        <f t="shared" si="5"/>
        <v>8.25</v>
      </c>
    </row>
    <row r="157" spans="1:7" x14ac:dyDescent="0.2">
      <c r="A157" s="100">
        <f t="shared" si="4"/>
        <v>5</v>
      </c>
      <c r="B157" s="27">
        <v>5</v>
      </c>
      <c r="C157" s="29"/>
      <c r="D157" s="29"/>
      <c r="E157" s="29"/>
      <c r="F157" s="158">
        <v>5</v>
      </c>
      <c r="G157" s="55">
        <f t="shared" si="5"/>
        <v>1</v>
      </c>
    </row>
    <row r="158" spans="1:7" x14ac:dyDescent="0.2">
      <c r="A158" s="100">
        <f t="shared" si="4"/>
        <v>14</v>
      </c>
      <c r="B158" s="25">
        <v>14</v>
      </c>
      <c r="C158" s="28"/>
      <c r="D158" s="28"/>
      <c r="E158" s="28"/>
      <c r="F158" s="157">
        <v>3</v>
      </c>
      <c r="G158" s="55">
        <f t="shared" si="5"/>
        <v>4.666666666666667</v>
      </c>
    </row>
    <row r="159" spans="1:7" x14ac:dyDescent="0.2">
      <c r="A159" s="100">
        <f t="shared" si="4"/>
        <v>29</v>
      </c>
      <c r="B159" s="29"/>
      <c r="C159" s="27">
        <v>6</v>
      </c>
      <c r="D159" s="27">
        <v>23</v>
      </c>
      <c r="E159" s="29"/>
      <c r="F159" s="158">
        <v>4</v>
      </c>
      <c r="G159" s="55">
        <f t="shared" si="5"/>
        <v>7.25</v>
      </c>
    </row>
    <row r="160" spans="1:7" x14ac:dyDescent="0.2">
      <c r="A160" s="100">
        <f t="shared" si="4"/>
        <v>73</v>
      </c>
      <c r="B160" s="25">
        <v>8</v>
      </c>
      <c r="C160" s="28"/>
      <c r="D160" s="28"/>
      <c r="E160" s="25">
        <v>65</v>
      </c>
      <c r="F160" s="157">
        <v>6</v>
      </c>
      <c r="G160" s="55">
        <f t="shared" si="5"/>
        <v>12.166666666666666</v>
      </c>
    </row>
    <row r="161" spans="1:7" x14ac:dyDescent="0.2">
      <c r="A161" s="100">
        <f t="shared" si="4"/>
        <v>4</v>
      </c>
      <c r="B161" s="29"/>
      <c r="C161" s="27">
        <v>4</v>
      </c>
      <c r="D161" s="29"/>
      <c r="E161" s="29"/>
      <c r="F161" s="158">
        <v>4</v>
      </c>
      <c r="G161" s="55">
        <f t="shared" si="5"/>
        <v>1</v>
      </c>
    </row>
    <row r="162" spans="1:7" x14ac:dyDescent="0.2">
      <c r="A162" s="100">
        <f t="shared" si="4"/>
        <v>59</v>
      </c>
      <c r="B162" s="25">
        <v>9</v>
      </c>
      <c r="C162" s="28"/>
      <c r="D162" s="28"/>
      <c r="E162" s="25">
        <v>50</v>
      </c>
      <c r="F162" s="157">
        <v>4</v>
      </c>
      <c r="G162" s="55">
        <f t="shared" si="5"/>
        <v>14.75</v>
      </c>
    </row>
    <row r="163" spans="1:7" x14ac:dyDescent="0.2">
      <c r="A163" s="100">
        <f t="shared" si="4"/>
        <v>5</v>
      </c>
      <c r="B163" s="29"/>
      <c r="C163" s="27">
        <v>5</v>
      </c>
      <c r="D163" s="29"/>
      <c r="E163" s="29"/>
      <c r="F163" s="158">
        <v>3</v>
      </c>
      <c r="G163" s="55">
        <f t="shared" si="5"/>
        <v>1.6666666666666667</v>
      </c>
    </row>
    <row r="164" spans="1:7" x14ac:dyDescent="0.2">
      <c r="A164" s="100">
        <f t="shared" si="4"/>
        <v>27</v>
      </c>
      <c r="B164" s="25">
        <v>7</v>
      </c>
      <c r="C164" s="28"/>
      <c r="D164" s="25">
        <v>20</v>
      </c>
      <c r="E164" s="28"/>
      <c r="F164" s="157">
        <v>5</v>
      </c>
      <c r="G164" s="55">
        <f t="shared" si="5"/>
        <v>5.4</v>
      </c>
    </row>
    <row r="165" spans="1:7" x14ac:dyDescent="0.2">
      <c r="A165" s="100">
        <f t="shared" si="4"/>
        <v>6</v>
      </c>
      <c r="B165" s="29"/>
      <c r="C165" s="27">
        <v>6</v>
      </c>
      <c r="D165" s="29"/>
      <c r="E165" s="29"/>
      <c r="F165" s="158">
        <v>4</v>
      </c>
      <c r="G165" s="55">
        <f t="shared" si="5"/>
        <v>1.5</v>
      </c>
    </row>
    <row r="166" spans="1:7" x14ac:dyDescent="0.2">
      <c r="A166" s="100">
        <f t="shared" si="4"/>
        <v>64</v>
      </c>
      <c r="B166" s="25">
        <v>6</v>
      </c>
      <c r="C166" s="28"/>
      <c r="D166" s="25">
        <v>18</v>
      </c>
      <c r="E166" s="25">
        <v>40</v>
      </c>
      <c r="F166" s="157">
        <v>6</v>
      </c>
      <c r="G166" s="55">
        <f t="shared" si="5"/>
        <v>10.666666666666666</v>
      </c>
    </row>
    <row r="167" spans="1:7" x14ac:dyDescent="0.2">
      <c r="A167" s="100">
        <f t="shared" si="4"/>
        <v>25</v>
      </c>
      <c r="B167" s="29"/>
      <c r="C167" s="29"/>
      <c r="D167" s="27">
        <v>25</v>
      </c>
      <c r="E167" s="29"/>
      <c r="F167" s="158">
        <v>4</v>
      </c>
      <c r="G167" s="55">
        <f t="shared" si="5"/>
        <v>6.25</v>
      </c>
    </row>
    <row r="168" spans="1:7" x14ac:dyDescent="0.2">
      <c r="A168" s="100">
        <f t="shared" si="4"/>
        <v>40</v>
      </c>
      <c r="B168" s="25">
        <v>5</v>
      </c>
      <c r="C168" s="28"/>
      <c r="D168" s="28"/>
      <c r="E168" s="25">
        <v>35</v>
      </c>
      <c r="F168" s="157">
        <v>5</v>
      </c>
      <c r="G168" s="55">
        <f t="shared" si="5"/>
        <v>8</v>
      </c>
    </row>
    <row r="169" spans="1:7" x14ac:dyDescent="0.2">
      <c r="A169" s="100">
        <f t="shared" si="4"/>
        <v>8</v>
      </c>
      <c r="B169" s="29"/>
      <c r="C169" s="27">
        <v>8</v>
      </c>
      <c r="D169" s="29"/>
      <c r="E169" s="29"/>
      <c r="F169" s="158">
        <v>4</v>
      </c>
      <c r="G169" s="55">
        <f t="shared" si="5"/>
        <v>2</v>
      </c>
    </row>
    <row r="170" spans="1:7" x14ac:dyDescent="0.2">
      <c r="A170" s="100">
        <f t="shared" si="4"/>
        <v>78</v>
      </c>
      <c r="B170" s="25">
        <v>8</v>
      </c>
      <c r="C170" s="28"/>
      <c r="D170" s="25">
        <v>30</v>
      </c>
      <c r="E170" s="25">
        <v>40</v>
      </c>
      <c r="F170" s="157">
        <v>6</v>
      </c>
      <c r="G170" s="55">
        <f t="shared" si="5"/>
        <v>13</v>
      </c>
    </row>
    <row r="171" spans="1:7" x14ac:dyDescent="0.2">
      <c r="A171" s="100">
        <f t="shared" si="4"/>
        <v>5</v>
      </c>
      <c r="B171" s="29"/>
      <c r="C171" s="27">
        <v>5</v>
      </c>
      <c r="D171" s="29"/>
      <c r="E171" s="29"/>
      <c r="F171" s="158">
        <v>4</v>
      </c>
      <c r="G171" s="55">
        <f t="shared" si="5"/>
        <v>1.25</v>
      </c>
    </row>
    <row r="172" spans="1:7" x14ac:dyDescent="0.2">
      <c r="A172" s="100">
        <f t="shared" si="4"/>
        <v>40</v>
      </c>
      <c r="B172" s="25">
        <v>10</v>
      </c>
      <c r="C172" s="28"/>
      <c r="D172" s="25">
        <v>30</v>
      </c>
      <c r="E172" s="28"/>
      <c r="F172" s="157">
        <v>4</v>
      </c>
      <c r="G172" s="55">
        <f t="shared" si="5"/>
        <v>10</v>
      </c>
    </row>
    <row r="173" spans="1:7" x14ac:dyDescent="0.2">
      <c r="A173" s="100">
        <f t="shared" si="4"/>
        <v>4</v>
      </c>
      <c r="B173" s="27">
        <v>4</v>
      </c>
      <c r="C173" s="29"/>
      <c r="D173" s="29"/>
      <c r="E173" s="29"/>
      <c r="F173" s="158">
        <v>6</v>
      </c>
      <c r="G173" s="55">
        <f t="shared" si="5"/>
        <v>0.66666666666666663</v>
      </c>
    </row>
    <row r="174" spans="1:7" x14ac:dyDescent="0.2">
      <c r="A174" s="100">
        <f t="shared" si="4"/>
        <v>41</v>
      </c>
      <c r="B174" s="25">
        <v>6</v>
      </c>
      <c r="C174" s="28"/>
      <c r="D174" s="25">
        <v>35</v>
      </c>
      <c r="E174" s="28"/>
      <c r="F174" s="157">
        <v>4</v>
      </c>
      <c r="G174" s="55">
        <f t="shared" si="5"/>
        <v>10.25</v>
      </c>
    </row>
    <row r="175" spans="1:7" x14ac:dyDescent="0.2">
      <c r="A175" s="100">
        <f t="shared" si="4"/>
        <v>33</v>
      </c>
      <c r="B175" s="29"/>
      <c r="C175" s="27">
        <v>5</v>
      </c>
      <c r="D175" s="27">
        <v>28</v>
      </c>
      <c r="E175" s="29"/>
      <c r="F175" s="158">
        <v>3</v>
      </c>
      <c r="G175" s="55">
        <f t="shared" si="5"/>
        <v>11</v>
      </c>
    </row>
    <row r="176" spans="1:7" x14ac:dyDescent="0.2">
      <c r="A176" s="100">
        <f t="shared" si="4"/>
        <v>12</v>
      </c>
      <c r="B176" s="25">
        <v>12</v>
      </c>
      <c r="C176" s="28"/>
      <c r="D176" s="28"/>
      <c r="E176" s="28"/>
      <c r="F176" s="157">
        <v>4</v>
      </c>
      <c r="G176" s="55">
        <f t="shared" si="5"/>
        <v>3</v>
      </c>
    </row>
    <row r="177" spans="1:7" x14ac:dyDescent="0.2">
      <c r="A177" s="100">
        <f t="shared" si="4"/>
        <v>4</v>
      </c>
      <c r="B177" s="29"/>
      <c r="C177" s="27">
        <v>4</v>
      </c>
      <c r="D177" s="29"/>
      <c r="E177" s="29"/>
      <c r="F177" s="158">
        <v>3</v>
      </c>
      <c r="G177" s="55">
        <f t="shared" si="5"/>
        <v>1.3333333333333333</v>
      </c>
    </row>
    <row r="178" spans="1:7" x14ac:dyDescent="0.2">
      <c r="A178" s="100">
        <f t="shared" si="4"/>
        <v>62</v>
      </c>
      <c r="B178" s="25">
        <v>7</v>
      </c>
      <c r="C178" s="28"/>
      <c r="D178" s="28"/>
      <c r="E178" s="25">
        <v>55</v>
      </c>
      <c r="F178" s="157">
        <v>5</v>
      </c>
      <c r="G178" s="55">
        <f t="shared" si="5"/>
        <v>12.4</v>
      </c>
    </row>
    <row r="179" spans="1:7" x14ac:dyDescent="0.2">
      <c r="A179" s="100">
        <f t="shared" si="4"/>
        <v>13</v>
      </c>
      <c r="B179" s="27">
        <v>13</v>
      </c>
      <c r="C179" s="29"/>
      <c r="D179" s="29"/>
      <c r="E179" s="29"/>
      <c r="F179" s="158">
        <v>4</v>
      </c>
      <c r="G179" s="55">
        <f t="shared" si="5"/>
        <v>3.25</v>
      </c>
    </row>
    <row r="180" spans="1:7" x14ac:dyDescent="0.2">
      <c r="A180" s="100">
        <f t="shared" si="4"/>
        <v>5</v>
      </c>
      <c r="B180" s="28"/>
      <c r="C180" s="25">
        <v>5</v>
      </c>
      <c r="D180" s="28"/>
      <c r="E180" s="28"/>
      <c r="F180" s="157">
        <v>5</v>
      </c>
      <c r="G180" s="55">
        <f t="shared" si="5"/>
        <v>1</v>
      </c>
    </row>
    <row r="181" spans="1:7" x14ac:dyDescent="0.2">
      <c r="A181" s="100">
        <f t="shared" si="4"/>
        <v>77</v>
      </c>
      <c r="B181" s="27">
        <v>7</v>
      </c>
      <c r="C181" s="29"/>
      <c r="D181" s="29"/>
      <c r="E181" s="27">
        <v>70</v>
      </c>
      <c r="F181" s="158">
        <v>6</v>
      </c>
      <c r="G181" s="55">
        <f t="shared" si="5"/>
        <v>12.833333333333334</v>
      </c>
    </row>
    <row r="182" spans="1:7" x14ac:dyDescent="0.2">
      <c r="A182" s="100">
        <f t="shared" si="4"/>
        <v>32</v>
      </c>
      <c r="B182" s="28"/>
      <c r="C182" s="25">
        <v>4</v>
      </c>
      <c r="D182" s="25">
        <v>28</v>
      </c>
      <c r="E182" s="28"/>
      <c r="F182" s="157">
        <v>3</v>
      </c>
      <c r="G182" s="55">
        <f t="shared" si="5"/>
        <v>10.666666666666666</v>
      </c>
    </row>
    <row r="183" spans="1:7" x14ac:dyDescent="0.2">
      <c r="A183" s="100">
        <f t="shared" si="4"/>
        <v>15</v>
      </c>
      <c r="B183" s="27">
        <v>15</v>
      </c>
      <c r="C183" s="29"/>
      <c r="D183" s="29"/>
      <c r="E183" s="29"/>
      <c r="F183" s="158">
        <v>4</v>
      </c>
      <c r="G183" s="55">
        <f t="shared" si="5"/>
        <v>3.75</v>
      </c>
    </row>
    <row r="184" spans="1:7" x14ac:dyDescent="0.2">
      <c r="A184" s="100">
        <f t="shared" si="4"/>
        <v>121</v>
      </c>
      <c r="B184" s="25">
        <v>9</v>
      </c>
      <c r="C184" s="28"/>
      <c r="D184" s="25">
        <v>32</v>
      </c>
      <c r="E184" s="25">
        <v>80</v>
      </c>
      <c r="F184" s="157">
        <v>6</v>
      </c>
      <c r="G184" s="55">
        <f t="shared" si="5"/>
        <v>20.166666666666668</v>
      </c>
    </row>
    <row r="185" spans="1:7" x14ac:dyDescent="0.2">
      <c r="A185" s="100">
        <f t="shared" si="4"/>
        <v>4</v>
      </c>
      <c r="B185" s="29"/>
      <c r="C185" s="27">
        <v>4</v>
      </c>
      <c r="D185" s="29"/>
      <c r="E185" s="29"/>
      <c r="F185" s="158">
        <v>3</v>
      </c>
      <c r="G185" s="55">
        <f t="shared" si="5"/>
        <v>1.3333333333333333</v>
      </c>
    </row>
    <row r="186" spans="1:7" x14ac:dyDescent="0.2">
      <c r="A186" s="100">
        <f t="shared" si="4"/>
        <v>7</v>
      </c>
      <c r="B186" s="25">
        <v>7</v>
      </c>
      <c r="C186" s="28"/>
      <c r="D186" s="28"/>
      <c r="E186" s="28"/>
      <c r="F186" s="157">
        <v>5</v>
      </c>
      <c r="G186" s="55">
        <f t="shared" si="5"/>
        <v>1.4</v>
      </c>
    </row>
    <row r="187" spans="1:7" x14ac:dyDescent="0.2">
      <c r="A187" s="100">
        <f t="shared" si="4"/>
        <v>4</v>
      </c>
      <c r="B187" s="29"/>
      <c r="C187" s="27">
        <v>4</v>
      </c>
      <c r="D187" s="29"/>
      <c r="E187" s="29"/>
      <c r="F187" s="158">
        <v>4</v>
      </c>
      <c r="G187" s="55">
        <f t="shared" si="5"/>
        <v>1</v>
      </c>
    </row>
    <row r="188" spans="1:7" x14ac:dyDescent="0.2">
      <c r="A188" s="100">
        <f t="shared" si="4"/>
        <v>6</v>
      </c>
      <c r="B188" s="28"/>
      <c r="C188" s="25">
        <v>6</v>
      </c>
      <c r="D188" s="28"/>
      <c r="E188" s="28"/>
      <c r="F188" s="157">
        <v>4</v>
      </c>
      <c r="G188" s="55">
        <f t="shared" si="5"/>
        <v>1.5</v>
      </c>
    </row>
    <row r="189" spans="1:7" x14ac:dyDescent="0.2">
      <c r="A189" s="100">
        <f t="shared" si="4"/>
        <v>71</v>
      </c>
      <c r="B189" s="27">
        <v>9</v>
      </c>
      <c r="C189" s="29"/>
      <c r="D189" s="29"/>
      <c r="E189" s="27">
        <v>62</v>
      </c>
      <c r="F189" s="158">
        <v>6</v>
      </c>
      <c r="G189" s="55">
        <f t="shared" si="5"/>
        <v>11.833333333333334</v>
      </c>
    </row>
    <row r="190" spans="1:7" x14ac:dyDescent="0.2">
      <c r="A190" s="100">
        <f t="shared" si="4"/>
        <v>5</v>
      </c>
      <c r="B190" s="25">
        <v>5</v>
      </c>
      <c r="C190" s="28"/>
      <c r="D190" s="28"/>
      <c r="E190" s="28"/>
      <c r="F190" s="157">
        <v>6</v>
      </c>
      <c r="G190" s="55">
        <f t="shared" si="5"/>
        <v>0.83333333333333337</v>
      </c>
    </row>
    <row r="191" spans="1:7" x14ac:dyDescent="0.2">
      <c r="A191" s="100">
        <f t="shared" si="4"/>
        <v>31</v>
      </c>
      <c r="B191" s="27">
        <v>20</v>
      </c>
      <c r="C191" s="27">
        <v>11</v>
      </c>
      <c r="D191" s="29"/>
      <c r="E191" s="29"/>
      <c r="F191" s="158">
        <v>4</v>
      </c>
      <c r="G191" s="55">
        <f t="shared" si="5"/>
        <v>7.75</v>
      </c>
    </row>
    <row r="192" spans="1:7" x14ac:dyDescent="0.2">
      <c r="A192" s="100">
        <f t="shared" si="4"/>
        <v>10</v>
      </c>
      <c r="B192" s="28"/>
      <c r="C192" s="25">
        <v>10</v>
      </c>
      <c r="D192" s="28"/>
      <c r="E192" s="28"/>
      <c r="F192" s="157">
        <v>5</v>
      </c>
      <c r="G192" s="55">
        <f t="shared" si="5"/>
        <v>2</v>
      </c>
    </row>
    <row r="193" spans="1:7" x14ac:dyDescent="0.2">
      <c r="A193" s="100">
        <f t="shared" si="4"/>
        <v>20</v>
      </c>
      <c r="B193" s="27">
        <v>20</v>
      </c>
      <c r="C193" s="29"/>
      <c r="D193" s="29"/>
      <c r="E193" s="29"/>
      <c r="F193" s="158">
        <v>4</v>
      </c>
      <c r="G193" s="55">
        <f t="shared" si="5"/>
        <v>5</v>
      </c>
    </row>
    <row r="194" spans="1:7" x14ac:dyDescent="0.2">
      <c r="A194" s="100">
        <f t="shared" si="4"/>
        <v>24</v>
      </c>
      <c r="B194" s="28"/>
      <c r="C194" s="28"/>
      <c r="D194" s="28">
        <v>24</v>
      </c>
      <c r="E194" s="25"/>
      <c r="F194" s="157">
        <v>4</v>
      </c>
      <c r="G194" s="55">
        <f t="shared" si="5"/>
        <v>6</v>
      </c>
    </row>
    <row r="195" spans="1:7" x14ac:dyDescent="0.2">
      <c r="A195" s="100">
        <f t="shared" ref="A195:A258" si="6">IFERROR(B195,0)+IFERROR(C195,0)+IFERROR(D195,0)+IFERROR(E195,0)</f>
        <v>20</v>
      </c>
      <c r="B195" s="29"/>
      <c r="C195" s="27">
        <v>20</v>
      </c>
      <c r="D195" s="29"/>
      <c r="E195" s="29"/>
      <c r="F195" s="158">
        <v>5</v>
      </c>
      <c r="G195" s="55">
        <f t="shared" ref="G195:G258" si="7">IFERROR(A195/F195," ")</f>
        <v>4</v>
      </c>
    </row>
    <row r="196" spans="1:7" x14ac:dyDescent="0.2">
      <c r="A196" s="100">
        <f t="shared" si="6"/>
        <v>105</v>
      </c>
      <c r="B196" s="25">
        <v>90</v>
      </c>
      <c r="C196" s="25">
        <v>15</v>
      </c>
      <c r="D196" s="28"/>
      <c r="E196" s="28"/>
      <c r="F196" s="157">
        <v>4</v>
      </c>
      <c r="G196" s="55">
        <f t="shared" si="7"/>
        <v>26.25</v>
      </c>
    </row>
    <row r="197" spans="1:7" x14ac:dyDescent="0.2">
      <c r="A197" s="100">
        <f t="shared" si="6"/>
        <v>10</v>
      </c>
      <c r="B197" s="27">
        <v>10</v>
      </c>
      <c r="C197" s="29"/>
      <c r="D197" s="29"/>
      <c r="E197" s="29"/>
      <c r="F197" s="158">
        <v>4</v>
      </c>
      <c r="G197" s="55">
        <f t="shared" si="7"/>
        <v>2.5</v>
      </c>
    </row>
    <row r="198" spans="1:7" x14ac:dyDescent="0.2">
      <c r="A198" s="100">
        <f t="shared" si="6"/>
        <v>49</v>
      </c>
      <c r="B198" s="25">
        <v>30</v>
      </c>
      <c r="C198" s="25">
        <v>19</v>
      </c>
      <c r="D198" s="28"/>
      <c r="E198" s="28"/>
      <c r="F198" s="157">
        <v>5</v>
      </c>
      <c r="G198" s="55">
        <f t="shared" si="7"/>
        <v>9.8000000000000007</v>
      </c>
    </row>
    <row r="199" spans="1:7" x14ac:dyDescent="0.2">
      <c r="A199" s="100">
        <f t="shared" si="6"/>
        <v>4</v>
      </c>
      <c r="B199" s="29"/>
      <c r="C199" s="27">
        <v>4</v>
      </c>
      <c r="D199" s="29"/>
      <c r="E199" s="29"/>
      <c r="F199" s="158">
        <v>3</v>
      </c>
      <c r="G199" s="55">
        <f t="shared" si="7"/>
        <v>1.3333333333333333</v>
      </c>
    </row>
    <row r="200" spans="1:7" x14ac:dyDescent="0.2">
      <c r="A200" s="100">
        <f t="shared" si="6"/>
        <v>90</v>
      </c>
      <c r="B200" s="25">
        <v>30</v>
      </c>
      <c r="C200" s="25">
        <v>15</v>
      </c>
      <c r="D200" s="25">
        <v>45</v>
      </c>
      <c r="E200" s="28"/>
      <c r="F200" s="157">
        <v>3</v>
      </c>
      <c r="G200" s="55">
        <f t="shared" si="7"/>
        <v>30</v>
      </c>
    </row>
    <row r="201" spans="1:7" x14ac:dyDescent="0.2">
      <c r="A201" s="100">
        <f t="shared" si="6"/>
        <v>8</v>
      </c>
      <c r="B201" s="29">
        <v>8</v>
      </c>
      <c r="C201" s="29"/>
      <c r="D201" s="29"/>
      <c r="E201" s="29"/>
      <c r="F201" s="158">
        <v>6</v>
      </c>
      <c r="G201" s="55">
        <f t="shared" si="7"/>
        <v>1.3333333333333333</v>
      </c>
    </row>
    <row r="202" spans="1:7" x14ac:dyDescent="0.2">
      <c r="A202" s="100">
        <f t="shared" si="6"/>
        <v>75</v>
      </c>
      <c r="B202" s="25">
        <v>30</v>
      </c>
      <c r="C202" s="25">
        <v>30</v>
      </c>
      <c r="D202" s="25">
        <v>15</v>
      </c>
      <c r="E202" s="25"/>
      <c r="F202" s="157">
        <v>4</v>
      </c>
      <c r="G202" s="55">
        <f t="shared" si="7"/>
        <v>18.75</v>
      </c>
    </row>
    <row r="203" spans="1:7" x14ac:dyDescent="0.2">
      <c r="A203" s="100">
        <f t="shared" si="6"/>
        <v>12</v>
      </c>
      <c r="B203" s="27"/>
      <c r="C203" s="27">
        <v>12</v>
      </c>
      <c r="D203" s="29"/>
      <c r="E203" s="29"/>
      <c r="F203" s="158">
        <v>5</v>
      </c>
      <c r="G203" s="55">
        <f t="shared" si="7"/>
        <v>2.4</v>
      </c>
    </row>
    <row r="204" spans="1:7" x14ac:dyDescent="0.2">
      <c r="A204" s="100">
        <f t="shared" si="6"/>
        <v>15</v>
      </c>
      <c r="B204" s="25">
        <v>15</v>
      </c>
      <c r="C204" s="28"/>
      <c r="D204" s="28"/>
      <c r="E204" s="28"/>
      <c r="F204" s="157">
        <v>5</v>
      </c>
      <c r="G204" s="55">
        <f t="shared" si="7"/>
        <v>3</v>
      </c>
    </row>
    <row r="205" spans="1:7" x14ac:dyDescent="0.2">
      <c r="A205" s="100">
        <f t="shared" si="6"/>
        <v>45</v>
      </c>
      <c r="B205" s="27">
        <v>30</v>
      </c>
      <c r="C205" s="27">
        <v>15</v>
      </c>
      <c r="D205" s="29"/>
      <c r="E205" s="29"/>
      <c r="F205" s="158">
        <v>4</v>
      </c>
      <c r="G205" s="55">
        <f t="shared" si="7"/>
        <v>11.25</v>
      </c>
    </row>
    <row r="206" spans="1:7" x14ac:dyDescent="0.2">
      <c r="A206" s="100">
        <f t="shared" si="6"/>
        <v>7</v>
      </c>
      <c r="B206" s="25">
        <v>5</v>
      </c>
      <c r="C206" s="25">
        <v>2</v>
      </c>
      <c r="D206" s="28"/>
      <c r="E206" s="28"/>
      <c r="F206" s="157">
        <v>5</v>
      </c>
      <c r="G206" s="55">
        <f t="shared" si="7"/>
        <v>1.4</v>
      </c>
    </row>
    <row r="207" spans="1:7" x14ac:dyDescent="0.2">
      <c r="A207" s="100">
        <f t="shared" si="6"/>
        <v>15</v>
      </c>
      <c r="B207" s="27">
        <v>5</v>
      </c>
      <c r="C207" s="27">
        <v>10</v>
      </c>
      <c r="D207" s="29"/>
      <c r="E207" s="29"/>
      <c r="F207" s="158">
        <v>4</v>
      </c>
      <c r="G207" s="55">
        <f t="shared" si="7"/>
        <v>3.75</v>
      </c>
    </row>
    <row r="208" spans="1:7" x14ac:dyDescent="0.2">
      <c r="A208" s="100">
        <f t="shared" si="6"/>
        <v>10</v>
      </c>
      <c r="B208" s="25">
        <v>10</v>
      </c>
      <c r="C208" s="28"/>
      <c r="D208" s="28"/>
      <c r="E208" s="28"/>
      <c r="F208" s="157">
        <v>5</v>
      </c>
      <c r="G208" s="55">
        <f t="shared" si="7"/>
        <v>2</v>
      </c>
    </row>
    <row r="209" spans="1:7" x14ac:dyDescent="0.2">
      <c r="A209" s="100">
        <f t="shared" si="6"/>
        <v>14</v>
      </c>
      <c r="B209" s="29">
        <v>8</v>
      </c>
      <c r="C209" s="29">
        <v>6</v>
      </c>
      <c r="D209" s="29"/>
      <c r="E209" s="29"/>
      <c r="F209" s="158">
        <v>10</v>
      </c>
      <c r="G209" s="55">
        <f t="shared" si="7"/>
        <v>1.4</v>
      </c>
    </row>
    <row r="210" spans="1:7" x14ac:dyDescent="0.2">
      <c r="A210" s="100">
        <f t="shared" si="6"/>
        <v>53</v>
      </c>
      <c r="B210" s="25">
        <v>53</v>
      </c>
      <c r="C210" s="25"/>
      <c r="D210" s="28"/>
      <c r="E210" s="28"/>
      <c r="F210" s="157">
        <v>5</v>
      </c>
      <c r="G210" s="55">
        <f t="shared" si="7"/>
        <v>10.6</v>
      </c>
    </row>
    <row r="211" spans="1:7" x14ac:dyDescent="0.2">
      <c r="A211" s="100">
        <f t="shared" si="6"/>
        <v>10</v>
      </c>
      <c r="B211" s="27">
        <v>10</v>
      </c>
      <c r="C211" s="29"/>
      <c r="D211" s="29"/>
      <c r="E211" s="29"/>
      <c r="F211" s="158">
        <v>4</v>
      </c>
      <c r="G211" s="55">
        <f t="shared" si="7"/>
        <v>2.5</v>
      </c>
    </row>
    <row r="212" spans="1:7" x14ac:dyDescent="0.2">
      <c r="A212" s="100">
        <f t="shared" si="6"/>
        <v>30</v>
      </c>
      <c r="B212" s="25">
        <v>30</v>
      </c>
      <c r="C212" s="28"/>
      <c r="D212" s="28"/>
      <c r="E212" s="28"/>
      <c r="F212" s="157">
        <v>4</v>
      </c>
      <c r="G212" s="55">
        <f t="shared" si="7"/>
        <v>7.5</v>
      </c>
    </row>
    <row r="213" spans="1:7" x14ac:dyDescent="0.2">
      <c r="A213" s="100">
        <f t="shared" si="6"/>
        <v>60</v>
      </c>
      <c r="B213" s="27">
        <v>30</v>
      </c>
      <c r="C213" s="27">
        <v>30</v>
      </c>
      <c r="D213" s="29"/>
      <c r="E213" s="29"/>
      <c r="F213" s="158">
        <v>6</v>
      </c>
      <c r="G213" s="55">
        <f t="shared" si="7"/>
        <v>10</v>
      </c>
    </row>
    <row r="214" spans="1:7" x14ac:dyDescent="0.2">
      <c r="A214" s="100">
        <f t="shared" si="6"/>
        <v>30</v>
      </c>
      <c r="B214" s="25">
        <v>30</v>
      </c>
      <c r="C214" s="25"/>
      <c r="D214" s="25"/>
      <c r="E214" s="28"/>
      <c r="F214" s="157">
        <v>4</v>
      </c>
      <c r="G214" s="55">
        <f t="shared" si="7"/>
        <v>7.5</v>
      </c>
    </row>
    <row r="215" spans="1:7" x14ac:dyDescent="0.2">
      <c r="A215" s="100">
        <f t="shared" si="6"/>
        <v>20</v>
      </c>
      <c r="B215" s="27">
        <v>20</v>
      </c>
      <c r="C215" s="27"/>
      <c r="D215" s="29"/>
      <c r="E215" s="29"/>
      <c r="F215" s="158">
        <v>6</v>
      </c>
      <c r="G215" s="55">
        <f t="shared" si="7"/>
        <v>3.3333333333333335</v>
      </c>
    </row>
    <row r="216" spans="1:7" x14ac:dyDescent="0.2">
      <c r="A216" s="100">
        <f t="shared" si="6"/>
        <v>5</v>
      </c>
      <c r="B216" s="28"/>
      <c r="C216" s="28"/>
      <c r="D216" s="25">
        <v>5</v>
      </c>
      <c r="E216" s="28"/>
      <c r="F216" s="157">
        <v>4</v>
      </c>
      <c r="G216" s="55">
        <f t="shared" si="7"/>
        <v>1.25</v>
      </c>
    </row>
    <row r="217" spans="1:7" x14ac:dyDescent="0.2">
      <c r="A217" s="100">
        <f t="shared" si="6"/>
        <v>8</v>
      </c>
      <c r="B217" s="29">
        <v>8</v>
      </c>
      <c r="C217" s="29"/>
      <c r="D217" s="29"/>
      <c r="E217" s="29"/>
      <c r="F217" s="158">
        <v>4</v>
      </c>
      <c r="G217" s="55">
        <f t="shared" si="7"/>
        <v>2</v>
      </c>
    </row>
    <row r="218" spans="1:7" x14ac:dyDescent="0.2">
      <c r="A218" s="100">
        <f t="shared" si="6"/>
        <v>28.5</v>
      </c>
      <c r="B218" s="25">
        <v>3.5</v>
      </c>
      <c r="C218" s="28"/>
      <c r="D218" s="25">
        <v>25</v>
      </c>
      <c r="E218" s="28"/>
      <c r="F218" s="157">
        <v>4</v>
      </c>
      <c r="G218" s="55">
        <f t="shared" si="7"/>
        <v>7.125</v>
      </c>
    </row>
    <row r="219" spans="1:7" x14ac:dyDescent="0.2">
      <c r="A219" s="100">
        <f t="shared" si="6"/>
        <v>15</v>
      </c>
      <c r="B219" s="29"/>
      <c r="C219" s="27">
        <v>15</v>
      </c>
      <c r="D219" s="29"/>
      <c r="E219" s="29"/>
      <c r="F219" s="158">
        <v>5</v>
      </c>
      <c r="G219" s="55">
        <f t="shared" si="7"/>
        <v>3</v>
      </c>
    </row>
    <row r="220" spans="1:7" x14ac:dyDescent="0.2">
      <c r="A220" s="100">
        <f t="shared" si="6"/>
        <v>4</v>
      </c>
      <c r="B220" s="25">
        <v>4</v>
      </c>
      <c r="C220" s="28"/>
      <c r="D220" s="28"/>
      <c r="E220" s="28"/>
      <c r="F220" s="157">
        <v>6</v>
      </c>
      <c r="G220" s="55">
        <f t="shared" si="7"/>
        <v>0.66666666666666663</v>
      </c>
    </row>
    <row r="221" spans="1:7" x14ac:dyDescent="0.2">
      <c r="A221" s="100">
        <f t="shared" si="6"/>
        <v>33.5</v>
      </c>
      <c r="B221" s="27">
        <v>3.5</v>
      </c>
      <c r="C221" s="29"/>
      <c r="D221" s="27">
        <v>30</v>
      </c>
      <c r="E221" s="29"/>
      <c r="F221" s="158">
        <v>5</v>
      </c>
      <c r="G221" s="55">
        <f t="shared" si="7"/>
        <v>6.7</v>
      </c>
    </row>
    <row r="222" spans="1:7" x14ac:dyDescent="0.2">
      <c r="A222" s="100">
        <f t="shared" si="6"/>
        <v>45</v>
      </c>
      <c r="B222" s="25">
        <v>10</v>
      </c>
      <c r="C222" s="28"/>
      <c r="D222" s="25">
        <v>35</v>
      </c>
      <c r="E222" s="28"/>
      <c r="F222" s="157">
        <v>4</v>
      </c>
      <c r="G222" s="55">
        <f t="shared" si="7"/>
        <v>11.25</v>
      </c>
    </row>
    <row r="223" spans="1:7" x14ac:dyDescent="0.2">
      <c r="A223" s="100">
        <f t="shared" si="6"/>
        <v>8</v>
      </c>
      <c r="B223" s="29"/>
      <c r="C223" s="27">
        <v>8</v>
      </c>
      <c r="D223" s="29"/>
      <c r="E223" s="29"/>
      <c r="F223" s="158">
        <v>3</v>
      </c>
      <c r="G223" s="55">
        <f t="shared" si="7"/>
        <v>2.6666666666666665</v>
      </c>
    </row>
    <row r="224" spans="1:7" x14ac:dyDescent="0.2">
      <c r="A224" s="100">
        <f t="shared" si="6"/>
        <v>48</v>
      </c>
      <c r="B224" s="25">
        <v>7</v>
      </c>
      <c r="C224" s="28"/>
      <c r="D224" s="25">
        <v>40</v>
      </c>
      <c r="E224" s="25">
        <v>1</v>
      </c>
      <c r="F224" s="157">
        <v>4</v>
      </c>
      <c r="G224" s="55">
        <f t="shared" si="7"/>
        <v>12</v>
      </c>
    </row>
    <row r="225" spans="1:7" x14ac:dyDescent="0.2">
      <c r="A225" s="100">
        <f t="shared" si="6"/>
        <v>7</v>
      </c>
      <c r="B225" s="27">
        <v>7</v>
      </c>
      <c r="C225" s="29"/>
      <c r="D225" s="29"/>
      <c r="E225" s="29"/>
      <c r="F225" s="158">
        <v>5</v>
      </c>
      <c r="G225" s="55">
        <f t="shared" si="7"/>
        <v>1.4</v>
      </c>
    </row>
    <row r="226" spans="1:7" x14ac:dyDescent="0.2">
      <c r="A226" s="100">
        <f t="shared" si="6"/>
        <v>73</v>
      </c>
      <c r="B226" s="25">
        <v>3</v>
      </c>
      <c r="C226" s="28"/>
      <c r="D226" s="25"/>
      <c r="E226" s="28">
        <v>70</v>
      </c>
      <c r="F226" s="157">
        <v>6</v>
      </c>
      <c r="G226" s="55">
        <f t="shared" si="7"/>
        <v>12.166666666666666</v>
      </c>
    </row>
    <row r="227" spans="1:7" x14ac:dyDescent="0.2">
      <c r="A227" s="100">
        <f t="shared" si="6"/>
        <v>9</v>
      </c>
      <c r="B227" s="29"/>
      <c r="C227" s="27">
        <v>9</v>
      </c>
      <c r="D227" s="29"/>
      <c r="E227" s="29"/>
      <c r="F227" s="158">
        <v>3</v>
      </c>
      <c r="G227" s="55">
        <f t="shared" si="7"/>
        <v>3</v>
      </c>
    </row>
    <row r="228" spans="1:7" x14ac:dyDescent="0.2">
      <c r="A228" s="100">
        <f t="shared" si="6"/>
        <v>131</v>
      </c>
      <c r="B228" s="25">
        <v>8</v>
      </c>
      <c r="C228" s="28"/>
      <c r="D228" s="25">
        <v>38</v>
      </c>
      <c r="E228" s="25">
        <v>85</v>
      </c>
      <c r="F228" s="157">
        <v>4</v>
      </c>
      <c r="G228" s="55">
        <f t="shared" si="7"/>
        <v>32.75</v>
      </c>
    </row>
    <row r="229" spans="1:7" x14ac:dyDescent="0.2">
      <c r="A229" s="100">
        <f t="shared" si="6"/>
        <v>20</v>
      </c>
      <c r="B229" s="29"/>
      <c r="C229" s="29"/>
      <c r="D229" s="27">
        <v>20</v>
      </c>
      <c r="E229" s="29"/>
      <c r="F229" s="158">
        <v>5</v>
      </c>
      <c r="G229" s="55">
        <f t="shared" si="7"/>
        <v>4</v>
      </c>
    </row>
    <row r="230" spans="1:7" x14ac:dyDescent="0.2">
      <c r="A230" s="100">
        <f t="shared" si="6"/>
        <v>80</v>
      </c>
      <c r="B230" s="25">
        <v>5</v>
      </c>
      <c r="C230" s="28"/>
      <c r="D230" s="28"/>
      <c r="E230" s="25">
        <v>75</v>
      </c>
      <c r="F230" s="157">
        <v>5</v>
      </c>
      <c r="G230" s="55">
        <f t="shared" si="7"/>
        <v>16</v>
      </c>
    </row>
    <row r="231" spans="1:7" x14ac:dyDescent="0.2">
      <c r="A231" s="100">
        <f t="shared" si="6"/>
        <v>7</v>
      </c>
      <c r="B231" s="29"/>
      <c r="C231" s="27">
        <v>7</v>
      </c>
      <c r="D231" s="29"/>
      <c r="E231" s="29"/>
      <c r="F231" s="158">
        <v>3</v>
      </c>
      <c r="G231" s="55">
        <f t="shared" si="7"/>
        <v>2.3333333333333335</v>
      </c>
    </row>
    <row r="232" spans="1:7" x14ac:dyDescent="0.2">
      <c r="A232" s="100">
        <f t="shared" si="6"/>
        <v>12</v>
      </c>
      <c r="B232" s="25">
        <v>12</v>
      </c>
      <c r="C232" s="28"/>
      <c r="D232" s="28"/>
      <c r="E232" s="28"/>
      <c r="F232" s="157">
        <v>4</v>
      </c>
      <c r="G232" s="55">
        <f t="shared" si="7"/>
        <v>3</v>
      </c>
    </row>
    <row r="233" spans="1:7" x14ac:dyDescent="0.2">
      <c r="A233" s="100">
        <f t="shared" si="6"/>
        <v>5</v>
      </c>
      <c r="B233" s="29"/>
      <c r="C233" s="27">
        <v>5</v>
      </c>
      <c r="D233" s="29"/>
      <c r="E233" s="29"/>
      <c r="F233" s="158">
        <v>4</v>
      </c>
      <c r="G233" s="55">
        <f t="shared" si="7"/>
        <v>1.25</v>
      </c>
    </row>
    <row r="234" spans="1:7" x14ac:dyDescent="0.2">
      <c r="A234" s="100">
        <f t="shared" si="6"/>
        <v>71</v>
      </c>
      <c r="B234" s="25">
        <v>6</v>
      </c>
      <c r="C234" s="28"/>
      <c r="D234" s="28"/>
      <c r="E234" s="25">
        <v>65</v>
      </c>
      <c r="F234" s="157">
        <v>6</v>
      </c>
      <c r="G234" s="55">
        <f t="shared" si="7"/>
        <v>11.833333333333334</v>
      </c>
    </row>
    <row r="235" spans="1:7" x14ac:dyDescent="0.2">
      <c r="A235" s="100">
        <f t="shared" si="6"/>
        <v>24</v>
      </c>
      <c r="B235" s="27"/>
      <c r="C235" s="29"/>
      <c r="D235" s="29">
        <v>24</v>
      </c>
      <c r="E235" s="29"/>
      <c r="F235" s="158">
        <v>2</v>
      </c>
      <c r="G235" s="55">
        <f t="shared" si="7"/>
        <v>12</v>
      </c>
    </row>
    <row r="236" spans="1:7" x14ac:dyDescent="0.2">
      <c r="A236" s="100">
        <f t="shared" si="6"/>
        <v>131</v>
      </c>
      <c r="B236" s="25">
        <v>8</v>
      </c>
      <c r="C236" s="28"/>
      <c r="D236" s="25">
        <v>28</v>
      </c>
      <c r="E236" s="25">
        <v>95</v>
      </c>
      <c r="F236" s="157">
        <v>5</v>
      </c>
      <c r="G236" s="55">
        <f t="shared" si="7"/>
        <v>26.2</v>
      </c>
    </row>
    <row r="237" spans="1:7" x14ac:dyDescent="0.2">
      <c r="A237" s="100">
        <f t="shared" si="6"/>
        <v>4</v>
      </c>
      <c r="B237" s="29"/>
      <c r="C237" s="27">
        <v>4</v>
      </c>
      <c r="D237" s="29"/>
      <c r="E237" s="29"/>
      <c r="F237" s="158">
        <v>4</v>
      </c>
      <c r="G237" s="55">
        <f t="shared" si="7"/>
        <v>1</v>
      </c>
    </row>
    <row r="238" spans="1:7" x14ac:dyDescent="0.2">
      <c r="A238" s="100">
        <f t="shared" si="6"/>
        <v>25</v>
      </c>
      <c r="B238" s="25">
        <v>5</v>
      </c>
      <c r="C238" s="28"/>
      <c r="D238" s="25">
        <v>20</v>
      </c>
      <c r="E238" s="28"/>
      <c r="F238" s="157">
        <v>4</v>
      </c>
      <c r="G238" s="55">
        <f t="shared" si="7"/>
        <v>6.25</v>
      </c>
    </row>
    <row r="239" spans="1:7" x14ac:dyDescent="0.2">
      <c r="A239" s="100">
        <f t="shared" si="6"/>
        <v>7</v>
      </c>
      <c r="B239" s="27">
        <v>7</v>
      </c>
      <c r="C239" s="29"/>
      <c r="D239" s="29"/>
      <c r="E239" s="29"/>
      <c r="F239" s="158">
        <v>5</v>
      </c>
      <c r="G239" s="55">
        <f t="shared" si="7"/>
        <v>1.4</v>
      </c>
    </row>
    <row r="240" spans="1:7" x14ac:dyDescent="0.2">
      <c r="A240" s="100">
        <f t="shared" si="6"/>
        <v>59</v>
      </c>
      <c r="B240" s="25">
        <v>4</v>
      </c>
      <c r="C240" s="28"/>
      <c r="D240" s="28"/>
      <c r="E240" s="25">
        <v>55</v>
      </c>
      <c r="F240" s="157">
        <v>6</v>
      </c>
      <c r="G240" s="55">
        <f t="shared" si="7"/>
        <v>9.8333333333333339</v>
      </c>
    </row>
    <row r="241" spans="1:7" x14ac:dyDescent="0.2">
      <c r="A241" s="100">
        <f t="shared" si="6"/>
        <v>32</v>
      </c>
      <c r="B241" s="29"/>
      <c r="C241" s="29"/>
      <c r="D241" s="27">
        <v>32</v>
      </c>
      <c r="E241" s="29"/>
      <c r="F241" s="158">
        <v>3</v>
      </c>
      <c r="G241" s="55">
        <f t="shared" si="7"/>
        <v>10.666666666666666</v>
      </c>
    </row>
    <row r="242" spans="1:7" x14ac:dyDescent="0.2">
      <c r="A242" s="100">
        <f t="shared" si="6"/>
        <v>10</v>
      </c>
      <c r="B242" s="25">
        <v>10</v>
      </c>
      <c r="C242" s="28"/>
      <c r="D242" s="28"/>
      <c r="E242" s="28"/>
      <c r="F242" s="157">
        <v>5</v>
      </c>
      <c r="G242" s="55">
        <f t="shared" si="7"/>
        <v>2</v>
      </c>
    </row>
    <row r="243" spans="1:7" x14ac:dyDescent="0.2">
      <c r="A243" s="100">
        <f t="shared" si="6"/>
        <v>7</v>
      </c>
      <c r="B243" s="29"/>
      <c r="C243" s="27">
        <v>7</v>
      </c>
      <c r="D243" s="29"/>
      <c r="E243" s="29"/>
      <c r="F243" s="158">
        <v>3</v>
      </c>
      <c r="G243" s="55">
        <f t="shared" si="7"/>
        <v>2.3333333333333335</v>
      </c>
    </row>
    <row r="244" spans="1:7" x14ac:dyDescent="0.2">
      <c r="A244" s="100">
        <f t="shared" si="6"/>
        <v>29</v>
      </c>
      <c r="B244" s="25">
        <v>7</v>
      </c>
      <c r="C244" s="28"/>
      <c r="D244" s="25">
        <v>22</v>
      </c>
      <c r="E244" s="28"/>
      <c r="F244" s="157">
        <v>5</v>
      </c>
      <c r="G244" s="55">
        <f t="shared" si="7"/>
        <v>5.8</v>
      </c>
    </row>
    <row r="245" spans="1:7" x14ac:dyDescent="0.2">
      <c r="A245" s="100">
        <f t="shared" si="6"/>
        <v>8</v>
      </c>
      <c r="B245" s="27">
        <v>8</v>
      </c>
      <c r="C245" s="29"/>
      <c r="D245" s="29"/>
      <c r="E245" s="29"/>
      <c r="F245" s="158">
        <v>4</v>
      </c>
      <c r="G245" s="55">
        <f t="shared" si="7"/>
        <v>2</v>
      </c>
    </row>
    <row r="246" spans="1:7" x14ac:dyDescent="0.2">
      <c r="A246" s="100">
        <f t="shared" si="6"/>
        <v>75</v>
      </c>
      <c r="B246" s="25">
        <v>5</v>
      </c>
      <c r="C246" s="28"/>
      <c r="D246" s="28"/>
      <c r="E246" s="25">
        <v>70</v>
      </c>
      <c r="F246" s="157">
        <v>6</v>
      </c>
      <c r="G246" s="55">
        <f t="shared" si="7"/>
        <v>12.5</v>
      </c>
    </row>
    <row r="247" spans="1:7" x14ac:dyDescent="0.2">
      <c r="A247" s="100">
        <f t="shared" si="6"/>
        <v>24</v>
      </c>
      <c r="B247" s="29"/>
      <c r="C247" s="29"/>
      <c r="D247" s="27">
        <v>24</v>
      </c>
      <c r="E247" s="29"/>
      <c r="F247" s="158">
        <v>6</v>
      </c>
      <c r="G247" s="55">
        <f t="shared" si="7"/>
        <v>4</v>
      </c>
    </row>
    <row r="248" spans="1:7" x14ac:dyDescent="0.2">
      <c r="A248" s="100">
        <f t="shared" si="6"/>
        <v>4</v>
      </c>
      <c r="B248" s="28"/>
      <c r="C248" s="25">
        <v>4</v>
      </c>
      <c r="D248" s="28"/>
      <c r="E248" s="28"/>
      <c r="F248" s="157">
        <v>4</v>
      </c>
      <c r="G248" s="55">
        <f t="shared" si="7"/>
        <v>1</v>
      </c>
    </row>
    <row r="249" spans="1:7" x14ac:dyDescent="0.2">
      <c r="A249" s="100">
        <f t="shared" si="6"/>
        <v>6</v>
      </c>
      <c r="B249" s="27">
        <v>6</v>
      </c>
      <c r="C249" s="29"/>
      <c r="D249" s="29"/>
      <c r="E249" s="29"/>
      <c r="F249" s="158">
        <v>3</v>
      </c>
      <c r="G249" s="55">
        <f t="shared" si="7"/>
        <v>2</v>
      </c>
    </row>
    <row r="250" spans="1:7" x14ac:dyDescent="0.2">
      <c r="A250" s="100">
        <f t="shared" si="6"/>
        <v>109</v>
      </c>
      <c r="B250" s="25">
        <v>4</v>
      </c>
      <c r="C250" s="28"/>
      <c r="D250" s="25">
        <v>20</v>
      </c>
      <c r="E250" s="25">
        <v>85</v>
      </c>
      <c r="F250" s="157">
        <v>5</v>
      </c>
      <c r="G250" s="55">
        <f t="shared" si="7"/>
        <v>21.8</v>
      </c>
    </row>
    <row r="251" spans="1:7" x14ac:dyDescent="0.2">
      <c r="A251" s="100">
        <f t="shared" si="6"/>
        <v>26</v>
      </c>
      <c r="B251" s="29"/>
      <c r="C251" s="29"/>
      <c r="D251" s="27">
        <v>26</v>
      </c>
      <c r="E251" s="29"/>
      <c r="F251" s="158">
        <v>4</v>
      </c>
      <c r="G251" s="55">
        <f t="shared" si="7"/>
        <v>6.5</v>
      </c>
    </row>
    <row r="252" spans="1:7" x14ac:dyDescent="0.2">
      <c r="A252" s="100">
        <f t="shared" si="6"/>
        <v>11</v>
      </c>
      <c r="B252" s="25">
        <v>11</v>
      </c>
      <c r="C252" s="28"/>
      <c r="D252" s="28"/>
      <c r="E252" s="28"/>
      <c r="F252" s="157">
        <v>4</v>
      </c>
      <c r="G252" s="55">
        <f t="shared" si="7"/>
        <v>2.75</v>
      </c>
    </row>
    <row r="253" spans="1:7" x14ac:dyDescent="0.2">
      <c r="A253" s="100">
        <f t="shared" si="6"/>
        <v>6</v>
      </c>
      <c r="B253" s="29"/>
      <c r="C253" s="27">
        <v>6</v>
      </c>
      <c r="D253" s="29"/>
      <c r="E253" s="29"/>
      <c r="F253" s="158">
        <v>5</v>
      </c>
      <c r="G253" s="55">
        <f t="shared" si="7"/>
        <v>1.2</v>
      </c>
    </row>
    <row r="254" spans="1:7" x14ac:dyDescent="0.2">
      <c r="A254" s="100">
        <f t="shared" si="6"/>
        <v>79</v>
      </c>
      <c r="B254" s="25">
        <v>4</v>
      </c>
      <c r="C254" s="28"/>
      <c r="D254" s="28"/>
      <c r="E254" s="25">
        <v>75</v>
      </c>
      <c r="F254" s="157">
        <v>6</v>
      </c>
      <c r="G254" s="55">
        <f t="shared" si="7"/>
        <v>13.166666666666666</v>
      </c>
    </row>
    <row r="255" spans="1:7" x14ac:dyDescent="0.2">
      <c r="A255" s="100">
        <f t="shared" si="6"/>
        <v>30</v>
      </c>
      <c r="B255" s="29"/>
      <c r="C255" s="29"/>
      <c r="D255" s="27">
        <v>30</v>
      </c>
      <c r="E255" s="29"/>
      <c r="F255" s="158">
        <v>4</v>
      </c>
      <c r="G255" s="55">
        <f t="shared" si="7"/>
        <v>7.5</v>
      </c>
    </row>
    <row r="256" spans="1:7" x14ac:dyDescent="0.2">
      <c r="A256" s="100">
        <f t="shared" si="6"/>
        <v>4</v>
      </c>
      <c r="B256" s="25">
        <v>4</v>
      </c>
      <c r="C256" s="28"/>
      <c r="D256" s="28"/>
      <c r="E256" s="28"/>
      <c r="F256" s="157">
        <v>5</v>
      </c>
      <c r="G256" s="55">
        <f t="shared" si="7"/>
        <v>0.8</v>
      </c>
    </row>
    <row r="257" spans="1:7" x14ac:dyDescent="0.2">
      <c r="A257" s="100">
        <f t="shared" si="6"/>
        <v>28</v>
      </c>
      <c r="B257" s="27">
        <v>6</v>
      </c>
      <c r="C257" s="29"/>
      <c r="D257" s="27">
        <v>22</v>
      </c>
      <c r="E257" s="29"/>
      <c r="F257" s="158">
        <v>4</v>
      </c>
      <c r="G257" s="55">
        <f t="shared" si="7"/>
        <v>7</v>
      </c>
    </row>
    <row r="258" spans="1:7" x14ac:dyDescent="0.2">
      <c r="A258" s="100">
        <f t="shared" si="6"/>
        <v>5</v>
      </c>
      <c r="B258" s="28"/>
      <c r="C258" s="25">
        <v>5</v>
      </c>
      <c r="D258" s="28"/>
      <c r="E258" s="28"/>
      <c r="F258" s="157">
        <v>3</v>
      </c>
      <c r="G258" s="55">
        <f t="shared" si="7"/>
        <v>1.6666666666666667</v>
      </c>
    </row>
    <row r="259" spans="1:7" x14ac:dyDescent="0.2">
      <c r="A259" s="100">
        <f t="shared" ref="A259:A322" si="8">IFERROR(B259,0)+IFERROR(C259,0)+IFERROR(D259,0)+IFERROR(E259,0)</f>
        <v>115</v>
      </c>
      <c r="B259" s="27">
        <v>3</v>
      </c>
      <c r="C259" s="29"/>
      <c r="D259" s="27">
        <v>22</v>
      </c>
      <c r="E259" s="27">
        <v>90</v>
      </c>
      <c r="F259" s="158">
        <v>6</v>
      </c>
      <c r="G259" s="55">
        <f t="shared" ref="G259:G322" si="9">IFERROR(A259/F259," ")</f>
        <v>19.166666666666668</v>
      </c>
    </row>
    <row r="260" spans="1:7" x14ac:dyDescent="0.2">
      <c r="A260" s="100">
        <f t="shared" si="8"/>
        <v>9</v>
      </c>
      <c r="B260" s="25">
        <v>9</v>
      </c>
      <c r="C260" s="28"/>
      <c r="D260" s="28"/>
      <c r="E260" s="28"/>
      <c r="F260" s="157">
        <v>3</v>
      </c>
      <c r="G260" s="55">
        <f t="shared" si="9"/>
        <v>3</v>
      </c>
    </row>
    <row r="261" spans="1:7" x14ac:dyDescent="0.2">
      <c r="A261" s="100">
        <f t="shared" si="8"/>
        <v>93</v>
      </c>
      <c r="B261" s="27">
        <v>5</v>
      </c>
      <c r="C261" s="29"/>
      <c r="D261" s="29"/>
      <c r="E261" s="27">
        <v>88</v>
      </c>
      <c r="F261" s="158">
        <v>5</v>
      </c>
      <c r="G261" s="55">
        <f t="shared" si="9"/>
        <v>18.600000000000001</v>
      </c>
    </row>
    <row r="262" spans="1:7" x14ac:dyDescent="0.2">
      <c r="A262" s="100">
        <f t="shared" si="8"/>
        <v>9</v>
      </c>
      <c r="B262" s="25">
        <v>9</v>
      </c>
      <c r="C262" s="28"/>
      <c r="D262" s="28"/>
      <c r="E262" s="28"/>
      <c r="F262" s="157">
        <v>4</v>
      </c>
      <c r="G262" s="55">
        <f t="shared" si="9"/>
        <v>2.25</v>
      </c>
    </row>
    <row r="263" spans="1:7" x14ac:dyDescent="0.2">
      <c r="A263" s="100">
        <f t="shared" si="8"/>
        <v>5</v>
      </c>
      <c r="B263" s="29"/>
      <c r="C263" s="27">
        <v>5</v>
      </c>
      <c r="D263" s="29"/>
      <c r="E263" s="29"/>
      <c r="F263" s="158">
        <v>3</v>
      </c>
      <c r="G263" s="55">
        <f t="shared" si="9"/>
        <v>1.6666666666666667</v>
      </c>
    </row>
    <row r="264" spans="1:7" x14ac:dyDescent="0.2">
      <c r="A264" s="100">
        <f t="shared" si="8"/>
        <v>24</v>
      </c>
      <c r="B264" s="25">
        <v>3</v>
      </c>
      <c r="C264" s="28"/>
      <c r="D264" s="25">
        <v>20</v>
      </c>
      <c r="E264" s="25">
        <v>1</v>
      </c>
      <c r="F264" s="157">
        <v>4</v>
      </c>
      <c r="G264" s="55">
        <f t="shared" si="9"/>
        <v>6</v>
      </c>
    </row>
    <row r="265" spans="1:7" x14ac:dyDescent="0.2">
      <c r="A265" s="100">
        <f t="shared" si="8"/>
        <v>25</v>
      </c>
      <c r="B265" s="29"/>
      <c r="C265" s="29"/>
      <c r="D265" s="27">
        <v>25</v>
      </c>
      <c r="E265" s="29"/>
      <c r="F265" s="158">
        <v>3</v>
      </c>
      <c r="G265" s="55">
        <f t="shared" si="9"/>
        <v>8.3333333333333339</v>
      </c>
    </row>
    <row r="266" spans="1:7" x14ac:dyDescent="0.2">
      <c r="A266" s="100">
        <f t="shared" si="8"/>
        <v>8</v>
      </c>
      <c r="B266" s="25">
        <v>8</v>
      </c>
      <c r="C266" s="28"/>
      <c r="D266" s="28"/>
      <c r="E266" s="28"/>
      <c r="F266" s="157">
        <v>5</v>
      </c>
      <c r="G266" s="55">
        <f t="shared" si="9"/>
        <v>1.6</v>
      </c>
    </row>
    <row r="267" spans="1:7" x14ac:dyDescent="0.2">
      <c r="A267" s="100">
        <f t="shared" si="8"/>
        <v>10</v>
      </c>
      <c r="B267" s="27">
        <v>10</v>
      </c>
      <c r="C267" s="29"/>
      <c r="D267" s="29"/>
      <c r="E267" s="29"/>
      <c r="F267" s="158">
        <v>6</v>
      </c>
      <c r="G267" s="55">
        <f t="shared" si="9"/>
        <v>1.6666666666666667</v>
      </c>
    </row>
    <row r="268" spans="1:7" x14ac:dyDescent="0.2">
      <c r="A268" s="100">
        <f t="shared" si="8"/>
        <v>89</v>
      </c>
      <c r="B268" s="25">
        <v>4</v>
      </c>
      <c r="C268" s="28"/>
      <c r="D268" s="28"/>
      <c r="E268" s="25">
        <v>85</v>
      </c>
      <c r="F268" s="157">
        <v>5</v>
      </c>
      <c r="G268" s="55">
        <f t="shared" si="9"/>
        <v>17.8</v>
      </c>
    </row>
    <row r="269" spans="1:7" x14ac:dyDescent="0.2">
      <c r="A269" s="100">
        <f t="shared" si="8"/>
        <v>5</v>
      </c>
      <c r="B269" s="29"/>
      <c r="C269" s="27">
        <v>5</v>
      </c>
      <c r="D269" s="29"/>
      <c r="E269" s="29"/>
      <c r="F269" s="158">
        <v>4</v>
      </c>
      <c r="G269" s="55">
        <f t="shared" si="9"/>
        <v>1.25</v>
      </c>
    </row>
    <row r="270" spans="1:7" x14ac:dyDescent="0.2">
      <c r="A270" s="100">
        <f t="shared" si="8"/>
        <v>131</v>
      </c>
      <c r="B270" s="25">
        <v>3</v>
      </c>
      <c r="C270" s="28"/>
      <c r="D270" s="25">
        <v>18</v>
      </c>
      <c r="E270" s="25">
        <v>110</v>
      </c>
      <c r="F270" s="157">
        <v>4</v>
      </c>
      <c r="G270" s="55">
        <f t="shared" si="9"/>
        <v>32.75</v>
      </c>
    </row>
    <row r="271" spans="1:7" x14ac:dyDescent="0.2">
      <c r="A271" s="100">
        <f t="shared" si="8"/>
        <v>30</v>
      </c>
      <c r="B271" s="29"/>
      <c r="C271" s="29"/>
      <c r="D271" s="27">
        <v>30</v>
      </c>
      <c r="E271" s="29"/>
      <c r="F271" s="158">
        <v>5</v>
      </c>
      <c r="G271" s="55">
        <f t="shared" si="9"/>
        <v>6</v>
      </c>
    </row>
    <row r="272" spans="1:7" x14ac:dyDescent="0.2">
      <c r="A272" s="100">
        <f t="shared" si="8"/>
        <v>13</v>
      </c>
      <c r="B272" s="25">
        <v>9</v>
      </c>
      <c r="C272" s="25">
        <v>4</v>
      </c>
      <c r="D272" s="28"/>
      <c r="E272" s="28"/>
      <c r="F272" s="157">
        <v>4</v>
      </c>
      <c r="G272" s="55">
        <f t="shared" si="9"/>
        <v>3.25</v>
      </c>
    </row>
    <row r="273" spans="1:7" x14ac:dyDescent="0.2">
      <c r="A273" s="100">
        <f t="shared" si="8"/>
        <v>4</v>
      </c>
      <c r="B273" s="29"/>
      <c r="C273" s="27">
        <v>4</v>
      </c>
      <c r="D273" s="29"/>
      <c r="E273" s="29"/>
      <c r="F273" s="158">
        <v>3</v>
      </c>
      <c r="G273" s="55">
        <f t="shared" si="9"/>
        <v>1.3333333333333333</v>
      </c>
    </row>
    <row r="274" spans="1:7" x14ac:dyDescent="0.2">
      <c r="A274" s="100">
        <f t="shared" si="8"/>
        <v>26</v>
      </c>
      <c r="B274" s="25">
        <v>6</v>
      </c>
      <c r="C274" s="28"/>
      <c r="D274" s="25">
        <v>20</v>
      </c>
      <c r="E274" s="28"/>
      <c r="F274" s="157">
        <v>5</v>
      </c>
      <c r="G274" s="55">
        <f t="shared" si="9"/>
        <v>5.2</v>
      </c>
    </row>
    <row r="275" spans="1:7" x14ac:dyDescent="0.2">
      <c r="A275" s="100">
        <f t="shared" si="8"/>
        <v>77</v>
      </c>
      <c r="B275" s="27">
        <v>5</v>
      </c>
      <c r="C275" s="29"/>
      <c r="D275" s="29"/>
      <c r="E275" s="27">
        <v>72</v>
      </c>
      <c r="F275" s="158">
        <v>5</v>
      </c>
      <c r="G275" s="55">
        <f t="shared" si="9"/>
        <v>15.4</v>
      </c>
    </row>
    <row r="276" spans="1:7" x14ac:dyDescent="0.2">
      <c r="A276" s="100">
        <f t="shared" si="8"/>
        <v>24</v>
      </c>
      <c r="B276" s="28"/>
      <c r="C276" s="28"/>
      <c r="D276" s="25">
        <v>24</v>
      </c>
      <c r="E276" s="28"/>
      <c r="F276" s="157">
        <v>6</v>
      </c>
      <c r="G276" s="55">
        <f t="shared" si="9"/>
        <v>4</v>
      </c>
    </row>
    <row r="277" spans="1:7" x14ac:dyDescent="0.2">
      <c r="A277" s="100">
        <f t="shared" si="8"/>
        <v>7</v>
      </c>
      <c r="B277" s="27">
        <v>7</v>
      </c>
      <c r="C277" s="29"/>
      <c r="D277" s="29"/>
      <c r="E277" s="29"/>
      <c r="F277" s="158">
        <v>4</v>
      </c>
      <c r="G277" s="55">
        <f t="shared" si="9"/>
        <v>1.75</v>
      </c>
    </row>
    <row r="278" spans="1:7" x14ac:dyDescent="0.2">
      <c r="A278" s="100">
        <f t="shared" si="8"/>
        <v>5</v>
      </c>
      <c r="B278" s="28"/>
      <c r="C278" s="25">
        <v>5</v>
      </c>
      <c r="D278" s="28"/>
      <c r="E278" s="28"/>
      <c r="F278" s="157">
        <v>2</v>
      </c>
      <c r="G278" s="55">
        <f t="shared" si="9"/>
        <v>2.5</v>
      </c>
    </row>
    <row r="279" spans="1:7" x14ac:dyDescent="0.2">
      <c r="A279" s="100">
        <f t="shared" si="8"/>
        <v>130</v>
      </c>
      <c r="B279" s="27">
        <v>3</v>
      </c>
      <c r="C279" s="29"/>
      <c r="D279" s="27">
        <v>22</v>
      </c>
      <c r="E279" s="27">
        <v>105</v>
      </c>
      <c r="F279" s="158">
        <v>5</v>
      </c>
      <c r="G279" s="55">
        <f t="shared" si="9"/>
        <v>26</v>
      </c>
    </row>
    <row r="280" spans="1:7" x14ac:dyDescent="0.2">
      <c r="A280" s="100">
        <f t="shared" si="8"/>
        <v>8</v>
      </c>
      <c r="B280" s="25">
        <v>8</v>
      </c>
      <c r="C280" s="28"/>
      <c r="D280" s="28"/>
      <c r="E280" s="28"/>
      <c r="F280" s="157">
        <v>3</v>
      </c>
      <c r="G280" s="55">
        <f t="shared" si="9"/>
        <v>2.6666666666666665</v>
      </c>
    </row>
    <row r="281" spans="1:7" x14ac:dyDescent="0.2">
      <c r="A281" s="100">
        <f t="shared" si="8"/>
        <v>35</v>
      </c>
      <c r="B281" s="27">
        <v>35</v>
      </c>
      <c r="C281" s="29"/>
      <c r="D281" s="29"/>
      <c r="E281" s="29"/>
      <c r="F281" s="158">
        <v>5</v>
      </c>
      <c r="G281" s="55">
        <f t="shared" si="9"/>
        <v>7</v>
      </c>
    </row>
    <row r="282" spans="1:7" x14ac:dyDescent="0.2">
      <c r="A282" s="100">
        <f t="shared" si="8"/>
        <v>10</v>
      </c>
      <c r="B282" s="25">
        <v>10</v>
      </c>
      <c r="C282" s="28"/>
      <c r="D282" s="28"/>
      <c r="E282" s="28"/>
      <c r="F282" s="157">
        <v>4</v>
      </c>
      <c r="G282" s="55">
        <f t="shared" si="9"/>
        <v>2.5</v>
      </c>
    </row>
    <row r="283" spans="1:7" x14ac:dyDescent="0.2">
      <c r="A283" s="100">
        <f t="shared" si="8"/>
        <v>3</v>
      </c>
      <c r="B283" s="29"/>
      <c r="C283" s="27">
        <v>3</v>
      </c>
      <c r="D283" s="29"/>
      <c r="E283" s="29"/>
      <c r="F283" s="158">
        <v>5</v>
      </c>
      <c r="G283" s="55">
        <f t="shared" si="9"/>
        <v>0.6</v>
      </c>
    </row>
    <row r="284" spans="1:7" x14ac:dyDescent="0.2">
      <c r="A284" s="100">
        <f t="shared" si="8"/>
        <v>72</v>
      </c>
      <c r="B284" s="25">
        <v>4</v>
      </c>
      <c r="C284" s="28"/>
      <c r="D284" s="28"/>
      <c r="E284" s="25">
        <v>68</v>
      </c>
      <c r="F284" s="157">
        <v>4</v>
      </c>
      <c r="G284" s="55">
        <f t="shared" si="9"/>
        <v>18</v>
      </c>
    </row>
    <row r="285" spans="1:7" x14ac:dyDescent="0.2">
      <c r="A285" s="100">
        <f t="shared" si="8"/>
        <v>9</v>
      </c>
      <c r="B285" s="27">
        <v>9</v>
      </c>
      <c r="C285" s="29"/>
      <c r="D285" s="29"/>
      <c r="E285" s="29"/>
      <c r="F285" s="158">
        <v>5</v>
      </c>
      <c r="G285" s="55">
        <f t="shared" si="9"/>
        <v>1.8</v>
      </c>
    </row>
    <row r="286" spans="1:7" x14ac:dyDescent="0.2">
      <c r="A286" s="100">
        <f t="shared" si="8"/>
        <v>25</v>
      </c>
      <c r="B286" s="28"/>
      <c r="C286" s="28"/>
      <c r="D286" s="25">
        <v>25</v>
      </c>
      <c r="E286" s="28"/>
      <c r="F286" s="157">
        <v>3</v>
      </c>
      <c r="G286" s="55">
        <f t="shared" si="9"/>
        <v>8.3333333333333339</v>
      </c>
    </row>
    <row r="287" spans="1:7" x14ac:dyDescent="0.2">
      <c r="A287" s="100">
        <f t="shared" si="8"/>
        <v>26</v>
      </c>
      <c r="B287" s="27">
        <v>6</v>
      </c>
      <c r="C287" s="29"/>
      <c r="D287" s="27">
        <v>20</v>
      </c>
      <c r="E287" s="29"/>
      <c r="F287" s="158">
        <v>5</v>
      </c>
      <c r="G287" s="55">
        <f t="shared" si="9"/>
        <v>5.2</v>
      </c>
    </row>
    <row r="288" spans="1:7" x14ac:dyDescent="0.2">
      <c r="A288" s="100">
        <f t="shared" si="8"/>
        <v>4</v>
      </c>
      <c r="B288" s="28"/>
      <c r="C288" s="25">
        <v>4</v>
      </c>
      <c r="D288" s="28"/>
      <c r="E288" s="28"/>
      <c r="F288" s="157">
        <v>2</v>
      </c>
      <c r="G288" s="55">
        <f t="shared" si="9"/>
        <v>2</v>
      </c>
    </row>
    <row r="289" spans="1:7" x14ac:dyDescent="0.2">
      <c r="A289" s="100">
        <f t="shared" si="8"/>
        <v>92</v>
      </c>
      <c r="B289" s="27">
        <v>4</v>
      </c>
      <c r="C289" s="29"/>
      <c r="D289" s="29"/>
      <c r="E289" s="27">
        <v>88</v>
      </c>
      <c r="F289" s="158">
        <v>6</v>
      </c>
      <c r="G289" s="55">
        <f t="shared" si="9"/>
        <v>15.333333333333334</v>
      </c>
    </row>
    <row r="290" spans="1:7" x14ac:dyDescent="0.2">
      <c r="A290" s="100">
        <f t="shared" si="8"/>
        <v>8</v>
      </c>
      <c r="B290" s="25">
        <v>8</v>
      </c>
      <c r="C290" s="28"/>
      <c r="D290" s="28"/>
      <c r="E290" s="28"/>
      <c r="F290" s="157">
        <v>3</v>
      </c>
      <c r="G290" s="55">
        <f t="shared" si="9"/>
        <v>2.6666666666666665</v>
      </c>
    </row>
    <row r="291" spans="1:7" x14ac:dyDescent="0.2">
      <c r="A291" s="100">
        <f t="shared" si="8"/>
        <v>27</v>
      </c>
      <c r="B291" s="27">
        <v>5</v>
      </c>
      <c r="C291" s="29"/>
      <c r="D291" s="27">
        <v>22</v>
      </c>
      <c r="E291" s="29"/>
      <c r="F291" s="158">
        <v>5</v>
      </c>
      <c r="G291" s="55">
        <f t="shared" si="9"/>
        <v>5.4</v>
      </c>
    </row>
    <row r="292" spans="1:7" x14ac:dyDescent="0.2">
      <c r="A292" s="100">
        <f t="shared" si="8"/>
        <v>12</v>
      </c>
      <c r="B292" s="25">
        <v>12</v>
      </c>
      <c r="C292" s="28"/>
      <c r="D292" s="28"/>
      <c r="E292" s="28"/>
      <c r="F292" s="157">
        <v>5</v>
      </c>
      <c r="G292" s="55">
        <f t="shared" si="9"/>
        <v>2.4</v>
      </c>
    </row>
    <row r="293" spans="1:7" x14ac:dyDescent="0.2">
      <c r="A293" s="100">
        <f t="shared" si="8"/>
        <v>6</v>
      </c>
      <c r="B293" s="29"/>
      <c r="C293" s="27">
        <v>6</v>
      </c>
      <c r="D293" s="29"/>
      <c r="E293" s="29"/>
      <c r="F293" s="158">
        <v>5</v>
      </c>
      <c r="G293" s="55">
        <f t="shared" si="9"/>
        <v>1.2</v>
      </c>
    </row>
    <row r="294" spans="1:7" x14ac:dyDescent="0.2">
      <c r="A294" s="100">
        <f t="shared" si="8"/>
        <v>94</v>
      </c>
      <c r="B294" s="25">
        <v>4</v>
      </c>
      <c r="C294" s="28"/>
      <c r="D294" s="28"/>
      <c r="E294" s="25">
        <v>90</v>
      </c>
      <c r="F294" s="157">
        <v>6</v>
      </c>
      <c r="G294" s="55">
        <f t="shared" si="9"/>
        <v>15.666666666666666</v>
      </c>
    </row>
    <row r="295" spans="1:7" x14ac:dyDescent="0.2">
      <c r="A295" s="100">
        <f t="shared" si="8"/>
        <v>26</v>
      </c>
      <c r="B295" s="29"/>
      <c r="C295" s="29"/>
      <c r="D295" s="27">
        <v>26</v>
      </c>
      <c r="E295" s="29"/>
      <c r="F295" s="158">
        <v>4</v>
      </c>
      <c r="G295" s="55">
        <f t="shared" si="9"/>
        <v>6.5</v>
      </c>
    </row>
    <row r="296" spans="1:7" x14ac:dyDescent="0.2">
      <c r="A296" s="100">
        <f t="shared" si="8"/>
        <v>29</v>
      </c>
      <c r="B296" s="25">
        <v>6</v>
      </c>
      <c r="C296" s="28"/>
      <c r="D296" s="25">
        <v>23</v>
      </c>
      <c r="E296" s="28"/>
      <c r="F296" s="157">
        <v>5</v>
      </c>
      <c r="G296" s="55">
        <f t="shared" si="9"/>
        <v>5.8</v>
      </c>
    </row>
    <row r="297" spans="1:7" x14ac:dyDescent="0.2">
      <c r="A297" s="100">
        <f t="shared" si="8"/>
        <v>9</v>
      </c>
      <c r="B297" s="27">
        <v>9</v>
      </c>
      <c r="C297" s="29"/>
      <c r="D297" s="29"/>
      <c r="E297" s="29"/>
      <c r="F297" s="158">
        <v>4</v>
      </c>
      <c r="G297" s="55">
        <f t="shared" si="9"/>
        <v>2.25</v>
      </c>
    </row>
    <row r="298" spans="1:7" x14ac:dyDescent="0.2">
      <c r="A298" s="100">
        <f t="shared" si="8"/>
        <v>93</v>
      </c>
      <c r="B298" s="25">
        <v>3</v>
      </c>
      <c r="C298" s="28"/>
      <c r="D298" s="28"/>
      <c r="E298" s="25">
        <v>90</v>
      </c>
      <c r="F298" s="157">
        <v>5</v>
      </c>
      <c r="G298" s="55">
        <f t="shared" si="9"/>
        <v>18.600000000000001</v>
      </c>
    </row>
    <row r="299" spans="1:7" x14ac:dyDescent="0.2">
      <c r="A299" s="100">
        <f t="shared" si="8"/>
        <v>27</v>
      </c>
      <c r="B299" s="29"/>
      <c r="C299" s="29"/>
      <c r="D299" s="27">
        <v>27</v>
      </c>
      <c r="E299" s="29"/>
      <c r="F299" s="158">
        <v>3</v>
      </c>
      <c r="G299" s="55">
        <f t="shared" si="9"/>
        <v>9</v>
      </c>
    </row>
    <row r="300" spans="1:7" x14ac:dyDescent="0.2">
      <c r="A300" s="100">
        <f t="shared" si="8"/>
        <v>4</v>
      </c>
      <c r="B300" s="28"/>
      <c r="C300" s="25">
        <v>4</v>
      </c>
      <c r="D300" s="28"/>
      <c r="E300" s="28"/>
      <c r="F300" s="157">
        <v>5</v>
      </c>
      <c r="G300" s="55">
        <f t="shared" si="9"/>
        <v>0.8</v>
      </c>
    </row>
    <row r="301" spans="1:7" x14ac:dyDescent="0.2">
      <c r="A301" s="100">
        <f t="shared" si="8"/>
        <v>29</v>
      </c>
      <c r="B301" s="27">
        <v>5</v>
      </c>
      <c r="C301" s="29"/>
      <c r="D301" s="27">
        <v>24</v>
      </c>
      <c r="E301" s="29"/>
      <c r="F301" s="158">
        <v>4</v>
      </c>
      <c r="G301" s="55">
        <f t="shared" si="9"/>
        <v>7.25</v>
      </c>
    </row>
    <row r="302" spans="1:7" x14ac:dyDescent="0.2">
      <c r="A302" s="100">
        <f t="shared" si="8"/>
        <v>11</v>
      </c>
      <c r="B302" s="25">
        <v>11</v>
      </c>
      <c r="C302" s="28"/>
      <c r="D302" s="28"/>
      <c r="E302" s="28"/>
      <c r="F302" s="157">
        <v>4</v>
      </c>
      <c r="G302" s="55">
        <f t="shared" si="9"/>
        <v>2.75</v>
      </c>
    </row>
    <row r="303" spans="1:7" x14ac:dyDescent="0.2">
      <c r="A303" s="100">
        <f t="shared" si="8"/>
        <v>5</v>
      </c>
      <c r="B303" s="29"/>
      <c r="C303" s="27">
        <v>5</v>
      </c>
      <c r="D303" s="29"/>
      <c r="E303" s="29"/>
      <c r="F303" s="158">
        <v>3</v>
      </c>
      <c r="G303" s="55">
        <f t="shared" si="9"/>
        <v>1.6666666666666667</v>
      </c>
    </row>
    <row r="304" spans="1:7" x14ac:dyDescent="0.2">
      <c r="A304" s="100">
        <f t="shared" si="8"/>
        <v>101</v>
      </c>
      <c r="B304" s="25">
        <v>3</v>
      </c>
      <c r="C304" s="28"/>
      <c r="D304" s="28"/>
      <c r="E304" s="25">
        <v>98</v>
      </c>
      <c r="F304" s="157">
        <v>4</v>
      </c>
      <c r="G304" s="55">
        <f t="shared" si="9"/>
        <v>25.25</v>
      </c>
    </row>
    <row r="305" spans="1:7" x14ac:dyDescent="0.2">
      <c r="A305" s="100">
        <f t="shared" si="8"/>
        <v>26</v>
      </c>
      <c r="B305" s="29"/>
      <c r="C305" s="29"/>
      <c r="D305" s="27">
        <v>26</v>
      </c>
      <c r="E305" s="29"/>
      <c r="F305" s="158">
        <v>3</v>
      </c>
      <c r="G305" s="55">
        <f t="shared" si="9"/>
        <v>8.6666666666666661</v>
      </c>
    </row>
    <row r="306" spans="1:7" x14ac:dyDescent="0.2">
      <c r="A306" s="100">
        <f t="shared" si="8"/>
        <v>28</v>
      </c>
      <c r="B306" s="25">
        <v>6</v>
      </c>
      <c r="C306" s="28"/>
      <c r="D306" s="25">
        <v>22</v>
      </c>
      <c r="E306" s="28"/>
      <c r="F306" s="157">
        <v>6</v>
      </c>
      <c r="G306" s="55">
        <f t="shared" si="9"/>
        <v>4.666666666666667</v>
      </c>
    </row>
    <row r="307" spans="1:7" x14ac:dyDescent="0.2">
      <c r="A307" s="100">
        <f t="shared" si="8"/>
        <v>5</v>
      </c>
      <c r="B307" s="29"/>
      <c r="C307" s="27">
        <v>5</v>
      </c>
      <c r="D307" s="29"/>
      <c r="E307" s="29"/>
      <c r="F307" s="158">
        <v>4</v>
      </c>
      <c r="G307" s="55">
        <f t="shared" si="9"/>
        <v>1.25</v>
      </c>
    </row>
    <row r="308" spans="1:7" x14ac:dyDescent="0.2">
      <c r="A308" s="100">
        <f t="shared" si="8"/>
        <v>96</v>
      </c>
      <c r="B308" s="25">
        <v>4</v>
      </c>
      <c r="C308" s="28"/>
      <c r="D308" s="28"/>
      <c r="E308" s="25">
        <v>92</v>
      </c>
      <c r="F308" s="157">
        <v>6</v>
      </c>
      <c r="G308" s="55">
        <f t="shared" si="9"/>
        <v>16</v>
      </c>
    </row>
    <row r="309" spans="1:7" x14ac:dyDescent="0.2">
      <c r="A309" s="100">
        <f t="shared" si="8"/>
        <v>39</v>
      </c>
      <c r="B309" s="29"/>
      <c r="C309" s="29"/>
      <c r="D309" s="27">
        <v>39</v>
      </c>
      <c r="E309" s="29"/>
      <c r="F309" s="158">
        <v>4</v>
      </c>
      <c r="G309" s="55">
        <f t="shared" si="9"/>
        <v>9.75</v>
      </c>
    </row>
    <row r="310" spans="1:7" x14ac:dyDescent="0.2">
      <c r="A310" s="100">
        <f t="shared" si="8"/>
        <v>4</v>
      </c>
      <c r="B310" s="28"/>
      <c r="C310" s="25">
        <v>4</v>
      </c>
      <c r="D310" s="28"/>
      <c r="E310" s="28"/>
      <c r="F310" s="157">
        <v>4</v>
      </c>
      <c r="G310" s="55">
        <f t="shared" si="9"/>
        <v>1</v>
      </c>
    </row>
    <row r="311" spans="1:7" x14ac:dyDescent="0.2">
      <c r="A311" s="100">
        <f t="shared" si="8"/>
        <v>30</v>
      </c>
      <c r="B311" s="27">
        <v>5</v>
      </c>
      <c r="C311" s="29"/>
      <c r="D311" s="27">
        <v>25</v>
      </c>
      <c r="E311" s="29"/>
      <c r="F311" s="158">
        <v>4</v>
      </c>
      <c r="G311" s="55">
        <f t="shared" si="9"/>
        <v>7.5</v>
      </c>
    </row>
    <row r="312" spans="1:7" x14ac:dyDescent="0.2">
      <c r="A312" s="100">
        <f t="shared" si="8"/>
        <v>10</v>
      </c>
      <c r="B312" s="25">
        <v>10</v>
      </c>
      <c r="C312" s="28"/>
      <c r="D312" s="28"/>
      <c r="E312" s="28"/>
      <c r="F312" s="157">
        <v>3</v>
      </c>
      <c r="G312" s="55">
        <f t="shared" si="9"/>
        <v>3.3333333333333335</v>
      </c>
    </row>
    <row r="313" spans="1:7" x14ac:dyDescent="0.2">
      <c r="A313" s="100">
        <f t="shared" si="8"/>
        <v>26</v>
      </c>
      <c r="B313" s="27">
        <v>5</v>
      </c>
      <c r="C313" s="29"/>
      <c r="D313" s="27">
        <v>21</v>
      </c>
      <c r="E313" s="29"/>
      <c r="F313" s="158">
        <v>5</v>
      </c>
      <c r="G313" s="55">
        <f t="shared" si="9"/>
        <v>5.2</v>
      </c>
    </row>
    <row r="314" spans="1:7" x14ac:dyDescent="0.2">
      <c r="A314" s="100">
        <f t="shared" si="8"/>
        <v>89</v>
      </c>
      <c r="B314" s="25">
        <v>4</v>
      </c>
      <c r="C314" s="28"/>
      <c r="D314" s="28"/>
      <c r="E314" s="25">
        <v>85</v>
      </c>
      <c r="F314" s="157">
        <v>5</v>
      </c>
      <c r="G314" s="55">
        <f t="shared" si="9"/>
        <v>17.8</v>
      </c>
    </row>
    <row r="315" spans="1:7" x14ac:dyDescent="0.2">
      <c r="A315" s="100">
        <f t="shared" si="8"/>
        <v>8</v>
      </c>
      <c r="B315" s="29"/>
      <c r="C315" s="27">
        <v>8</v>
      </c>
      <c r="D315" s="29"/>
      <c r="E315" s="29"/>
      <c r="F315" s="158">
        <v>4</v>
      </c>
      <c r="G315" s="55">
        <f t="shared" si="9"/>
        <v>2</v>
      </c>
    </row>
    <row r="316" spans="1:7" x14ac:dyDescent="0.2">
      <c r="A316" s="100">
        <f t="shared" si="8"/>
        <v>11</v>
      </c>
      <c r="B316" s="25">
        <v>11</v>
      </c>
      <c r="C316" s="28"/>
      <c r="D316" s="28"/>
      <c r="E316" s="28"/>
      <c r="F316" s="157">
        <v>4</v>
      </c>
      <c r="G316" s="55">
        <f t="shared" si="9"/>
        <v>2.75</v>
      </c>
    </row>
    <row r="317" spans="1:7" x14ac:dyDescent="0.2">
      <c r="A317" s="100">
        <f t="shared" si="8"/>
        <v>4</v>
      </c>
      <c r="B317" s="29"/>
      <c r="C317" s="27">
        <v>4</v>
      </c>
      <c r="D317" s="29"/>
      <c r="E317" s="29"/>
      <c r="F317" s="158">
        <v>4</v>
      </c>
      <c r="G317" s="55">
        <f t="shared" si="9"/>
        <v>1</v>
      </c>
    </row>
    <row r="318" spans="1:7" x14ac:dyDescent="0.2">
      <c r="A318" s="100">
        <f t="shared" si="8"/>
        <v>89</v>
      </c>
      <c r="B318" s="25">
        <v>4</v>
      </c>
      <c r="C318" s="28"/>
      <c r="D318" s="28"/>
      <c r="E318" s="25">
        <v>85</v>
      </c>
      <c r="F318" s="157">
        <v>5</v>
      </c>
      <c r="G318" s="55">
        <f t="shared" si="9"/>
        <v>17.8</v>
      </c>
    </row>
    <row r="319" spans="1:7" x14ac:dyDescent="0.2">
      <c r="A319" s="100">
        <f t="shared" si="8"/>
        <v>26</v>
      </c>
      <c r="B319" s="29"/>
      <c r="C319" s="29"/>
      <c r="D319" s="27">
        <v>26</v>
      </c>
      <c r="E319" s="29"/>
      <c r="F319" s="158">
        <v>4</v>
      </c>
      <c r="G319" s="55">
        <f t="shared" si="9"/>
        <v>6.5</v>
      </c>
    </row>
    <row r="320" spans="1:7" x14ac:dyDescent="0.2">
      <c r="A320" s="100">
        <f t="shared" si="8"/>
        <v>9</v>
      </c>
      <c r="B320" s="25">
        <v>9</v>
      </c>
      <c r="C320" s="28"/>
      <c r="D320" s="28"/>
      <c r="E320" s="28"/>
      <c r="F320" s="157">
        <v>6</v>
      </c>
      <c r="G320" s="55">
        <f t="shared" si="9"/>
        <v>1.5</v>
      </c>
    </row>
    <row r="321" spans="1:7" x14ac:dyDescent="0.2">
      <c r="A321" s="100">
        <f t="shared" si="8"/>
        <v>28</v>
      </c>
      <c r="B321" s="27">
        <v>6</v>
      </c>
      <c r="C321" s="29"/>
      <c r="D321" s="27">
        <v>22</v>
      </c>
      <c r="E321" s="29"/>
      <c r="F321" s="158">
        <v>5</v>
      </c>
      <c r="G321" s="55">
        <f t="shared" si="9"/>
        <v>5.6</v>
      </c>
    </row>
    <row r="322" spans="1:7" x14ac:dyDescent="0.2">
      <c r="A322" s="100">
        <f t="shared" si="8"/>
        <v>10</v>
      </c>
      <c r="B322" s="25">
        <v>10</v>
      </c>
      <c r="C322" s="28"/>
      <c r="D322" s="28"/>
      <c r="E322" s="28"/>
      <c r="F322" s="157">
        <v>5</v>
      </c>
      <c r="G322" s="55">
        <f t="shared" si="9"/>
        <v>2</v>
      </c>
    </row>
    <row r="323" spans="1:7" x14ac:dyDescent="0.2">
      <c r="A323" s="100">
        <f t="shared" ref="A323:A386" si="10">IFERROR(B323,0)+IFERROR(C323,0)+IFERROR(D323,0)+IFERROR(E323,0)</f>
        <v>3</v>
      </c>
      <c r="B323" s="27">
        <v>3</v>
      </c>
      <c r="C323" s="29"/>
      <c r="D323" s="29"/>
      <c r="E323" s="29"/>
      <c r="F323" s="158">
        <v>4</v>
      </c>
      <c r="G323" s="55">
        <f t="shared" ref="G323:G386" si="11">IFERROR(A323/F323," ")</f>
        <v>0.75</v>
      </c>
    </row>
    <row r="324" spans="1:7" x14ac:dyDescent="0.2">
      <c r="A324" s="100">
        <f t="shared" si="10"/>
        <v>30</v>
      </c>
      <c r="B324" s="25">
        <v>30</v>
      </c>
      <c r="C324" s="28"/>
      <c r="D324" s="28"/>
      <c r="E324" s="28"/>
      <c r="F324" s="157">
        <v>5</v>
      </c>
      <c r="G324" s="55">
        <f t="shared" si="11"/>
        <v>6</v>
      </c>
    </row>
    <row r="325" spans="1:7" x14ac:dyDescent="0.2">
      <c r="A325" s="100">
        <f t="shared" si="10"/>
        <v>94</v>
      </c>
      <c r="B325" s="27">
        <v>4</v>
      </c>
      <c r="C325" s="29"/>
      <c r="D325" s="29"/>
      <c r="E325" s="27">
        <v>90</v>
      </c>
      <c r="F325" s="158">
        <v>4</v>
      </c>
      <c r="G325" s="55">
        <f t="shared" si="11"/>
        <v>23.5</v>
      </c>
    </row>
    <row r="326" spans="1:7" x14ac:dyDescent="0.2">
      <c r="A326" s="100">
        <f t="shared" si="10"/>
        <v>5</v>
      </c>
      <c r="B326" s="28"/>
      <c r="C326" s="25">
        <v>5</v>
      </c>
      <c r="D326" s="28"/>
      <c r="E326" s="28"/>
      <c r="F326" s="157">
        <v>4</v>
      </c>
      <c r="G326" s="55">
        <f t="shared" si="11"/>
        <v>1.25</v>
      </c>
    </row>
    <row r="327" spans="1:7" x14ac:dyDescent="0.2">
      <c r="A327" s="100">
        <f t="shared" si="10"/>
        <v>29</v>
      </c>
      <c r="B327" s="27">
        <v>5</v>
      </c>
      <c r="C327" s="29"/>
      <c r="D327" s="27">
        <v>24</v>
      </c>
      <c r="E327" s="29"/>
      <c r="F327" s="158">
        <v>4</v>
      </c>
      <c r="G327" s="55">
        <f t="shared" si="11"/>
        <v>7.25</v>
      </c>
    </row>
    <row r="328" spans="1:7" x14ac:dyDescent="0.2">
      <c r="A328" s="100">
        <f t="shared" si="10"/>
        <v>8</v>
      </c>
      <c r="B328" s="25">
        <v>8</v>
      </c>
      <c r="C328" s="28"/>
      <c r="D328" s="28"/>
      <c r="E328" s="28"/>
      <c r="F328" s="157">
        <v>4</v>
      </c>
      <c r="G328" s="55">
        <f t="shared" si="11"/>
        <v>2</v>
      </c>
    </row>
    <row r="329" spans="1:7" x14ac:dyDescent="0.2">
      <c r="A329" s="100">
        <f t="shared" si="10"/>
        <v>24</v>
      </c>
      <c r="B329" s="27"/>
      <c r="C329" s="29"/>
      <c r="D329" s="29">
        <v>24</v>
      </c>
      <c r="E329" s="29"/>
      <c r="F329" s="158">
        <v>4</v>
      </c>
      <c r="G329" s="55">
        <f t="shared" si="11"/>
        <v>6</v>
      </c>
    </row>
    <row r="330" spans="1:7" x14ac:dyDescent="0.2">
      <c r="A330" s="100">
        <f t="shared" si="10"/>
        <v>8</v>
      </c>
      <c r="B330" s="28">
        <v>8</v>
      </c>
      <c r="C330" s="25"/>
      <c r="D330" s="28"/>
      <c r="E330" s="28"/>
      <c r="F330" s="157">
        <v>6</v>
      </c>
      <c r="G330" s="55">
        <f t="shared" si="11"/>
        <v>1.3333333333333333</v>
      </c>
    </row>
    <row r="331" spans="1:7" x14ac:dyDescent="0.2">
      <c r="A331" s="100">
        <f t="shared" si="10"/>
        <v>28</v>
      </c>
      <c r="B331" s="29"/>
      <c r="C331" s="29"/>
      <c r="D331" s="27">
        <v>28</v>
      </c>
      <c r="E331" s="29"/>
      <c r="F331" s="158">
        <v>3</v>
      </c>
      <c r="G331" s="55">
        <f t="shared" si="11"/>
        <v>9.3333333333333339</v>
      </c>
    </row>
    <row r="332" spans="1:7" x14ac:dyDescent="0.2">
      <c r="A332" s="100">
        <f t="shared" si="10"/>
        <v>9</v>
      </c>
      <c r="B332" s="28"/>
      <c r="C332" s="25">
        <v>9</v>
      </c>
      <c r="D332" s="28"/>
      <c r="E332" s="28"/>
      <c r="F332" s="157">
        <v>4</v>
      </c>
      <c r="G332" s="55">
        <f t="shared" si="11"/>
        <v>2.25</v>
      </c>
    </row>
    <row r="333" spans="1:7" x14ac:dyDescent="0.2">
      <c r="A333" s="100">
        <f t="shared" si="10"/>
        <v>28</v>
      </c>
      <c r="B333" s="27">
        <v>6</v>
      </c>
      <c r="C333" s="29"/>
      <c r="D333" s="27">
        <v>22</v>
      </c>
      <c r="E333" s="29"/>
      <c r="F333" s="158">
        <v>5</v>
      </c>
      <c r="G333" s="55">
        <f t="shared" si="11"/>
        <v>5.6</v>
      </c>
    </row>
    <row r="334" spans="1:7" x14ac:dyDescent="0.2">
      <c r="A334" s="100">
        <f t="shared" si="10"/>
        <v>5</v>
      </c>
      <c r="B334" s="28"/>
      <c r="C334" s="25">
        <v>5</v>
      </c>
      <c r="D334" s="28"/>
      <c r="E334" s="28"/>
      <c r="F334" s="157">
        <v>5</v>
      </c>
      <c r="G334" s="55">
        <f t="shared" si="11"/>
        <v>1</v>
      </c>
    </row>
    <row r="335" spans="1:7" x14ac:dyDescent="0.2">
      <c r="A335" s="100">
        <f t="shared" si="10"/>
        <v>93</v>
      </c>
      <c r="B335" s="27">
        <v>3</v>
      </c>
      <c r="C335" s="29"/>
      <c r="D335" s="29"/>
      <c r="E335" s="27">
        <v>90</v>
      </c>
      <c r="F335" s="158">
        <v>4</v>
      </c>
      <c r="G335" s="55">
        <f t="shared" si="11"/>
        <v>23.25</v>
      </c>
    </row>
    <row r="336" spans="1:7" x14ac:dyDescent="0.2">
      <c r="A336" s="100">
        <f t="shared" si="10"/>
        <v>9</v>
      </c>
      <c r="B336" s="25">
        <v>9</v>
      </c>
      <c r="C336" s="28"/>
      <c r="D336" s="28"/>
      <c r="E336" s="28"/>
      <c r="F336" s="157">
        <v>4</v>
      </c>
      <c r="G336" s="55">
        <f t="shared" si="11"/>
        <v>2.25</v>
      </c>
    </row>
    <row r="337" spans="1:7" x14ac:dyDescent="0.2">
      <c r="A337" s="100">
        <f t="shared" si="10"/>
        <v>24</v>
      </c>
      <c r="B337" s="29"/>
      <c r="C337" s="29"/>
      <c r="D337" s="27">
        <v>24</v>
      </c>
      <c r="E337" s="29"/>
      <c r="F337" s="158">
        <v>4</v>
      </c>
      <c r="G337" s="55">
        <f t="shared" si="11"/>
        <v>6</v>
      </c>
    </row>
    <row r="338" spans="1:7" x14ac:dyDescent="0.2">
      <c r="A338" s="100">
        <f t="shared" si="10"/>
        <v>8</v>
      </c>
      <c r="B338" s="25">
        <v>8</v>
      </c>
      <c r="C338" s="28"/>
      <c r="D338" s="28"/>
      <c r="E338" s="28"/>
      <c r="F338" s="157">
        <v>5</v>
      </c>
      <c r="G338" s="55">
        <f t="shared" si="11"/>
        <v>1.6</v>
      </c>
    </row>
    <row r="339" spans="1:7" x14ac:dyDescent="0.2">
      <c r="A339" s="100">
        <f t="shared" si="10"/>
        <v>92</v>
      </c>
      <c r="B339" s="27">
        <v>4</v>
      </c>
      <c r="C339" s="29"/>
      <c r="D339" s="29"/>
      <c r="E339" s="27">
        <v>88</v>
      </c>
      <c r="F339" s="158">
        <v>5</v>
      </c>
      <c r="G339" s="55">
        <f t="shared" si="11"/>
        <v>18.399999999999999</v>
      </c>
    </row>
    <row r="340" spans="1:7" x14ac:dyDescent="0.2">
      <c r="A340" s="100">
        <f t="shared" si="10"/>
        <v>28</v>
      </c>
      <c r="B340" s="25">
        <v>28</v>
      </c>
      <c r="C340" s="28"/>
      <c r="D340" s="28"/>
      <c r="E340" s="28"/>
      <c r="F340" s="157">
        <v>5</v>
      </c>
      <c r="G340" s="55">
        <f t="shared" si="11"/>
        <v>5.6</v>
      </c>
    </row>
    <row r="341" spans="1:7" x14ac:dyDescent="0.2">
      <c r="A341" s="100">
        <f t="shared" si="10"/>
        <v>3</v>
      </c>
      <c r="B341" s="29"/>
      <c r="C341" s="27">
        <v>3</v>
      </c>
      <c r="D341" s="29"/>
      <c r="E341" s="29"/>
      <c r="F341" s="158">
        <v>5</v>
      </c>
      <c r="G341" s="55">
        <f t="shared" si="11"/>
        <v>0.6</v>
      </c>
    </row>
    <row r="342" spans="1:7" x14ac:dyDescent="0.2">
      <c r="A342" s="100">
        <f t="shared" si="10"/>
        <v>29</v>
      </c>
      <c r="B342" s="25">
        <v>6</v>
      </c>
      <c r="C342" s="28"/>
      <c r="D342" s="25">
        <v>23</v>
      </c>
      <c r="E342" s="28"/>
      <c r="F342" s="157">
        <v>4</v>
      </c>
      <c r="G342" s="55">
        <f t="shared" si="11"/>
        <v>7.25</v>
      </c>
    </row>
    <row r="343" spans="1:7" x14ac:dyDescent="0.2">
      <c r="A343" s="100">
        <f t="shared" si="10"/>
        <v>5</v>
      </c>
      <c r="B343" s="27">
        <v>5</v>
      </c>
      <c r="C343" s="29"/>
      <c r="D343" s="29"/>
      <c r="E343" s="29"/>
      <c r="F343" s="158">
        <v>5</v>
      </c>
      <c r="G343" s="55">
        <f t="shared" si="11"/>
        <v>1</v>
      </c>
    </row>
    <row r="344" spans="1:7" x14ac:dyDescent="0.2">
      <c r="A344" s="100">
        <f t="shared" si="10"/>
        <v>10</v>
      </c>
      <c r="B344" s="28"/>
      <c r="C344" s="25">
        <v>10</v>
      </c>
      <c r="D344" s="28"/>
      <c r="E344" s="28"/>
      <c r="F344" s="157">
        <v>4</v>
      </c>
      <c r="G344" s="55">
        <f t="shared" si="11"/>
        <v>2.5</v>
      </c>
    </row>
    <row r="345" spans="1:7" x14ac:dyDescent="0.2">
      <c r="A345" s="100">
        <f t="shared" si="10"/>
        <v>85</v>
      </c>
      <c r="B345" s="29"/>
      <c r="C345" s="29"/>
      <c r="D345" s="29"/>
      <c r="E345" s="27">
        <v>85</v>
      </c>
      <c r="F345" s="158">
        <v>4</v>
      </c>
      <c r="G345" s="55">
        <f t="shared" si="11"/>
        <v>21.25</v>
      </c>
    </row>
    <row r="346" spans="1:7" x14ac:dyDescent="0.2">
      <c r="A346" s="100">
        <f t="shared" si="10"/>
        <v>29</v>
      </c>
      <c r="B346" s="25">
        <v>5</v>
      </c>
      <c r="C346" s="28"/>
      <c r="D346" s="25">
        <v>24</v>
      </c>
      <c r="E346" s="28"/>
      <c r="F346" s="157">
        <v>4</v>
      </c>
      <c r="G346" s="55">
        <f t="shared" si="11"/>
        <v>7.25</v>
      </c>
    </row>
    <row r="347" spans="1:7" x14ac:dyDescent="0.2">
      <c r="A347" s="100">
        <f t="shared" si="10"/>
        <v>4</v>
      </c>
      <c r="B347" s="29"/>
      <c r="C347" s="27">
        <v>4</v>
      </c>
      <c r="D347" s="29"/>
      <c r="E347" s="29"/>
      <c r="F347" s="158">
        <v>5</v>
      </c>
      <c r="G347" s="55">
        <f t="shared" si="11"/>
        <v>0.8</v>
      </c>
    </row>
    <row r="348" spans="1:7" x14ac:dyDescent="0.2">
      <c r="A348" s="100">
        <f t="shared" si="10"/>
        <v>12</v>
      </c>
      <c r="B348" s="25">
        <v>12</v>
      </c>
      <c r="C348" s="28"/>
      <c r="D348" s="28"/>
      <c r="E348" s="28"/>
      <c r="F348" s="157">
        <v>5</v>
      </c>
      <c r="G348" s="55">
        <f t="shared" si="11"/>
        <v>2.4</v>
      </c>
    </row>
    <row r="349" spans="1:7" x14ac:dyDescent="0.2">
      <c r="A349" s="100">
        <f t="shared" si="10"/>
        <v>23</v>
      </c>
      <c r="B349" s="27">
        <v>4</v>
      </c>
      <c r="C349" s="29"/>
      <c r="D349" s="27">
        <v>19</v>
      </c>
      <c r="E349" s="29"/>
      <c r="F349" s="158">
        <v>4</v>
      </c>
      <c r="G349" s="55">
        <f t="shared" si="11"/>
        <v>5.75</v>
      </c>
    </row>
    <row r="350" spans="1:7" x14ac:dyDescent="0.2">
      <c r="A350" s="100">
        <f t="shared" si="10"/>
        <v>4</v>
      </c>
      <c r="B350" s="28"/>
      <c r="C350" s="25">
        <v>4</v>
      </c>
      <c r="D350" s="28"/>
      <c r="E350" s="28"/>
      <c r="F350" s="157">
        <v>5</v>
      </c>
      <c r="G350" s="55">
        <f t="shared" si="11"/>
        <v>0.8</v>
      </c>
    </row>
    <row r="351" spans="1:7" x14ac:dyDescent="0.2">
      <c r="A351" s="100">
        <f t="shared" si="10"/>
        <v>90</v>
      </c>
      <c r="B351" s="29"/>
      <c r="C351" s="29"/>
      <c r="D351" s="29"/>
      <c r="E351" s="27">
        <v>90</v>
      </c>
      <c r="F351" s="158">
        <v>5</v>
      </c>
      <c r="G351" s="55">
        <f t="shared" si="11"/>
        <v>18</v>
      </c>
    </row>
    <row r="352" spans="1:7" x14ac:dyDescent="0.2">
      <c r="A352" s="100">
        <f t="shared" si="10"/>
        <v>5</v>
      </c>
      <c r="B352" s="25">
        <v>5</v>
      </c>
      <c r="C352" s="28"/>
      <c r="D352" s="28"/>
      <c r="E352" s="28"/>
      <c r="F352" s="157">
        <v>3</v>
      </c>
      <c r="G352" s="55">
        <f t="shared" si="11"/>
        <v>1.6666666666666667</v>
      </c>
    </row>
    <row r="353" spans="1:7" x14ac:dyDescent="0.2">
      <c r="A353" s="100">
        <f t="shared" si="10"/>
        <v>10</v>
      </c>
      <c r="B353" s="27">
        <v>10</v>
      </c>
      <c r="C353" s="29"/>
      <c r="D353" s="29"/>
      <c r="E353" s="29"/>
      <c r="F353" s="158">
        <v>5</v>
      </c>
      <c r="G353" s="55">
        <f t="shared" si="11"/>
        <v>2</v>
      </c>
    </row>
    <row r="354" spans="1:7" x14ac:dyDescent="0.2">
      <c r="A354" s="100">
        <f t="shared" si="10"/>
        <v>4</v>
      </c>
      <c r="B354" s="28"/>
      <c r="C354" s="25">
        <v>4</v>
      </c>
      <c r="D354" s="28"/>
      <c r="E354" s="28"/>
      <c r="F354" s="157">
        <v>5</v>
      </c>
      <c r="G354" s="55">
        <f t="shared" si="11"/>
        <v>0.8</v>
      </c>
    </row>
    <row r="355" spans="1:7" x14ac:dyDescent="0.2">
      <c r="A355" s="100">
        <f t="shared" si="10"/>
        <v>24</v>
      </c>
      <c r="B355" s="27">
        <v>4</v>
      </c>
      <c r="C355" s="29"/>
      <c r="D355" s="27">
        <v>20</v>
      </c>
      <c r="E355" s="29"/>
      <c r="F355" s="158">
        <v>4</v>
      </c>
      <c r="G355" s="55">
        <f t="shared" si="11"/>
        <v>6</v>
      </c>
    </row>
    <row r="356" spans="1:7" x14ac:dyDescent="0.2">
      <c r="A356" s="100">
        <f t="shared" si="10"/>
        <v>7</v>
      </c>
      <c r="B356" s="25">
        <v>7</v>
      </c>
      <c r="C356" s="28"/>
      <c r="D356" s="28"/>
      <c r="E356" s="28"/>
      <c r="F356" s="157">
        <v>4</v>
      </c>
      <c r="G356" s="55">
        <f t="shared" si="11"/>
        <v>1.75</v>
      </c>
    </row>
    <row r="357" spans="1:7" x14ac:dyDescent="0.2">
      <c r="A357" s="100">
        <f t="shared" si="10"/>
        <v>91</v>
      </c>
      <c r="B357" s="27">
        <v>3</v>
      </c>
      <c r="C357" s="29"/>
      <c r="D357" s="29"/>
      <c r="E357" s="27">
        <v>88</v>
      </c>
      <c r="F357" s="158">
        <v>5</v>
      </c>
      <c r="G357" s="55">
        <f t="shared" si="11"/>
        <v>18.2</v>
      </c>
    </row>
    <row r="358" spans="1:7" x14ac:dyDescent="0.2">
      <c r="A358" s="100">
        <f t="shared" si="10"/>
        <v>25</v>
      </c>
      <c r="B358" s="28"/>
      <c r="C358" s="28"/>
      <c r="D358" s="25">
        <v>25</v>
      </c>
      <c r="E358" s="28"/>
      <c r="F358" s="157">
        <v>4</v>
      </c>
      <c r="G358" s="55">
        <f t="shared" si="11"/>
        <v>6.25</v>
      </c>
    </row>
    <row r="359" spans="1:7" x14ac:dyDescent="0.2">
      <c r="A359" s="100">
        <f t="shared" si="10"/>
        <v>3</v>
      </c>
      <c r="B359" s="29"/>
      <c r="C359" s="27">
        <v>3</v>
      </c>
      <c r="D359" s="29"/>
      <c r="E359" s="29"/>
      <c r="F359" s="158">
        <v>5</v>
      </c>
      <c r="G359" s="55">
        <f t="shared" si="11"/>
        <v>0.6</v>
      </c>
    </row>
    <row r="360" spans="1:7" x14ac:dyDescent="0.2">
      <c r="A360" s="100">
        <f t="shared" si="10"/>
        <v>26</v>
      </c>
      <c r="B360" s="25">
        <v>5</v>
      </c>
      <c r="C360" s="28"/>
      <c r="D360" s="25">
        <v>21</v>
      </c>
      <c r="E360" s="28"/>
      <c r="F360" s="157">
        <v>4</v>
      </c>
      <c r="G360" s="55">
        <f t="shared" si="11"/>
        <v>6.5</v>
      </c>
    </row>
    <row r="361" spans="1:7" x14ac:dyDescent="0.2">
      <c r="A361" s="100">
        <f t="shared" si="10"/>
        <v>10</v>
      </c>
      <c r="B361" s="27">
        <v>10</v>
      </c>
      <c r="C361" s="29"/>
      <c r="D361" s="29"/>
      <c r="E361" s="29"/>
      <c r="F361" s="158">
        <v>4</v>
      </c>
      <c r="G361" s="55">
        <f t="shared" si="11"/>
        <v>2.5</v>
      </c>
    </row>
    <row r="362" spans="1:7" x14ac:dyDescent="0.2">
      <c r="A362" s="100">
        <f t="shared" si="10"/>
        <v>9</v>
      </c>
      <c r="B362" s="25">
        <v>9</v>
      </c>
      <c r="C362" s="28"/>
      <c r="D362" s="28"/>
      <c r="E362" s="28"/>
      <c r="F362" s="157">
        <v>5</v>
      </c>
      <c r="G362" s="55">
        <f t="shared" si="11"/>
        <v>1.8</v>
      </c>
    </row>
    <row r="363" spans="1:7" x14ac:dyDescent="0.2">
      <c r="A363" s="100">
        <f t="shared" si="10"/>
        <v>6</v>
      </c>
      <c r="B363" s="29"/>
      <c r="C363" s="27">
        <v>6</v>
      </c>
      <c r="D363" s="29"/>
      <c r="E363" s="29"/>
      <c r="F363" s="158">
        <v>4</v>
      </c>
      <c r="G363" s="55">
        <f t="shared" si="11"/>
        <v>1.5</v>
      </c>
    </row>
    <row r="364" spans="1:7" x14ac:dyDescent="0.2">
      <c r="A364" s="100">
        <f t="shared" si="10"/>
        <v>26</v>
      </c>
      <c r="B364" s="25">
        <v>5</v>
      </c>
      <c r="C364" s="28"/>
      <c r="D364" s="25">
        <v>21</v>
      </c>
      <c r="E364" s="28"/>
      <c r="F364" s="157">
        <v>4</v>
      </c>
      <c r="G364" s="55">
        <f t="shared" si="11"/>
        <v>6.5</v>
      </c>
    </row>
    <row r="365" spans="1:7" x14ac:dyDescent="0.2">
      <c r="A365" s="100">
        <f t="shared" si="10"/>
        <v>4</v>
      </c>
      <c r="B365" s="27">
        <v>4</v>
      </c>
      <c r="C365" s="29"/>
      <c r="D365" s="29"/>
      <c r="E365" s="29"/>
      <c r="F365" s="158">
        <v>4</v>
      </c>
      <c r="G365" s="55">
        <f t="shared" si="11"/>
        <v>1</v>
      </c>
    </row>
    <row r="366" spans="1:7" x14ac:dyDescent="0.2">
      <c r="A366" s="100">
        <f t="shared" si="10"/>
        <v>8</v>
      </c>
      <c r="B366" s="25">
        <v>8</v>
      </c>
      <c r="C366" s="28"/>
      <c r="D366" s="28"/>
      <c r="E366" s="28"/>
      <c r="F366" s="157">
        <v>4</v>
      </c>
      <c r="G366" s="55">
        <f t="shared" si="11"/>
        <v>2</v>
      </c>
    </row>
    <row r="367" spans="1:7" x14ac:dyDescent="0.2">
      <c r="A367" s="100">
        <f t="shared" si="10"/>
        <v>83</v>
      </c>
      <c r="B367" s="27">
        <v>3</v>
      </c>
      <c r="C367" s="29"/>
      <c r="D367" s="29"/>
      <c r="E367" s="27">
        <v>80</v>
      </c>
      <c r="F367" s="158">
        <v>6</v>
      </c>
      <c r="G367" s="55">
        <f t="shared" si="11"/>
        <v>13.833333333333334</v>
      </c>
    </row>
    <row r="368" spans="1:7" x14ac:dyDescent="0.2">
      <c r="A368" s="100">
        <f t="shared" si="10"/>
        <v>11</v>
      </c>
      <c r="B368" s="25">
        <v>11</v>
      </c>
      <c r="C368" s="28"/>
      <c r="D368" s="28"/>
      <c r="E368" s="28"/>
      <c r="F368" s="157">
        <v>3</v>
      </c>
      <c r="G368" s="55">
        <f t="shared" si="11"/>
        <v>3.6666666666666665</v>
      </c>
    </row>
    <row r="369" spans="1:7" x14ac:dyDescent="0.2">
      <c r="A369" s="100">
        <f t="shared" si="10"/>
        <v>3</v>
      </c>
      <c r="B369" s="29"/>
      <c r="C369" s="27">
        <v>3</v>
      </c>
      <c r="D369" s="29"/>
      <c r="E369" s="29"/>
      <c r="F369" s="158">
        <v>5</v>
      </c>
      <c r="G369" s="55">
        <f t="shared" si="11"/>
        <v>0.6</v>
      </c>
    </row>
    <row r="370" spans="1:7" x14ac:dyDescent="0.2">
      <c r="A370" s="100">
        <f t="shared" si="10"/>
        <v>28</v>
      </c>
      <c r="B370" s="25">
        <v>5</v>
      </c>
      <c r="C370" s="28"/>
      <c r="D370" s="25">
        <v>23</v>
      </c>
      <c r="E370" s="28"/>
      <c r="F370" s="157">
        <v>5</v>
      </c>
      <c r="G370" s="55">
        <f t="shared" si="11"/>
        <v>5.6</v>
      </c>
    </row>
    <row r="371" spans="1:7" x14ac:dyDescent="0.2">
      <c r="A371" s="100">
        <f t="shared" si="10"/>
        <v>18</v>
      </c>
      <c r="B371" s="29"/>
      <c r="C371" s="29"/>
      <c r="D371" s="27">
        <v>18</v>
      </c>
      <c r="E371" s="29"/>
      <c r="F371" s="158">
        <v>4</v>
      </c>
      <c r="G371" s="55">
        <f t="shared" si="11"/>
        <v>4.5</v>
      </c>
    </row>
    <row r="372" spans="1:7" x14ac:dyDescent="0.2">
      <c r="A372" s="100">
        <f t="shared" si="10"/>
        <v>9</v>
      </c>
      <c r="B372" s="28"/>
      <c r="C372" s="25">
        <v>9</v>
      </c>
      <c r="D372" s="28"/>
      <c r="E372" s="28"/>
      <c r="F372" s="157">
        <v>4</v>
      </c>
      <c r="G372" s="55">
        <f t="shared" si="11"/>
        <v>2.25</v>
      </c>
    </row>
    <row r="373" spans="1:7" x14ac:dyDescent="0.2">
      <c r="A373" s="100">
        <f t="shared" si="10"/>
        <v>12</v>
      </c>
      <c r="B373" s="27">
        <v>12</v>
      </c>
      <c r="C373" s="29"/>
      <c r="D373" s="29"/>
      <c r="E373" s="29"/>
      <c r="F373" s="158">
        <v>4</v>
      </c>
      <c r="G373" s="55">
        <f t="shared" si="11"/>
        <v>3</v>
      </c>
    </row>
    <row r="374" spans="1:7" x14ac:dyDescent="0.2">
      <c r="A374" s="100">
        <f t="shared" si="10"/>
        <v>22</v>
      </c>
      <c r="B374" s="25">
        <v>22</v>
      </c>
      <c r="C374" s="28"/>
      <c r="D374" s="28"/>
      <c r="E374" s="28"/>
      <c r="F374" s="157">
        <v>4</v>
      </c>
      <c r="G374" s="55">
        <f t="shared" si="11"/>
        <v>5.5</v>
      </c>
    </row>
    <row r="375" spans="1:7" x14ac:dyDescent="0.2">
      <c r="A375" s="100">
        <f t="shared" si="10"/>
        <v>15</v>
      </c>
      <c r="B375" s="27">
        <v>15</v>
      </c>
      <c r="C375" s="29"/>
      <c r="D375" s="29"/>
      <c r="E375" s="29"/>
      <c r="F375" s="158">
        <v>5</v>
      </c>
      <c r="G375" s="55">
        <f t="shared" si="11"/>
        <v>3</v>
      </c>
    </row>
    <row r="376" spans="1:7" x14ac:dyDescent="0.2">
      <c r="A376" s="100">
        <f t="shared" si="10"/>
        <v>55</v>
      </c>
      <c r="B376" s="28"/>
      <c r="C376" s="28"/>
      <c r="D376" s="25">
        <v>55</v>
      </c>
      <c r="E376" s="28"/>
      <c r="F376" s="157">
        <v>4</v>
      </c>
      <c r="G376" s="55">
        <f t="shared" si="11"/>
        <v>13.75</v>
      </c>
    </row>
    <row r="377" spans="1:7" x14ac:dyDescent="0.2">
      <c r="A377" s="100">
        <f t="shared" si="10"/>
        <v>8</v>
      </c>
      <c r="B377" s="29"/>
      <c r="C377" s="27">
        <v>8</v>
      </c>
      <c r="D377" s="29"/>
      <c r="E377" s="29"/>
      <c r="F377" s="158">
        <v>5</v>
      </c>
      <c r="G377" s="55">
        <f t="shared" si="11"/>
        <v>1.6</v>
      </c>
    </row>
    <row r="378" spans="1:7" x14ac:dyDescent="0.2">
      <c r="A378" s="100">
        <f t="shared" si="10"/>
        <v>18</v>
      </c>
      <c r="B378" s="25">
        <v>18</v>
      </c>
      <c r="C378" s="28"/>
      <c r="D378" s="28"/>
      <c r="E378" s="28"/>
      <c r="F378" s="157">
        <v>5</v>
      </c>
      <c r="G378" s="55">
        <f t="shared" si="11"/>
        <v>3.6</v>
      </c>
    </row>
    <row r="379" spans="1:7" x14ac:dyDescent="0.2">
      <c r="A379" s="100">
        <f t="shared" si="10"/>
        <v>24</v>
      </c>
      <c r="B379" s="27">
        <v>24</v>
      </c>
      <c r="C379" s="29"/>
      <c r="D379" s="29"/>
      <c r="E379" s="29"/>
      <c r="F379" s="158">
        <v>4</v>
      </c>
      <c r="G379" s="55">
        <f t="shared" si="11"/>
        <v>6</v>
      </c>
    </row>
    <row r="380" spans="1:7" x14ac:dyDescent="0.2">
      <c r="A380" s="100">
        <f t="shared" si="10"/>
        <v>20</v>
      </c>
      <c r="B380" s="25">
        <v>20</v>
      </c>
      <c r="C380" s="28"/>
      <c r="D380" s="28"/>
      <c r="E380" s="28"/>
      <c r="F380" s="157">
        <v>6</v>
      </c>
      <c r="G380" s="55">
        <f t="shared" si="11"/>
        <v>3.3333333333333335</v>
      </c>
    </row>
    <row r="381" spans="1:7" x14ac:dyDescent="0.2">
      <c r="A381" s="100">
        <f t="shared" si="10"/>
        <v>24</v>
      </c>
      <c r="B381" s="29"/>
      <c r="C381" s="29"/>
      <c r="D381" s="27">
        <v>24</v>
      </c>
      <c r="E381" s="29"/>
      <c r="F381" s="158">
        <v>5</v>
      </c>
      <c r="G381" s="55">
        <f t="shared" si="11"/>
        <v>4.8</v>
      </c>
    </row>
    <row r="382" spans="1:7" x14ac:dyDescent="0.2">
      <c r="A382" s="100">
        <f t="shared" si="10"/>
        <v>4</v>
      </c>
      <c r="B382" s="28"/>
      <c r="C382" s="25">
        <v>4</v>
      </c>
      <c r="D382" s="28"/>
      <c r="E382" s="28"/>
      <c r="F382" s="157">
        <v>4</v>
      </c>
      <c r="G382" s="55">
        <f t="shared" si="11"/>
        <v>1</v>
      </c>
    </row>
    <row r="383" spans="1:7" x14ac:dyDescent="0.2">
      <c r="A383" s="100">
        <f t="shared" si="10"/>
        <v>93</v>
      </c>
      <c r="B383" s="27">
        <v>3</v>
      </c>
      <c r="C383" s="29"/>
      <c r="D383" s="29"/>
      <c r="E383" s="27">
        <v>90</v>
      </c>
      <c r="F383" s="158">
        <v>5</v>
      </c>
      <c r="G383" s="55">
        <f t="shared" si="11"/>
        <v>18.600000000000001</v>
      </c>
    </row>
    <row r="384" spans="1:7" x14ac:dyDescent="0.2">
      <c r="A384" s="100">
        <f t="shared" si="10"/>
        <v>9</v>
      </c>
      <c r="B384" s="25">
        <v>9</v>
      </c>
      <c r="C384" s="28"/>
      <c r="D384" s="28"/>
      <c r="E384" s="28"/>
      <c r="F384" s="157">
        <v>3</v>
      </c>
      <c r="G384" s="55">
        <f t="shared" si="11"/>
        <v>3</v>
      </c>
    </row>
    <row r="385" spans="1:7" x14ac:dyDescent="0.2">
      <c r="A385" s="100">
        <f t="shared" si="10"/>
        <v>70</v>
      </c>
      <c r="B385" s="29"/>
      <c r="C385" s="29"/>
      <c r="D385" s="29"/>
      <c r="E385" s="29">
        <v>70</v>
      </c>
      <c r="F385" s="158">
        <v>5</v>
      </c>
      <c r="G385" s="55">
        <f t="shared" si="11"/>
        <v>14</v>
      </c>
    </row>
    <row r="386" spans="1:7" x14ac:dyDescent="0.2">
      <c r="A386" s="100">
        <f t="shared" si="10"/>
        <v>85</v>
      </c>
      <c r="B386" s="28"/>
      <c r="C386" s="28"/>
      <c r="D386" s="28"/>
      <c r="E386" s="25">
        <v>85</v>
      </c>
      <c r="F386" s="157">
        <v>5</v>
      </c>
      <c r="G386" s="55">
        <f t="shared" si="11"/>
        <v>17</v>
      </c>
    </row>
    <row r="387" spans="1:7" x14ac:dyDescent="0.2">
      <c r="A387" s="100">
        <f t="shared" ref="A387:A450" si="12">IFERROR(B387,0)+IFERROR(C387,0)+IFERROR(D387,0)+IFERROR(E387,0)</f>
        <v>28</v>
      </c>
      <c r="B387" s="27">
        <v>5</v>
      </c>
      <c r="C387" s="29"/>
      <c r="D387" s="27">
        <v>23</v>
      </c>
      <c r="E387" s="29"/>
      <c r="F387" s="158">
        <v>4</v>
      </c>
      <c r="G387" s="55">
        <f t="shared" ref="G387:G450" si="13">IFERROR(A387/F387," ")</f>
        <v>7</v>
      </c>
    </row>
    <row r="388" spans="1:7" x14ac:dyDescent="0.2">
      <c r="A388" s="100">
        <f t="shared" si="12"/>
        <v>3</v>
      </c>
      <c r="B388" s="28"/>
      <c r="C388" s="25">
        <v>3</v>
      </c>
      <c r="D388" s="28"/>
      <c r="E388" s="28"/>
      <c r="F388" s="157">
        <v>5</v>
      </c>
      <c r="G388" s="55">
        <f t="shared" si="13"/>
        <v>0.6</v>
      </c>
    </row>
    <row r="389" spans="1:7" x14ac:dyDescent="0.2">
      <c r="A389" s="100">
        <f t="shared" si="12"/>
        <v>27</v>
      </c>
      <c r="B389" s="27">
        <v>5</v>
      </c>
      <c r="C389" s="29"/>
      <c r="D389" s="27">
        <v>22</v>
      </c>
      <c r="E389" s="29"/>
      <c r="F389" s="158">
        <v>4</v>
      </c>
      <c r="G389" s="55">
        <f t="shared" si="13"/>
        <v>6.75</v>
      </c>
    </row>
    <row r="390" spans="1:7" x14ac:dyDescent="0.2">
      <c r="A390" s="100">
        <f t="shared" si="12"/>
        <v>9</v>
      </c>
      <c r="B390" s="25">
        <v>9</v>
      </c>
      <c r="C390" s="28"/>
      <c r="D390" s="28"/>
      <c r="E390" s="28"/>
      <c r="F390" s="157">
        <v>5</v>
      </c>
      <c r="G390" s="55">
        <f t="shared" si="13"/>
        <v>1.8</v>
      </c>
    </row>
    <row r="391" spans="1:7" x14ac:dyDescent="0.2">
      <c r="A391" s="100">
        <f t="shared" si="12"/>
        <v>10</v>
      </c>
      <c r="B391" s="27">
        <v>10</v>
      </c>
      <c r="C391" s="29"/>
      <c r="D391" s="29"/>
      <c r="E391" s="29"/>
      <c r="F391" s="158">
        <v>4</v>
      </c>
      <c r="G391" s="55">
        <f t="shared" si="13"/>
        <v>2.5</v>
      </c>
    </row>
    <row r="392" spans="1:7" x14ac:dyDescent="0.2">
      <c r="A392" s="100">
        <f t="shared" si="12"/>
        <v>10</v>
      </c>
      <c r="B392" s="25">
        <v>7</v>
      </c>
      <c r="C392" s="25">
        <v>3</v>
      </c>
      <c r="D392" s="28"/>
      <c r="E392" s="28"/>
      <c r="F392" s="157">
        <v>4</v>
      </c>
      <c r="G392" s="55">
        <f t="shared" si="13"/>
        <v>2.5</v>
      </c>
    </row>
    <row r="393" spans="1:7" x14ac:dyDescent="0.2">
      <c r="A393" s="100">
        <f t="shared" si="12"/>
        <v>5</v>
      </c>
      <c r="B393" s="29"/>
      <c r="C393" s="27">
        <v>5</v>
      </c>
      <c r="D393" s="29"/>
      <c r="E393" s="29"/>
      <c r="F393" s="158">
        <v>5</v>
      </c>
      <c r="G393" s="55">
        <f t="shared" si="13"/>
        <v>1</v>
      </c>
    </row>
    <row r="394" spans="1:7" x14ac:dyDescent="0.2">
      <c r="A394" s="100">
        <f t="shared" si="12"/>
        <v>4</v>
      </c>
      <c r="B394" s="25">
        <v>4</v>
      </c>
      <c r="C394" s="28"/>
      <c r="D394" s="28"/>
      <c r="E394" s="28"/>
      <c r="F394" s="157">
        <v>4</v>
      </c>
      <c r="G394" s="55">
        <f t="shared" si="13"/>
        <v>1</v>
      </c>
    </row>
    <row r="395" spans="1:7" x14ac:dyDescent="0.2">
      <c r="A395" s="100">
        <f t="shared" si="12"/>
        <v>3</v>
      </c>
      <c r="B395" s="29"/>
      <c r="C395" s="27">
        <v>3</v>
      </c>
      <c r="D395" s="29"/>
      <c r="E395" s="29"/>
      <c r="F395" s="158">
        <v>5</v>
      </c>
      <c r="G395" s="55">
        <f t="shared" si="13"/>
        <v>0.6</v>
      </c>
    </row>
    <row r="396" spans="1:7" x14ac:dyDescent="0.2">
      <c r="A396" s="100">
        <f t="shared" si="12"/>
        <v>29</v>
      </c>
      <c r="B396" s="25">
        <v>5</v>
      </c>
      <c r="C396" s="25">
        <v>4</v>
      </c>
      <c r="D396" s="25">
        <v>20</v>
      </c>
      <c r="E396" s="28"/>
      <c r="F396" s="157">
        <v>4</v>
      </c>
      <c r="G396" s="55">
        <f t="shared" si="13"/>
        <v>7.25</v>
      </c>
    </row>
    <row r="397" spans="1:7" x14ac:dyDescent="0.2">
      <c r="A397" s="100">
        <f t="shared" si="12"/>
        <v>11</v>
      </c>
      <c r="B397" s="27">
        <v>11</v>
      </c>
      <c r="C397" s="29"/>
      <c r="D397" s="29"/>
      <c r="E397" s="29"/>
      <c r="F397" s="158">
        <v>5</v>
      </c>
      <c r="G397" s="55">
        <f t="shared" si="13"/>
        <v>2.2000000000000002</v>
      </c>
    </row>
    <row r="398" spans="1:7" x14ac:dyDescent="0.2">
      <c r="A398" s="100">
        <f t="shared" si="12"/>
        <v>2</v>
      </c>
      <c r="B398" s="28"/>
      <c r="C398" s="25">
        <v>2</v>
      </c>
      <c r="D398" s="28"/>
      <c r="E398" s="28"/>
      <c r="F398" s="157">
        <v>5</v>
      </c>
      <c r="G398" s="55">
        <f t="shared" si="13"/>
        <v>0.4</v>
      </c>
    </row>
    <row r="399" spans="1:7" x14ac:dyDescent="0.2">
      <c r="A399" s="100">
        <f t="shared" si="12"/>
        <v>12</v>
      </c>
      <c r="B399" s="27">
        <v>12</v>
      </c>
      <c r="C399" s="29"/>
      <c r="D399" s="29"/>
      <c r="E399" s="29"/>
      <c r="F399" s="158">
        <v>4</v>
      </c>
      <c r="G399" s="55">
        <f t="shared" si="13"/>
        <v>3</v>
      </c>
    </row>
    <row r="400" spans="1:7" x14ac:dyDescent="0.2">
      <c r="A400" s="100">
        <f t="shared" si="12"/>
        <v>12</v>
      </c>
      <c r="B400" s="25">
        <v>12</v>
      </c>
      <c r="C400" s="28"/>
      <c r="D400" s="28"/>
      <c r="E400" s="28"/>
      <c r="F400" s="157">
        <v>5</v>
      </c>
      <c r="G400" s="55">
        <f t="shared" si="13"/>
        <v>2.4</v>
      </c>
    </row>
    <row r="401" spans="1:7" x14ac:dyDescent="0.2">
      <c r="A401" s="100">
        <f t="shared" si="12"/>
        <v>3</v>
      </c>
      <c r="B401" s="27">
        <v>3</v>
      </c>
      <c r="C401" s="29"/>
      <c r="D401" s="29"/>
      <c r="E401" s="29"/>
      <c r="F401" s="158">
        <v>5</v>
      </c>
      <c r="G401" s="55">
        <f t="shared" si="13"/>
        <v>0.6</v>
      </c>
    </row>
    <row r="402" spans="1:7" x14ac:dyDescent="0.2">
      <c r="A402" s="100">
        <f t="shared" si="12"/>
        <v>27</v>
      </c>
      <c r="B402" s="25">
        <v>6</v>
      </c>
      <c r="C402" s="28"/>
      <c r="D402" s="25">
        <v>21</v>
      </c>
      <c r="E402" s="28"/>
      <c r="F402" s="157">
        <v>4</v>
      </c>
      <c r="G402" s="55">
        <f t="shared" si="13"/>
        <v>6.75</v>
      </c>
    </row>
    <row r="403" spans="1:7" x14ac:dyDescent="0.2">
      <c r="A403" s="100">
        <f t="shared" si="12"/>
        <v>5</v>
      </c>
      <c r="B403" s="29"/>
      <c r="C403" s="27">
        <v>5</v>
      </c>
      <c r="D403" s="29"/>
      <c r="E403" s="29"/>
      <c r="F403" s="158">
        <v>5</v>
      </c>
      <c r="G403" s="55">
        <f t="shared" si="13"/>
        <v>1</v>
      </c>
    </row>
    <row r="404" spans="1:7" x14ac:dyDescent="0.2">
      <c r="A404" s="100">
        <f t="shared" si="12"/>
        <v>95</v>
      </c>
      <c r="B404" s="28"/>
      <c r="C404" s="28"/>
      <c r="D404" s="28"/>
      <c r="E404" s="25">
        <v>95</v>
      </c>
      <c r="F404" s="157">
        <v>6</v>
      </c>
      <c r="G404" s="55">
        <f t="shared" si="13"/>
        <v>15.833333333333334</v>
      </c>
    </row>
    <row r="405" spans="1:7" x14ac:dyDescent="0.2">
      <c r="A405" s="100">
        <f t="shared" si="12"/>
        <v>11</v>
      </c>
      <c r="B405" s="27">
        <v>11</v>
      </c>
      <c r="C405" s="29"/>
      <c r="D405" s="29"/>
      <c r="E405" s="29"/>
      <c r="F405" s="158">
        <v>4</v>
      </c>
      <c r="G405" s="55">
        <f t="shared" si="13"/>
        <v>2.75</v>
      </c>
    </row>
    <row r="406" spans="1:7" x14ac:dyDescent="0.2">
      <c r="A406" s="100">
        <f t="shared" si="12"/>
        <v>86</v>
      </c>
      <c r="B406" s="25">
        <v>6</v>
      </c>
      <c r="C406" s="28"/>
      <c r="D406" s="28"/>
      <c r="E406" s="25">
        <v>80</v>
      </c>
      <c r="F406" s="157">
        <v>5</v>
      </c>
      <c r="G406" s="55">
        <f t="shared" si="13"/>
        <v>17.2</v>
      </c>
    </row>
    <row r="407" spans="1:7" x14ac:dyDescent="0.2">
      <c r="A407" s="100">
        <f t="shared" si="12"/>
        <v>5</v>
      </c>
      <c r="B407" s="29"/>
      <c r="C407" s="27">
        <v>5</v>
      </c>
      <c r="D407" s="29"/>
      <c r="E407" s="29"/>
      <c r="F407" s="158">
        <v>5</v>
      </c>
      <c r="G407" s="55">
        <f t="shared" si="13"/>
        <v>1</v>
      </c>
    </row>
    <row r="408" spans="1:7" x14ac:dyDescent="0.2">
      <c r="A408" s="100">
        <f t="shared" si="12"/>
        <v>12</v>
      </c>
      <c r="B408" s="25">
        <v>12</v>
      </c>
      <c r="C408" s="28"/>
      <c r="D408" s="28"/>
      <c r="E408" s="28"/>
      <c r="F408" s="157">
        <v>5</v>
      </c>
      <c r="G408" s="55">
        <f t="shared" si="13"/>
        <v>2.4</v>
      </c>
    </row>
    <row r="409" spans="1:7" x14ac:dyDescent="0.2">
      <c r="A409" s="100">
        <f t="shared" si="12"/>
        <v>3</v>
      </c>
      <c r="B409" s="27">
        <v>3</v>
      </c>
      <c r="C409" s="29"/>
      <c r="D409" s="29"/>
      <c r="E409" s="29"/>
      <c r="F409" s="158">
        <v>5</v>
      </c>
      <c r="G409" s="55">
        <f t="shared" si="13"/>
        <v>0.6</v>
      </c>
    </row>
    <row r="410" spans="1:7" x14ac:dyDescent="0.2">
      <c r="A410" s="100">
        <f t="shared" si="12"/>
        <v>24</v>
      </c>
      <c r="B410" s="25">
        <v>24</v>
      </c>
      <c r="C410" s="28"/>
      <c r="D410" s="28"/>
      <c r="E410" s="28"/>
      <c r="F410" s="157">
        <v>5</v>
      </c>
      <c r="G410" s="55">
        <f t="shared" si="13"/>
        <v>4.8</v>
      </c>
    </row>
    <row r="411" spans="1:7" x14ac:dyDescent="0.2">
      <c r="A411" s="100">
        <f t="shared" si="12"/>
        <v>2</v>
      </c>
      <c r="B411" s="29"/>
      <c r="C411" s="27">
        <v>2</v>
      </c>
      <c r="D411" s="29"/>
      <c r="E411" s="29"/>
      <c r="F411" s="158">
        <v>5</v>
      </c>
      <c r="G411" s="55">
        <f t="shared" si="13"/>
        <v>0.4</v>
      </c>
    </row>
    <row r="412" spans="1:7" x14ac:dyDescent="0.2">
      <c r="A412" s="100">
        <f t="shared" si="12"/>
        <v>27</v>
      </c>
      <c r="B412" s="25">
        <v>5</v>
      </c>
      <c r="C412" s="28"/>
      <c r="D412" s="25">
        <v>22</v>
      </c>
      <c r="E412" s="28"/>
      <c r="F412" s="157">
        <v>4</v>
      </c>
      <c r="G412" s="55">
        <f t="shared" si="13"/>
        <v>6.75</v>
      </c>
    </row>
    <row r="413" spans="1:7" x14ac:dyDescent="0.2">
      <c r="A413" s="100">
        <f t="shared" si="12"/>
        <v>3</v>
      </c>
      <c r="B413" s="29"/>
      <c r="C413" s="27">
        <v>3</v>
      </c>
      <c r="D413" s="29"/>
      <c r="E413" s="29"/>
      <c r="F413" s="158">
        <v>5</v>
      </c>
      <c r="G413" s="55">
        <f t="shared" si="13"/>
        <v>0.6</v>
      </c>
    </row>
    <row r="414" spans="1:7" x14ac:dyDescent="0.2">
      <c r="A414" s="100">
        <f t="shared" si="12"/>
        <v>13</v>
      </c>
      <c r="B414" s="25">
        <v>13</v>
      </c>
      <c r="C414" s="28"/>
      <c r="D414" s="28"/>
      <c r="E414" s="28"/>
      <c r="F414" s="157">
        <v>4</v>
      </c>
      <c r="G414" s="55">
        <f t="shared" si="13"/>
        <v>3.25</v>
      </c>
    </row>
    <row r="415" spans="1:7" x14ac:dyDescent="0.2">
      <c r="A415" s="100">
        <f t="shared" si="12"/>
        <v>94</v>
      </c>
      <c r="B415" s="27">
        <v>4</v>
      </c>
      <c r="C415" s="29"/>
      <c r="D415" s="29"/>
      <c r="E415" s="27">
        <v>90</v>
      </c>
      <c r="F415" s="158">
        <v>6</v>
      </c>
      <c r="G415" s="55">
        <f t="shared" si="13"/>
        <v>15.666666666666666</v>
      </c>
    </row>
    <row r="416" spans="1:7" x14ac:dyDescent="0.2">
      <c r="A416" s="100">
        <f t="shared" si="12"/>
        <v>5</v>
      </c>
      <c r="B416" s="28"/>
      <c r="C416" s="25">
        <v>5</v>
      </c>
      <c r="D416" s="28"/>
      <c r="E416" s="28"/>
      <c r="F416" s="157">
        <v>3</v>
      </c>
      <c r="G416" s="55">
        <f t="shared" si="13"/>
        <v>1.6666666666666667</v>
      </c>
    </row>
    <row r="417" spans="1:7" x14ac:dyDescent="0.2">
      <c r="A417" s="100">
        <f t="shared" si="12"/>
        <v>31</v>
      </c>
      <c r="B417" s="27">
        <v>4</v>
      </c>
      <c r="C417" s="27">
        <v>3</v>
      </c>
      <c r="D417" s="27">
        <v>24</v>
      </c>
      <c r="E417" s="29"/>
      <c r="F417" s="158">
        <v>4</v>
      </c>
      <c r="G417" s="55">
        <f t="shared" si="13"/>
        <v>7.75</v>
      </c>
    </row>
    <row r="418" spans="1:7" x14ac:dyDescent="0.2">
      <c r="A418" s="100">
        <f t="shared" si="12"/>
        <v>3</v>
      </c>
      <c r="B418" s="25">
        <v>3</v>
      </c>
      <c r="C418" s="28"/>
      <c r="D418" s="28"/>
      <c r="E418" s="28"/>
      <c r="F418" s="157">
        <v>6</v>
      </c>
      <c r="G418" s="55">
        <f t="shared" si="13"/>
        <v>0.5</v>
      </c>
    </row>
    <row r="419" spans="1:7" x14ac:dyDescent="0.2">
      <c r="A419" s="100">
        <f t="shared" si="12"/>
        <v>26</v>
      </c>
      <c r="B419" s="29"/>
      <c r="C419" s="29"/>
      <c r="D419" s="27">
        <v>26</v>
      </c>
      <c r="E419" s="29"/>
      <c r="F419" s="158">
        <v>4</v>
      </c>
      <c r="G419" s="55">
        <f t="shared" si="13"/>
        <v>6.5</v>
      </c>
    </row>
    <row r="420" spans="1:7" x14ac:dyDescent="0.2">
      <c r="A420" s="100">
        <f t="shared" si="12"/>
        <v>11</v>
      </c>
      <c r="B420" s="25">
        <v>11</v>
      </c>
      <c r="C420" s="28"/>
      <c r="D420" s="28"/>
      <c r="E420" s="28"/>
      <c r="F420" s="157">
        <v>3</v>
      </c>
      <c r="G420" s="55">
        <f t="shared" si="13"/>
        <v>3.6666666666666665</v>
      </c>
    </row>
    <row r="421" spans="1:7" x14ac:dyDescent="0.2">
      <c r="A421" s="100">
        <f t="shared" si="12"/>
        <v>3</v>
      </c>
      <c r="B421" s="27">
        <v>3</v>
      </c>
      <c r="C421" s="27"/>
      <c r="D421" s="29"/>
      <c r="E421" s="29"/>
      <c r="F421" s="158">
        <v>5</v>
      </c>
      <c r="G421" s="55">
        <f t="shared" si="13"/>
        <v>0.6</v>
      </c>
    </row>
    <row r="422" spans="1:7" x14ac:dyDescent="0.2">
      <c r="A422" s="100">
        <f t="shared" si="12"/>
        <v>74</v>
      </c>
      <c r="B422" s="25">
        <v>4</v>
      </c>
      <c r="C422" s="28"/>
      <c r="D422" s="28"/>
      <c r="E422" s="25">
        <v>70</v>
      </c>
      <c r="F422" s="157">
        <v>5</v>
      </c>
      <c r="G422" s="55">
        <f t="shared" si="13"/>
        <v>14.8</v>
      </c>
    </row>
    <row r="423" spans="1:7" x14ac:dyDescent="0.2">
      <c r="A423" s="100">
        <f t="shared" si="12"/>
        <v>4</v>
      </c>
      <c r="B423" s="29"/>
      <c r="C423" s="27">
        <v>4</v>
      </c>
      <c r="D423" s="29"/>
      <c r="E423" s="29"/>
      <c r="F423" s="158">
        <v>4</v>
      </c>
      <c r="G423" s="55">
        <f t="shared" si="13"/>
        <v>1</v>
      </c>
    </row>
    <row r="424" spans="1:7" x14ac:dyDescent="0.2">
      <c r="A424" s="100">
        <f t="shared" si="12"/>
        <v>27</v>
      </c>
      <c r="B424" s="25">
        <v>6</v>
      </c>
      <c r="C424" s="28"/>
      <c r="D424" s="25">
        <v>21</v>
      </c>
      <c r="E424" s="28"/>
      <c r="F424" s="157">
        <v>4</v>
      </c>
      <c r="G424" s="55">
        <f t="shared" si="13"/>
        <v>6.75</v>
      </c>
    </row>
    <row r="425" spans="1:7" x14ac:dyDescent="0.2">
      <c r="A425" s="100">
        <f t="shared" si="12"/>
        <v>90</v>
      </c>
      <c r="B425" s="29"/>
      <c r="C425" s="29"/>
      <c r="D425" s="29"/>
      <c r="E425" s="27">
        <v>90</v>
      </c>
      <c r="F425" s="158">
        <v>6</v>
      </c>
      <c r="G425" s="55">
        <f t="shared" si="13"/>
        <v>15</v>
      </c>
    </row>
    <row r="426" spans="1:7" x14ac:dyDescent="0.2">
      <c r="A426" s="100">
        <f t="shared" si="12"/>
        <v>6</v>
      </c>
      <c r="B426" s="25">
        <v>6</v>
      </c>
      <c r="C426" s="28"/>
      <c r="D426" s="28"/>
      <c r="E426" s="28"/>
      <c r="F426" s="157">
        <v>6</v>
      </c>
      <c r="G426" s="55">
        <f t="shared" si="13"/>
        <v>1</v>
      </c>
    </row>
    <row r="427" spans="1:7" x14ac:dyDescent="0.2">
      <c r="A427" s="100">
        <f t="shared" si="12"/>
        <v>7</v>
      </c>
      <c r="B427" s="29"/>
      <c r="C427" s="27">
        <v>7</v>
      </c>
      <c r="D427" s="29"/>
      <c r="E427" s="29"/>
      <c r="F427" s="158">
        <v>5</v>
      </c>
      <c r="G427" s="55">
        <f t="shared" si="13"/>
        <v>1.4</v>
      </c>
    </row>
    <row r="428" spans="1:7" x14ac:dyDescent="0.2">
      <c r="A428" s="100">
        <f t="shared" si="12"/>
        <v>11</v>
      </c>
      <c r="B428" s="25">
        <v>11</v>
      </c>
      <c r="C428" s="28"/>
      <c r="D428" s="28"/>
      <c r="E428" s="28"/>
      <c r="F428" s="157">
        <v>5</v>
      </c>
      <c r="G428" s="55">
        <f t="shared" si="13"/>
        <v>2.2000000000000002</v>
      </c>
    </row>
    <row r="429" spans="1:7" x14ac:dyDescent="0.2">
      <c r="A429" s="100">
        <f t="shared" si="12"/>
        <v>28</v>
      </c>
      <c r="B429" s="27">
        <v>5</v>
      </c>
      <c r="C429" s="29"/>
      <c r="D429" s="27">
        <v>23</v>
      </c>
      <c r="E429" s="29"/>
      <c r="F429" s="158">
        <v>5</v>
      </c>
      <c r="G429" s="55">
        <f t="shared" si="13"/>
        <v>5.6</v>
      </c>
    </row>
    <row r="430" spans="1:7" x14ac:dyDescent="0.2">
      <c r="A430" s="100">
        <f t="shared" si="12"/>
        <v>4</v>
      </c>
      <c r="B430" s="28"/>
      <c r="C430" s="25">
        <v>4</v>
      </c>
      <c r="D430" s="28"/>
      <c r="E430" s="28"/>
      <c r="F430" s="157">
        <v>5</v>
      </c>
      <c r="G430" s="55">
        <f t="shared" si="13"/>
        <v>0.8</v>
      </c>
    </row>
    <row r="431" spans="1:7" x14ac:dyDescent="0.2">
      <c r="A431" s="100">
        <f t="shared" si="12"/>
        <v>16</v>
      </c>
      <c r="B431" s="27">
        <v>16</v>
      </c>
      <c r="C431" s="29"/>
      <c r="D431" s="29"/>
      <c r="E431" s="29"/>
      <c r="F431" s="158">
        <v>5</v>
      </c>
      <c r="G431" s="55">
        <f t="shared" si="13"/>
        <v>3.2</v>
      </c>
    </row>
    <row r="432" spans="1:7" x14ac:dyDescent="0.2">
      <c r="A432" s="100">
        <f t="shared" si="12"/>
        <v>3</v>
      </c>
      <c r="B432" s="25">
        <v>3</v>
      </c>
      <c r="C432" s="28"/>
      <c r="D432" s="28"/>
      <c r="E432" s="28"/>
      <c r="F432" s="157">
        <v>5</v>
      </c>
      <c r="G432" s="55">
        <f t="shared" si="13"/>
        <v>0.6</v>
      </c>
    </row>
    <row r="433" spans="1:7" x14ac:dyDescent="0.2">
      <c r="A433" s="100">
        <f t="shared" si="12"/>
        <v>27</v>
      </c>
      <c r="B433" s="29"/>
      <c r="C433" s="29"/>
      <c r="D433" s="27">
        <v>27</v>
      </c>
      <c r="E433" s="29"/>
      <c r="F433" s="158">
        <v>6</v>
      </c>
      <c r="G433" s="55">
        <f t="shared" si="13"/>
        <v>4.5</v>
      </c>
    </row>
    <row r="434" spans="1:7" x14ac:dyDescent="0.2">
      <c r="A434" s="100">
        <f t="shared" si="12"/>
        <v>5</v>
      </c>
      <c r="B434" s="25">
        <v>5</v>
      </c>
      <c r="C434" s="28"/>
      <c r="D434" s="28"/>
      <c r="E434" s="28"/>
      <c r="F434" s="157">
        <v>5</v>
      </c>
      <c r="G434" s="55">
        <f t="shared" si="13"/>
        <v>1</v>
      </c>
    </row>
    <row r="435" spans="1:7" x14ac:dyDescent="0.2">
      <c r="A435" s="100">
        <f t="shared" si="12"/>
        <v>11</v>
      </c>
      <c r="B435" s="27">
        <v>11</v>
      </c>
      <c r="C435" s="29"/>
      <c r="D435" s="29"/>
      <c r="E435" s="29"/>
      <c r="F435" s="158">
        <v>5</v>
      </c>
      <c r="G435" s="55">
        <f t="shared" si="13"/>
        <v>2.2000000000000002</v>
      </c>
    </row>
    <row r="436" spans="1:7" x14ac:dyDescent="0.2">
      <c r="A436" s="100">
        <f t="shared" si="12"/>
        <v>8</v>
      </c>
      <c r="B436" s="25">
        <v>8</v>
      </c>
      <c r="C436" s="28"/>
      <c r="D436" s="28"/>
      <c r="E436" s="28"/>
      <c r="F436" s="157">
        <v>5</v>
      </c>
      <c r="G436" s="55">
        <f t="shared" si="13"/>
        <v>1.6</v>
      </c>
    </row>
    <row r="437" spans="1:7" x14ac:dyDescent="0.2">
      <c r="A437" s="100">
        <f t="shared" si="12"/>
        <v>7</v>
      </c>
      <c r="B437" s="29"/>
      <c r="C437" s="27">
        <v>7</v>
      </c>
      <c r="D437" s="29"/>
      <c r="E437" s="29"/>
      <c r="F437" s="158">
        <v>4</v>
      </c>
      <c r="G437" s="55">
        <f t="shared" si="13"/>
        <v>1.75</v>
      </c>
    </row>
    <row r="438" spans="1:7" x14ac:dyDescent="0.2">
      <c r="A438" s="100">
        <f t="shared" si="12"/>
        <v>12</v>
      </c>
      <c r="B438" s="25">
        <v>12</v>
      </c>
      <c r="C438" s="28"/>
      <c r="D438" s="28"/>
      <c r="E438" s="28"/>
      <c r="F438" s="157">
        <v>5</v>
      </c>
      <c r="G438" s="55">
        <f t="shared" si="13"/>
        <v>2.4</v>
      </c>
    </row>
    <row r="439" spans="1:7" x14ac:dyDescent="0.2">
      <c r="A439" s="100">
        <f t="shared" si="12"/>
        <v>32</v>
      </c>
      <c r="B439" s="27">
        <v>6</v>
      </c>
      <c r="C439" s="29"/>
      <c r="D439" s="27">
        <v>26</v>
      </c>
      <c r="E439" s="29"/>
      <c r="F439" s="158">
        <v>5</v>
      </c>
      <c r="G439" s="55">
        <f t="shared" si="13"/>
        <v>6.4</v>
      </c>
    </row>
    <row r="440" spans="1:7" x14ac:dyDescent="0.2">
      <c r="A440" s="100">
        <f t="shared" si="12"/>
        <v>4</v>
      </c>
      <c r="B440" s="28"/>
      <c r="C440" s="25">
        <v>4</v>
      </c>
      <c r="D440" s="28"/>
      <c r="E440" s="28"/>
      <c r="F440" s="157">
        <v>5</v>
      </c>
      <c r="G440" s="55">
        <f t="shared" si="13"/>
        <v>0.8</v>
      </c>
    </row>
    <row r="441" spans="1:7" x14ac:dyDescent="0.2">
      <c r="A441" s="100">
        <f t="shared" si="12"/>
        <v>15</v>
      </c>
      <c r="B441" s="27">
        <v>15</v>
      </c>
      <c r="C441" s="29"/>
      <c r="D441" s="29"/>
      <c r="E441" s="29"/>
      <c r="F441" s="158">
        <v>5</v>
      </c>
      <c r="G441" s="55">
        <f t="shared" si="13"/>
        <v>3</v>
      </c>
    </row>
    <row r="442" spans="1:7" x14ac:dyDescent="0.2">
      <c r="A442" s="100">
        <f t="shared" si="12"/>
        <v>3</v>
      </c>
      <c r="B442" s="25">
        <v>3</v>
      </c>
      <c r="C442" s="28"/>
      <c r="D442" s="28"/>
      <c r="E442" s="28"/>
      <c r="F442" s="157">
        <v>5</v>
      </c>
      <c r="G442" s="55">
        <f t="shared" si="13"/>
        <v>0.6</v>
      </c>
    </row>
    <row r="443" spans="1:7" x14ac:dyDescent="0.2">
      <c r="A443" s="100">
        <f t="shared" si="12"/>
        <v>28</v>
      </c>
      <c r="B443" s="29"/>
      <c r="C443" s="29"/>
      <c r="D443" s="27">
        <v>28</v>
      </c>
      <c r="E443" s="29"/>
      <c r="F443" s="158">
        <v>4</v>
      </c>
      <c r="G443" s="55">
        <f t="shared" si="13"/>
        <v>7</v>
      </c>
    </row>
    <row r="444" spans="1:7" x14ac:dyDescent="0.2">
      <c r="A444" s="100">
        <f t="shared" si="12"/>
        <v>5</v>
      </c>
      <c r="B444" s="25">
        <v>5</v>
      </c>
      <c r="C444" s="28"/>
      <c r="D444" s="28"/>
      <c r="E444" s="28"/>
      <c r="F444" s="157">
        <v>4</v>
      </c>
      <c r="G444" s="55">
        <f t="shared" si="13"/>
        <v>1.25</v>
      </c>
    </row>
    <row r="445" spans="1:7" x14ac:dyDescent="0.2">
      <c r="A445" s="100">
        <f t="shared" si="12"/>
        <v>11</v>
      </c>
      <c r="B445" s="27">
        <v>7</v>
      </c>
      <c r="C445" s="27">
        <v>4</v>
      </c>
      <c r="D445" s="29"/>
      <c r="E445" s="29"/>
      <c r="F445" s="158">
        <v>4</v>
      </c>
      <c r="G445" s="55">
        <f t="shared" si="13"/>
        <v>2.75</v>
      </c>
    </row>
    <row r="446" spans="1:7" x14ac:dyDescent="0.2">
      <c r="A446" s="100">
        <f t="shared" si="12"/>
        <v>8</v>
      </c>
      <c r="B446" s="25">
        <v>8</v>
      </c>
      <c r="C446" s="28"/>
      <c r="D446" s="28"/>
      <c r="E446" s="28"/>
      <c r="F446" s="157">
        <v>5</v>
      </c>
      <c r="G446" s="55">
        <f t="shared" si="13"/>
        <v>1.6</v>
      </c>
    </row>
    <row r="447" spans="1:7" x14ac:dyDescent="0.2">
      <c r="A447" s="100">
        <f t="shared" si="12"/>
        <v>6</v>
      </c>
      <c r="B447" s="29"/>
      <c r="C447" s="27">
        <v>6</v>
      </c>
      <c r="D447" s="29"/>
      <c r="E447" s="29"/>
      <c r="F447" s="158">
        <v>3</v>
      </c>
      <c r="G447" s="55">
        <f t="shared" si="13"/>
        <v>2</v>
      </c>
    </row>
    <row r="448" spans="1:7" x14ac:dyDescent="0.2">
      <c r="A448" s="100">
        <f t="shared" si="12"/>
        <v>85</v>
      </c>
      <c r="B448" s="28"/>
      <c r="C448" s="28"/>
      <c r="D448" s="28"/>
      <c r="E448" s="25">
        <v>85</v>
      </c>
      <c r="F448" s="157">
        <v>4</v>
      </c>
      <c r="G448" s="55">
        <f t="shared" si="13"/>
        <v>21.25</v>
      </c>
    </row>
    <row r="449" spans="1:7" x14ac:dyDescent="0.2">
      <c r="A449" s="100">
        <f t="shared" si="12"/>
        <v>9</v>
      </c>
      <c r="B449" s="27">
        <v>9</v>
      </c>
      <c r="C449" s="29"/>
      <c r="D449" s="29"/>
      <c r="E449" s="29"/>
      <c r="F449" s="158">
        <v>4</v>
      </c>
      <c r="G449" s="55">
        <f t="shared" si="13"/>
        <v>2.25</v>
      </c>
    </row>
    <row r="450" spans="1:7" x14ac:dyDescent="0.2">
      <c r="A450" s="100">
        <f t="shared" si="12"/>
        <v>25</v>
      </c>
      <c r="B450" s="25">
        <v>5</v>
      </c>
      <c r="C450" s="28"/>
      <c r="D450" s="25">
        <v>20</v>
      </c>
      <c r="E450" s="28"/>
      <c r="F450" s="157">
        <v>5</v>
      </c>
      <c r="G450" s="55">
        <f t="shared" si="13"/>
        <v>5</v>
      </c>
    </row>
    <row r="451" spans="1:7" x14ac:dyDescent="0.2">
      <c r="A451" s="100">
        <f t="shared" ref="A451:A514" si="14">IFERROR(B451,0)+IFERROR(C451,0)+IFERROR(D451,0)+IFERROR(E451,0)</f>
        <v>32</v>
      </c>
      <c r="B451" s="27">
        <v>32</v>
      </c>
      <c r="C451" s="29"/>
      <c r="D451" s="29"/>
      <c r="E451" s="29"/>
      <c r="F451" s="158">
        <v>3</v>
      </c>
      <c r="G451" s="55">
        <f t="shared" ref="G451:G514" si="15">IFERROR(A451/F451," ")</f>
        <v>10.666666666666666</v>
      </c>
    </row>
    <row r="452" spans="1:7" x14ac:dyDescent="0.2">
      <c r="A452" s="100">
        <f t="shared" si="14"/>
        <v>4</v>
      </c>
      <c r="B452" s="28"/>
      <c r="C452" s="25">
        <v>4</v>
      </c>
      <c r="D452" s="28"/>
      <c r="E452" s="28"/>
      <c r="F452" s="157">
        <v>4</v>
      </c>
      <c r="G452" s="55">
        <f t="shared" si="15"/>
        <v>1</v>
      </c>
    </row>
    <row r="453" spans="1:7" x14ac:dyDescent="0.2">
      <c r="A453" s="100">
        <f t="shared" si="14"/>
        <v>11</v>
      </c>
      <c r="B453" s="27">
        <v>11</v>
      </c>
      <c r="C453" s="29"/>
      <c r="D453" s="29"/>
      <c r="E453" s="29"/>
      <c r="F453" s="158">
        <v>5</v>
      </c>
      <c r="G453" s="55">
        <f t="shared" si="15"/>
        <v>2.2000000000000002</v>
      </c>
    </row>
    <row r="454" spans="1:7" x14ac:dyDescent="0.2">
      <c r="A454" s="100">
        <f t="shared" si="14"/>
        <v>6</v>
      </c>
      <c r="B454" s="25">
        <v>6</v>
      </c>
      <c r="C454" s="28"/>
      <c r="D454" s="28"/>
      <c r="E454" s="28"/>
      <c r="F454" s="157">
        <v>6</v>
      </c>
      <c r="G454" s="55">
        <f t="shared" si="15"/>
        <v>1</v>
      </c>
    </row>
    <row r="455" spans="1:7" x14ac:dyDescent="0.2">
      <c r="A455" s="100">
        <f t="shared" si="14"/>
        <v>26</v>
      </c>
      <c r="B455" s="29"/>
      <c r="C455" s="29"/>
      <c r="D455" s="27">
        <v>26</v>
      </c>
      <c r="E455" s="29"/>
      <c r="F455" s="158">
        <v>3</v>
      </c>
      <c r="G455" s="55">
        <f t="shared" si="15"/>
        <v>8.6666666666666661</v>
      </c>
    </row>
    <row r="456" spans="1:7" x14ac:dyDescent="0.2">
      <c r="A456" s="100">
        <f t="shared" si="14"/>
        <v>7</v>
      </c>
      <c r="B456" s="25">
        <v>7</v>
      </c>
      <c r="C456" s="28"/>
      <c r="D456" s="28"/>
      <c r="E456" s="28"/>
      <c r="F456" s="157">
        <v>5</v>
      </c>
      <c r="G456" s="55">
        <f t="shared" si="15"/>
        <v>1.4</v>
      </c>
    </row>
    <row r="457" spans="1:7" x14ac:dyDescent="0.2">
      <c r="A457" s="100">
        <f t="shared" si="14"/>
        <v>7</v>
      </c>
      <c r="B457" s="29"/>
      <c r="C457" s="27">
        <v>7</v>
      </c>
      <c r="D457" s="29"/>
      <c r="E457" s="29"/>
      <c r="F457" s="158">
        <v>3</v>
      </c>
      <c r="G457" s="55">
        <f t="shared" si="15"/>
        <v>2.3333333333333335</v>
      </c>
    </row>
    <row r="458" spans="1:7" x14ac:dyDescent="0.2">
      <c r="A458" s="100">
        <f t="shared" si="14"/>
        <v>10</v>
      </c>
      <c r="B458" s="25">
        <v>10</v>
      </c>
      <c r="C458" s="28"/>
      <c r="D458" s="28"/>
      <c r="E458" s="28"/>
      <c r="F458" s="157">
        <v>4</v>
      </c>
      <c r="G458" s="55">
        <f t="shared" si="15"/>
        <v>2.5</v>
      </c>
    </row>
    <row r="459" spans="1:7" x14ac:dyDescent="0.2">
      <c r="A459" s="100">
        <f t="shared" si="14"/>
        <v>31</v>
      </c>
      <c r="B459" s="27">
        <v>9</v>
      </c>
      <c r="C459" s="29"/>
      <c r="D459" s="27">
        <v>22</v>
      </c>
      <c r="E459" s="29"/>
      <c r="F459" s="158">
        <v>6</v>
      </c>
      <c r="G459" s="55">
        <f t="shared" si="15"/>
        <v>5.166666666666667</v>
      </c>
    </row>
    <row r="460" spans="1:7" x14ac:dyDescent="0.2">
      <c r="A460" s="100">
        <f t="shared" si="14"/>
        <v>3</v>
      </c>
      <c r="B460" s="28"/>
      <c r="C460" s="25">
        <v>3</v>
      </c>
      <c r="D460" s="28"/>
      <c r="E460" s="28"/>
      <c r="F460" s="157">
        <v>4</v>
      </c>
      <c r="G460" s="55">
        <f t="shared" si="15"/>
        <v>0.75</v>
      </c>
    </row>
    <row r="461" spans="1:7" x14ac:dyDescent="0.2">
      <c r="A461" s="100">
        <f t="shared" si="14"/>
        <v>14</v>
      </c>
      <c r="B461" s="27">
        <v>14</v>
      </c>
      <c r="C461" s="29"/>
      <c r="D461" s="29"/>
      <c r="E461" s="29"/>
      <c r="F461" s="158">
        <v>3</v>
      </c>
      <c r="G461" s="55">
        <f t="shared" si="15"/>
        <v>4.666666666666667</v>
      </c>
    </row>
    <row r="462" spans="1:7" x14ac:dyDescent="0.2">
      <c r="A462" s="100">
        <f t="shared" si="14"/>
        <v>4</v>
      </c>
      <c r="B462" s="25">
        <v>4</v>
      </c>
      <c r="C462" s="28"/>
      <c r="D462" s="28"/>
      <c r="E462" s="28"/>
      <c r="F462" s="157">
        <v>5</v>
      </c>
      <c r="G462" s="55">
        <f t="shared" si="15"/>
        <v>0.8</v>
      </c>
    </row>
    <row r="463" spans="1:7" x14ac:dyDescent="0.2">
      <c r="A463" s="100">
        <f t="shared" si="14"/>
        <v>24</v>
      </c>
      <c r="B463" s="29"/>
      <c r="C463" s="29"/>
      <c r="D463" s="27">
        <v>24</v>
      </c>
      <c r="E463" s="29"/>
      <c r="F463" s="158">
        <v>4</v>
      </c>
      <c r="G463" s="55">
        <f t="shared" si="15"/>
        <v>6</v>
      </c>
    </row>
    <row r="464" spans="1:7" x14ac:dyDescent="0.2">
      <c r="A464" s="100">
        <f t="shared" si="14"/>
        <v>9</v>
      </c>
      <c r="B464" s="25">
        <v>9</v>
      </c>
      <c r="C464" s="28"/>
      <c r="D464" s="28"/>
      <c r="E464" s="28"/>
      <c r="F464" s="157">
        <v>4</v>
      </c>
      <c r="G464" s="55">
        <f t="shared" si="15"/>
        <v>2.25</v>
      </c>
    </row>
    <row r="465" spans="1:7" x14ac:dyDescent="0.2">
      <c r="A465" s="100">
        <f t="shared" si="14"/>
        <v>6</v>
      </c>
      <c r="B465" s="29"/>
      <c r="C465" s="27">
        <v>6</v>
      </c>
      <c r="D465" s="29"/>
      <c r="E465" s="29"/>
      <c r="F465" s="158">
        <v>3</v>
      </c>
      <c r="G465" s="55">
        <f t="shared" si="15"/>
        <v>2</v>
      </c>
    </row>
    <row r="466" spans="1:7" x14ac:dyDescent="0.2">
      <c r="A466" s="100">
        <f t="shared" si="14"/>
        <v>7</v>
      </c>
      <c r="B466" s="25">
        <v>7</v>
      </c>
      <c r="C466" s="28"/>
      <c r="D466" s="28"/>
      <c r="E466" s="28"/>
      <c r="F466" s="157">
        <v>4</v>
      </c>
      <c r="G466" s="55">
        <f t="shared" si="15"/>
        <v>1.75</v>
      </c>
    </row>
    <row r="467" spans="1:7" x14ac:dyDescent="0.2">
      <c r="A467" s="100">
        <f t="shared" si="14"/>
        <v>5</v>
      </c>
      <c r="B467" s="29"/>
      <c r="C467" s="27">
        <v>5</v>
      </c>
      <c r="D467" s="29"/>
      <c r="E467" s="29"/>
      <c r="F467" s="158">
        <v>3</v>
      </c>
      <c r="G467" s="55">
        <f t="shared" si="15"/>
        <v>1.6666666666666667</v>
      </c>
    </row>
    <row r="468" spans="1:7" x14ac:dyDescent="0.2">
      <c r="A468" s="100">
        <f t="shared" si="14"/>
        <v>12</v>
      </c>
      <c r="B468" s="25">
        <v>12</v>
      </c>
      <c r="C468" s="28"/>
      <c r="D468" s="28"/>
      <c r="E468" s="28"/>
      <c r="F468" s="157">
        <v>5</v>
      </c>
      <c r="G468" s="55">
        <f t="shared" si="15"/>
        <v>2.4</v>
      </c>
    </row>
    <row r="469" spans="1:7" x14ac:dyDescent="0.2">
      <c r="A469" s="100">
        <f t="shared" si="14"/>
        <v>27</v>
      </c>
      <c r="B469" s="27">
        <v>5</v>
      </c>
      <c r="C469" s="29"/>
      <c r="D469" s="27">
        <v>22</v>
      </c>
      <c r="E469" s="29"/>
      <c r="F469" s="158">
        <v>6</v>
      </c>
      <c r="G469" s="55">
        <f t="shared" si="15"/>
        <v>4.5</v>
      </c>
    </row>
    <row r="470" spans="1:7" x14ac:dyDescent="0.2">
      <c r="A470" s="100">
        <f t="shared" si="14"/>
        <v>3</v>
      </c>
      <c r="B470" s="28"/>
      <c r="C470" s="25">
        <v>3</v>
      </c>
      <c r="D470" s="28"/>
      <c r="E470" s="28"/>
      <c r="F470" s="157">
        <v>4</v>
      </c>
      <c r="G470" s="55">
        <f t="shared" si="15"/>
        <v>0.75</v>
      </c>
    </row>
    <row r="471" spans="1:7" x14ac:dyDescent="0.2">
      <c r="A471" s="100">
        <f t="shared" si="14"/>
        <v>16</v>
      </c>
      <c r="B471" s="27">
        <v>16</v>
      </c>
      <c r="C471" s="29"/>
      <c r="D471" s="29"/>
      <c r="E471" s="29"/>
      <c r="F471" s="158">
        <v>3</v>
      </c>
      <c r="G471" s="55">
        <f t="shared" si="15"/>
        <v>5.333333333333333</v>
      </c>
    </row>
    <row r="472" spans="1:7" x14ac:dyDescent="0.2">
      <c r="A472" s="100">
        <f t="shared" si="14"/>
        <v>3</v>
      </c>
      <c r="B472" s="25">
        <v>3</v>
      </c>
      <c r="C472" s="28"/>
      <c r="D472" s="28"/>
      <c r="E472" s="28"/>
      <c r="F472" s="157">
        <v>5</v>
      </c>
      <c r="G472" s="55">
        <f t="shared" si="15"/>
        <v>0.6</v>
      </c>
    </row>
    <row r="473" spans="1:7" x14ac:dyDescent="0.2">
      <c r="A473" s="100">
        <f t="shared" si="14"/>
        <v>26</v>
      </c>
      <c r="B473" s="29"/>
      <c r="C473" s="29"/>
      <c r="D473" s="27">
        <v>26</v>
      </c>
      <c r="E473" s="29"/>
      <c r="F473" s="158">
        <v>4</v>
      </c>
      <c r="G473" s="55">
        <f t="shared" si="15"/>
        <v>6.5</v>
      </c>
    </row>
    <row r="474" spans="1:7" x14ac:dyDescent="0.2">
      <c r="A474" s="100">
        <f t="shared" si="14"/>
        <v>4</v>
      </c>
      <c r="B474" s="25">
        <v>4</v>
      </c>
      <c r="C474" s="28"/>
      <c r="D474" s="28"/>
      <c r="E474" s="28"/>
      <c r="F474" s="157">
        <v>6</v>
      </c>
      <c r="G474" s="55">
        <f t="shared" si="15"/>
        <v>0.66666666666666663</v>
      </c>
    </row>
    <row r="475" spans="1:7" x14ac:dyDescent="0.2">
      <c r="A475" s="100">
        <f t="shared" si="14"/>
        <v>11</v>
      </c>
      <c r="B475" s="27">
        <v>11</v>
      </c>
      <c r="C475" s="29"/>
      <c r="D475" s="29"/>
      <c r="E475" s="29"/>
      <c r="F475" s="158">
        <v>3</v>
      </c>
      <c r="G475" s="55">
        <f t="shared" si="15"/>
        <v>3.6666666666666665</v>
      </c>
    </row>
    <row r="476" spans="1:7" x14ac:dyDescent="0.2">
      <c r="A476" s="100">
        <f t="shared" si="14"/>
        <v>7</v>
      </c>
      <c r="B476" s="25">
        <v>7</v>
      </c>
      <c r="C476" s="28"/>
      <c r="D476" s="28"/>
      <c r="E476" s="28"/>
      <c r="F476" s="157">
        <v>4</v>
      </c>
      <c r="G476" s="55">
        <f t="shared" si="15"/>
        <v>1.75</v>
      </c>
    </row>
    <row r="477" spans="1:7" x14ac:dyDescent="0.2">
      <c r="A477" s="100">
        <f t="shared" si="14"/>
        <v>5</v>
      </c>
      <c r="B477" s="29"/>
      <c r="C477" s="27">
        <v>5</v>
      </c>
      <c r="D477" s="29"/>
      <c r="E477" s="29"/>
      <c r="F477" s="158">
        <v>3</v>
      </c>
      <c r="G477" s="55">
        <f t="shared" si="15"/>
        <v>1.6666666666666667</v>
      </c>
    </row>
    <row r="478" spans="1:7" x14ac:dyDescent="0.2">
      <c r="A478" s="100">
        <f t="shared" si="14"/>
        <v>9</v>
      </c>
      <c r="B478" s="25">
        <v>9</v>
      </c>
      <c r="C478" s="28"/>
      <c r="D478" s="28"/>
      <c r="E478" s="28"/>
      <c r="F478" s="157">
        <v>5</v>
      </c>
      <c r="G478" s="55">
        <f t="shared" si="15"/>
        <v>1.8</v>
      </c>
    </row>
    <row r="479" spans="1:7" x14ac:dyDescent="0.2">
      <c r="A479" s="100">
        <f t="shared" si="14"/>
        <v>8</v>
      </c>
      <c r="B479" s="27">
        <v>8</v>
      </c>
      <c r="C479" s="29"/>
      <c r="D479" s="29"/>
      <c r="E479" s="29"/>
      <c r="F479" s="158">
        <v>4</v>
      </c>
      <c r="G479" s="55">
        <f t="shared" si="15"/>
        <v>2</v>
      </c>
    </row>
    <row r="480" spans="1:7" x14ac:dyDescent="0.2">
      <c r="A480" s="100">
        <f t="shared" si="14"/>
        <v>26</v>
      </c>
      <c r="B480" s="25">
        <v>5</v>
      </c>
      <c r="C480" s="28"/>
      <c r="D480" s="25">
        <v>21</v>
      </c>
      <c r="E480" s="28"/>
      <c r="F480" s="157">
        <v>6</v>
      </c>
      <c r="G480" s="55">
        <f t="shared" si="15"/>
        <v>4.333333333333333</v>
      </c>
    </row>
    <row r="481" spans="1:7" x14ac:dyDescent="0.2">
      <c r="A481" s="100">
        <f t="shared" si="14"/>
        <v>3</v>
      </c>
      <c r="B481" s="29"/>
      <c r="C481" s="27">
        <v>3</v>
      </c>
      <c r="D481" s="29"/>
      <c r="E481" s="29"/>
      <c r="F481" s="158">
        <v>4</v>
      </c>
      <c r="G481" s="55">
        <f t="shared" si="15"/>
        <v>0.75</v>
      </c>
    </row>
    <row r="482" spans="1:7" x14ac:dyDescent="0.2">
      <c r="A482" s="100">
        <f t="shared" si="14"/>
        <v>15</v>
      </c>
      <c r="B482" s="25">
        <v>15</v>
      </c>
      <c r="C482" s="28"/>
      <c r="D482" s="28"/>
      <c r="E482" s="28"/>
      <c r="F482" s="157">
        <v>3</v>
      </c>
      <c r="G482" s="55">
        <f t="shared" si="15"/>
        <v>5</v>
      </c>
    </row>
    <row r="483" spans="1:7" x14ac:dyDescent="0.2">
      <c r="A483" s="100">
        <f t="shared" si="14"/>
        <v>3</v>
      </c>
      <c r="B483" s="27">
        <v>3</v>
      </c>
      <c r="C483" s="29"/>
      <c r="D483" s="29"/>
      <c r="E483" s="29"/>
      <c r="F483" s="158">
        <v>5</v>
      </c>
      <c r="G483" s="55">
        <f t="shared" si="15"/>
        <v>0.6</v>
      </c>
    </row>
    <row r="484" spans="1:7" x14ac:dyDescent="0.2">
      <c r="A484" s="100">
        <f t="shared" si="14"/>
        <v>27</v>
      </c>
      <c r="B484" s="28"/>
      <c r="C484" s="28"/>
      <c r="D484" s="25">
        <v>27</v>
      </c>
      <c r="E484" s="28"/>
      <c r="F484" s="157">
        <v>4</v>
      </c>
      <c r="G484" s="55">
        <f t="shared" si="15"/>
        <v>6.75</v>
      </c>
    </row>
    <row r="485" spans="1:7" x14ac:dyDescent="0.2">
      <c r="A485" s="100">
        <f t="shared" si="14"/>
        <v>4</v>
      </c>
      <c r="B485" s="27">
        <v>4</v>
      </c>
      <c r="C485" s="29"/>
      <c r="D485" s="29"/>
      <c r="E485" s="29"/>
      <c r="F485" s="158">
        <v>6</v>
      </c>
      <c r="G485" s="55">
        <f t="shared" si="15"/>
        <v>0.66666666666666663</v>
      </c>
    </row>
    <row r="486" spans="1:7" x14ac:dyDescent="0.2">
      <c r="A486" s="100">
        <f t="shared" si="14"/>
        <v>12</v>
      </c>
      <c r="B486" s="25">
        <v>12</v>
      </c>
      <c r="C486" s="28"/>
      <c r="D486" s="28"/>
      <c r="E486" s="28"/>
      <c r="F486" s="157">
        <v>3</v>
      </c>
      <c r="G486" s="55">
        <f t="shared" si="15"/>
        <v>4</v>
      </c>
    </row>
    <row r="487" spans="1:7" x14ac:dyDescent="0.2">
      <c r="A487" s="100">
        <f t="shared" si="14"/>
        <v>4</v>
      </c>
      <c r="B487" s="29"/>
      <c r="C487" s="27">
        <v>4</v>
      </c>
      <c r="D487" s="29"/>
      <c r="E487" s="29"/>
      <c r="F487" s="158">
        <v>5</v>
      </c>
      <c r="G487" s="55">
        <f t="shared" si="15"/>
        <v>0.8</v>
      </c>
    </row>
    <row r="488" spans="1:7" x14ac:dyDescent="0.2">
      <c r="A488" s="100">
        <f t="shared" si="14"/>
        <v>24</v>
      </c>
      <c r="B488" s="28"/>
      <c r="C488" s="28"/>
      <c r="D488" s="25">
        <v>24</v>
      </c>
      <c r="E488" s="28"/>
      <c r="F488" s="157">
        <v>5</v>
      </c>
      <c r="G488" s="55">
        <f t="shared" si="15"/>
        <v>4.8</v>
      </c>
    </row>
    <row r="489" spans="1:7" x14ac:dyDescent="0.2">
      <c r="A489" s="100">
        <f t="shared" si="14"/>
        <v>51</v>
      </c>
      <c r="B489" s="27">
        <v>6</v>
      </c>
      <c r="C489" s="29"/>
      <c r="D489" s="29"/>
      <c r="E489" s="27">
        <v>45</v>
      </c>
      <c r="F489" s="158">
        <v>5</v>
      </c>
      <c r="G489" s="55">
        <f t="shared" si="15"/>
        <v>10.199999999999999</v>
      </c>
    </row>
    <row r="490" spans="1:7" x14ac:dyDescent="0.2">
      <c r="A490" s="100">
        <f t="shared" si="14"/>
        <v>8</v>
      </c>
      <c r="B490" s="28"/>
      <c r="C490" s="25">
        <v>8</v>
      </c>
      <c r="D490" s="28"/>
      <c r="E490" s="28"/>
      <c r="F490" s="157">
        <v>4</v>
      </c>
      <c r="G490" s="55">
        <f t="shared" si="15"/>
        <v>2</v>
      </c>
    </row>
    <row r="491" spans="1:7" x14ac:dyDescent="0.2">
      <c r="A491" s="100">
        <f t="shared" si="14"/>
        <v>20</v>
      </c>
      <c r="B491" s="29"/>
      <c r="C491" s="29"/>
      <c r="D491" s="27">
        <v>20</v>
      </c>
      <c r="E491" s="29"/>
      <c r="F491" s="158">
        <v>5</v>
      </c>
      <c r="G491" s="55">
        <f t="shared" si="15"/>
        <v>4</v>
      </c>
    </row>
    <row r="492" spans="1:7" x14ac:dyDescent="0.2">
      <c r="A492" s="100">
        <f t="shared" si="14"/>
        <v>22</v>
      </c>
      <c r="B492" s="28"/>
      <c r="C492" s="28"/>
      <c r="D492" s="25">
        <v>22</v>
      </c>
      <c r="E492" s="28"/>
      <c r="F492" s="157">
        <v>3</v>
      </c>
      <c r="G492" s="55">
        <f t="shared" si="15"/>
        <v>7.333333333333333</v>
      </c>
    </row>
    <row r="493" spans="1:7" x14ac:dyDescent="0.2">
      <c r="A493" s="100">
        <f t="shared" si="14"/>
        <v>10</v>
      </c>
      <c r="B493" s="27">
        <v>10</v>
      </c>
      <c r="C493" s="29"/>
      <c r="D493" s="29"/>
      <c r="E493" s="29"/>
      <c r="F493" s="158">
        <v>5</v>
      </c>
      <c r="G493" s="55">
        <f t="shared" si="15"/>
        <v>2</v>
      </c>
    </row>
    <row r="494" spans="1:7" x14ac:dyDescent="0.2">
      <c r="A494" s="100">
        <f t="shared" si="14"/>
        <v>26</v>
      </c>
      <c r="B494" s="28"/>
      <c r="C494" s="28"/>
      <c r="D494" s="25">
        <v>26</v>
      </c>
      <c r="E494" s="28"/>
      <c r="F494" s="157">
        <v>4</v>
      </c>
      <c r="G494" s="55">
        <f t="shared" si="15"/>
        <v>6.5</v>
      </c>
    </row>
    <row r="495" spans="1:7" x14ac:dyDescent="0.2">
      <c r="A495" s="100">
        <f t="shared" si="14"/>
        <v>5</v>
      </c>
      <c r="B495" s="27">
        <v>5</v>
      </c>
      <c r="C495" s="29"/>
      <c r="D495" s="29"/>
      <c r="E495" s="29"/>
      <c r="F495" s="158">
        <v>6</v>
      </c>
      <c r="G495" s="55">
        <f t="shared" si="15"/>
        <v>0.83333333333333337</v>
      </c>
    </row>
    <row r="496" spans="1:7" x14ac:dyDescent="0.2">
      <c r="A496" s="100">
        <f t="shared" si="14"/>
        <v>11</v>
      </c>
      <c r="B496" s="25">
        <v>11</v>
      </c>
      <c r="C496" s="28"/>
      <c r="D496" s="28"/>
      <c r="E496" s="28"/>
      <c r="F496" s="157">
        <v>4</v>
      </c>
      <c r="G496" s="55">
        <f t="shared" si="15"/>
        <v>2.75</v>
      </c>
    </row>
    <row r="497" spans="1:7" x14ac:dyDescent="0.2">
      <c r="A497" s="100">
        <f t="shared" si="14"/>
        <v>5</v>
      </c>
      <c r="B497" s="29"/>
      <c r="C497" s="27">
        <v>5</v>
      </c>
      <c r="D497" s="29"/>
      <c r="E497" s="29"/>
      <c r="F497" s="158">
        <v>3</v>
      </c>
      <c r="G497" s="55">
        <f t="shared" si="15"/>
        <v>1.6666666666666667</v>
      </c>
    </row>
    <row r="498" spans="1:7" x14ac:dyDescent="0.2">
      <c r="A498" s="100">
        <f t="shared" si="14"/>
        <v>66</v>
      </c>
      <c r="B498" s="25">
        <v>6</v>
      </c>
      <c r="C498" s="28"/>
      <c r="D498" s="28"/>
      <c r="E498" s="25">
        <v>60</v>
      </c>
      <c r="F498" s="157">
        <v>6</v>
      </c>
      <c r="G498" s="55">
        <f t="shared" si="15"/>
        <v>11</v>
      </c>
    </row>
    <row r="499" spans="1:7" x14ac:dyDescent="0.2">
      <c r="A499" s="100">
        <f t="shared" si="14"/>
        <v>30</v>
      </c>
      <c r="B499" s="29"/>
      <c r="C499" s="29"/>
      <c r="D499" s="27">
        <v>30</v>
      </c>
      <c r="E499" s="29"/>
      <c r="F499" s="158">
        <v>3</v>
      </c>
      <c r="G499" s="55">
        <f t="shared" si="15"/>
        <v>10</v>
      </c>
    </row>
    <row r="500" spans="1:7" x14ac:dyDescent="0.2">
      <c r="A500" s="100">
        <f t="shared" si="14"/>
        <v>3</v>
      </c>
      <c r="B500" s="28"/>
      <c r="C500" s="25">
        <v>3</v>
      </c>
      <c r="D500" s="28"/>
      <c r="E500" s="28"/>
      <c r="F500" s="157">
        <v>5</v>
      </c>
      <c r="G500" s="55">
        <f t="shared" si="15"/>
        <v>0.6</v>
      </c>
    </row>
    <row r="501" spans="1:7" x14ac:dyDescent="0.2">
      <c r="A501" s="100">
        <f t="shared" si="14"/>
        <v>26</v>
      </c>
      <c r="B501" s="27">
        <v>4</v>
      </c>
      <c r="C501" s="29"/>
      <c r="D501" s="27">
        <v>22</v>
      </c>
      <c r="E501" s="29"/>
      <c r="F501" s="158">
        <v>4</v>
      </c>
      <c r="G501" s="55">
        <f t="shared" si="15"/>
        <v>6.5</v>
      </c>
    </row>
    <row r="502" spans="1:7" x14ac:dyDescent="0.2">
      <c r="A502" s="100">
        <f t="shared" si="14"/>
        <v>9</v>
      </c>
      <c r="B502" s="25">
        <v>9</v>
      </c>
      <c r="C502" s="28"/>
      <c r="D502" s="28"/>
      <c r="E502" s="28"/>
      <c r="F502" s="157">
        <v>5</v>
      </c>
      <c r="G502" s="55">
        <f t="shared" si="15"/>
        <v>1.8</v>
      </c>
    </row>
    <row r="503" spans="1:7" x14ac:dyDescent="0.2">
      <c r="A503" s="100">
        <f t="shared" si="14"/>
        <v>20</v>
      </c>
      <c r="B503" s="29"/>
      <c r="C503" s="29"/>
      <c r="D503" s="27">
        <v>20</v>
      </c>
      <c r="E503" s="29"/>
      <c r="F503" s="158">
        <v>5</v>
      </c>
      <c r="G503" s="55">
        <f t="shared" si="15"/>
        <v>4</v>
      </c>
    </row>
    <row r="504" spans="1:7" x14ac:dyDescent="0.2">
      <c r="A504" s="100">
        <f t="shared" si="14"/>
        <v>9</v>
      </c>
      <c r="B504" s="25">
        <v>9</v>
      </c>
      <c r="C504" s="28"/>
      <c r="D504" s="28"/>
      <c r="E504" s="28"/>
      <c r="F504" s="157">
        <v>4</v>
      </c>
      <c r="G504" s="55">
        <f t="shared" si="15"/>
        <v>2.25</v>
      </c>
    </row>
    <row r="505" spans="1:7" x14ac:dyDescent="0.2">
      <c r="A505" s="100">
        <f t="shared" si="14"/>
        <v>20</v>
      </c>
      <c r="B505" s="29"/>
      <c r="C505" s="29"/>
      <c r="D505" s="27">
        <v>20</v>
      </c>
      <c r="E505" s="29"/>
      <c r="F505" s="158">
        <v>4</v>
      </c>
      <c r="G505" s="55">
        <f t="shared" si="15"/>
        <v>5</v>
      </c>
    </row>
    <row r="506" spans="1:7" x14ac:dyDescent="0.2">
      <c r="A506" s="100">
        <f t="shared" si="14"/>
        <v>11</v>
      </c>
      <c r="B506" s="25">
        <v>11</v>
      </c>
      <c r="C506" s="28"/>
      <c r="D506" s="28"/>
      <c r="E506" s="28"/>
      <c r="F506" s="157">
        <v>4</v>
      </c>
      <c r="G506" s="55">
        <f t="shared" si="15"/>
        <v>2.75</v>
      </c>
    </row>
    <row r="507" spans="1:7" x14ac:dyDescent="0.2">
      <c r="A507" s="100">
        <f t="shared" si="14"/>
        <v>78</v>
      </c>
      <c r="B507" s="27">
        <v>3</v>
      </c>
      <c r="C507" s="29"/>
      <c r="D507" s="29"/>
      <c r="E507" s="27">
        <v>75</v>
      </c>
      <c r="F507" s="158">
        <v>6</v>
      </c>
      <c r="G507" s="55">
        <f t="shared" si="15"/>
        <v>13</v>
      </c>
    </row>
    <row r="508" spans="1:7" x14ac:dyDescent="0.2">
      <c r="A508" s="100">
        <f t="shared" si="14"/>
        <v>7</v>
      </c>
      <c r="B508" s="28"/>
      <c r="C508" s="25">
        <v>7</v>
      </c>
      <c r="D508" s="28"/>
      <c r="E508" s="28"/>
      <c r="F508" s="157">
        <v>6</v>
      </c>
      <c r="G508" s="55">
        <f t="shared" si="15"/>
        <v>1.1666666666666667</v>
      </c>
    </row>
    <row r="509" spans="1:7" x14ac:dyDescent="0.2">
      <c r="A509" s="100">
        <f t="shared" si="14"/>
        <v>6</v>
      </c>
      <c r="B509" s="27">
        <v>6</v>
      </c>
      <c r="C509" s="29"/>
      <c r="D509" s="29"/>
      <c r="E509" s="29"/>
      <c r="F509" s="158">
        <v>6</v>
      </c>
      <c r="G509" s="55">
        <f t="shared" si="15"/>
        <v>1</v>
      </c>
    </row>
    <row r="510" spans="1:7" x14ac:dyDescent="0.2">
      <c r="A510" s="100">
        <f t="shared" si="14"/>
        <v>27</v>
      </c>
      <c r="B510" s="25">
        <v>5</v>
      </c>
      <c r="C510" s="28"/>
      <c r="D510" s="25">
        <v>22</v>
      </c>
      <c r="E510" s="28"/>
      <c r="F510" s="157">
        <v>4</v>
      </c>
      <c r="G510" s="55">
        <f t="shared" si="15"/>
        <v>6.75</v>
      </c>
    </row>
    <row r="511" spans="1:7" x14ac:dyDescent="0.2">
      <c r="A511" s="100">
        <f t="shared" si="14"/>
        <v>23</v>
      </c>
      <c r="B511" s="29"/>
      <c r="C511" s="29"/>
      <c r="D511" s="27">
        <v>23</v>
      </c>
      <c r="E511" s="29"/>
      <c r="F511" s="158">
        <v>5</v>
      </c>
      <c r="G511" s="55">
        <f t="shared" si="15"/>
        <v>4.5999999999999996</v>
      </c>
    </row>
    <row r="512" spans="1:7" x14ac:dyDescent="0.2">
      <c r="A512" s="100">
        <f t="shared" si="14"/>
        <v>65</v>
      </c>
      <c r="B512" s="25">
        <v>5</v>
      </c>
      <c r="C512" s="28"/>
      <c r="D512" s="28"/>
      <c r="E512" s="25">
        <v>60</v>
      </c>
      <c r="F512" s="157">
        <v>6</v>
      </c>
      <c r="G512" s="55">
        <f t="shared" si="15"/>
        <v>10.833333333333334</v>
      </c>
    </row>
    <row r="513" spans="1:7" x14ac:dyDescent="0.2">
      <c r="A513" s="100">
        <f t="shared" si="14"/>
        <v>0</v>
      </c>
      <c r="B513" s="29"/>
      <c r="C513" s="29"/>
      <c r="D513" s="29"/>
      <c r="E513" s="29"/>
      <c r="F513" s="158">
        <v>3</v>
      </c>
      <c r="G513" s="55">
        <f t="shared" si="15"/>
        <v>0</v>
      </c>
    </row>
    <row r="514" spans="1:7" x14ac:dyDescent="0.2">
      <c r="A514" s="100">
        <f t="shared" si="14"/>
        <v>4</v>
      </c>
      <c r="B514" s="28"/>
      <c r="C514" s="25">
        <v>4</v>
      </c>
      <c r="D514" s="28"/>
      <c r="E514" s="28"/>
      <c r="F514" s="157">
        <v>5</v>
      </c>
      <c r="G514" s="55">
        <f t="shared" si="15"/>
        <v>0.8</v>
      </c>
    </row>
    <row r="515" spans="1:7" x14ac:dyDescent="0.2">
      <c r="A515" s="100">
        <f t="shared" ref="A515:A568" si="16">IFERROR(B515,0)+IFERROR(C515,0)+IFERROR(D515,0)+IFERROR(E515,0)</f>
        <v>10</v>
      </c>
      <c r="B515" s="27">
        <v>10</v>
      </c>
      <c r="C515" s="29"/>
      <c r="D515" s="29"/>
      <c r="E515" s="29"/>
      <c r="F515" s="158">
        <v>3</v>
      </c>
      <c r="G515" s="55">
        <f t="shared" ref="G515:G568" si="17">IFERROR(A515/F515," ")</f>
        <v>3.3333333333333335</v>
      </c>
    </row>
    <row r="516" spans="1:7" x14ac:dyDescent="0.2">
      <c r="A516" s="100">
        <f t="shared" si="16"/>
        <v>0</v>
      </c>
      <c r="B516" s="28"/>
      <c r="C516" s="28"/>
      <c r="D516" s="28"/>
      <c r="E516" s="28"/>
      <c r="F516" s="157">
        <v>3</v>
      </c>
      <c r="G516" s="55">
        <f t="shared" si="17"/>
        <v>0</v>
      </c>
    </row>
    <row r="517" spans="1:7" x14ac:dyDescent="0.2">
      <c r="A517" s="100">
        <f t="shared" si="16"/>
        <v>21</v>
      </c>
      <c r="B517" s="27">
        <v>3</v>
      </c>
      <c r="C517" s="29"/>
      <c r="D517" s="27">
        <v>18</v>
      </c>
      <c r="E517" s="29"/>
      <c r="F517" s="158">
        <v>5</v>
      </c>
      <c r="G517" s="55">
        <f t="shared" si="17"/>
        <v>4.2</v>
      </c>
    </row>
    <row r="518" spans="1:7" x14ac:dyDescent="0.2">
      <c r="A518" s="100">
        <f t="shared" si="16"/>
        <v>8</v>
      </c>
      <c r="B518" s="25">
        <v>8</v>
      </c>
      <c r="C518" s="28"/>
      <c r="D518" s="28"/>
      <c r="E518" s="28"/>
      <c r="F518" s="157">
        <v>5</v>
      </c>
      <c r="G518" s="55">
        <f t="shared" si="17"/>
        <v>1.6</v>
      </c>
    </row>
    <row r="519" spans="1:7" x14ac:dyDescent="0.2">
      <c r="A519" s="100">
        <f t="shared" si="16"/>
        <v>19</v>
      </c>
      <c r="B519" s="29"/>
      <c r="C519" s="29"/>
      <c r="D519" s="27">
        <v>19</v>
      </c>
      <c r="E519" s="29"/>
      <c r="F519" s="158">
        <v>5</v>
      </c>
      <c r="G519" s="55">
        <f t="shared" si="17"/>
        <v>3.8</v>
      </c>
    </row>
    <row r="520" spans="1:7" x14ac:dyDescent="0.2">
      <c r="A520" s="100">
        <f t="shared" si="16"/>
        <v>6</v>
      </c>
      <c r="B520" s="28"/>
      <c r="C520" s="25">
        <v>6</v>
      </c>
      <c r="D520" s="28"/>
      <c r="E520" s="28"/>
      <c r="F520" s="157">
        <v>3</v>
      </c>
      <c r="G520" s="55">
        <f t="shared" si="17"/>
        <v>2</v>
      </c>
    </row>
    <row r="521" spans="1:7" x14ac:dyDescent="0.2">
      <c r="A521" s="100">
        <f t="shared" si="16"/>
        <v>64</v>
      </c>
      <c r="B521" s="27">
        <v>4</v>
      </c>
      <c r="C521" s="29"/>
      <c r="D521" s="29"/>
      <c r="E521" s="27">
        <v>60</v>
      </c>
      <c r="F521" s="158">
        <v>6</v>
      </c>
      <c r="G521" s="55">
        <f t="shared" si="17"/>
        <v>10.666666666666666</v>
      </c>
    </row>
    <row r="522" spans="1:7" x14ac:dyDescent="0.2">
      <c r="A522" s="100">
        <f t="shared" si="16"/>
        <v>22</v>
      </c>
      <c r="B522" s="28"/>
      <c r="C522" s="28"/>
      <c r="D522" s="25">
        <v>22</v>
      </c>
      <c r="E522" s="28"/>
      <c r="F522" s="157">
        <v>3</v>
      </c>
      <c r="G522" s="55">
        <f t="shared" si="17"/>
        <v>7.333333333333333</v>
      </c>
    </row>
    <row r="523" spans="1:7" x14ac:dyDescent="0.2">
      <c r="A523" s="100">
        <f t="shared" si="16"/>
        <v>26</v>
      </c>
      <c r="B523" s="27">
        <v>5</v>
      </c>
      <c r="C523" s="29"/>
      <c r="D523" s="27">
        <v>21</v>
      </c>
      <c r="E523" s="29"/>
      <c r="F523" s="158">
        <v>4</v>
      </c>
      <c r="G523" s="55">
        <f t="shared" si="17"/>
        <v>6.5</v>
      </c>
    </row>
    <row r="524" spans="1:7" x14ac:dyDescent="0.2">
      <c r="A524" s="100">
        <f t="shared" si="16"/>
        <v>6</v>
      </c>
      <c r="B524" s="28"/>
      <c r="C524" s="25">
        <v>6</v>
      </c>
      <c r="D524" s="28"/>
      <c r="E524" s="28"/>
      <c r="F524" s="157">
        <v>5</v>
      </c>
      <c r="G524" s="55">
        <f t="shared" si="17"/>
        <v>1.2</v>
      </c>
    </row>
    <row r="525" spans="1:7" x14ac:dyDescent="0.2">
      <c r="A525" s="100">
        <f t="shared" si="16"/>
        <v>12</v>
      </c>
      <c r="B525" s="27">
        <v>12</v>
      </c>
      <c r="C525" s="29"/>
      <c r="D525" s="29"/>
      <c r="E525" s="29"/>
      <c r="F525" s="158">
        <v>5</v>
      </c>
      <c r="G525" s="55">
        <f t="shared" si="17"/>
        <v>2.4</v>
      </c>
    </row>
    <row r="526" spans="1:7" x14ac:dyDescent="0.2">
      <c r="A526" s="100">
        <f t="shared" si="16"/>
        <v>19</v>
      </c>
      <c r="B526" s="28"/>
      <c r="C526" s="28"/>
      <c r="D526" s="25">
        <v>19</v>
      </c>
      <c r="E526" s="28"/>
      <c r="F526" s="157">
        <v>5</v>
      </c>
      <c r="G526" s="55">
        <f t="shared" si="17"/>
        <v>3.8</v>
      </c>
    </row>
    <row r="527" spans="1:7" x14ac:dyDescent="0.2">
      <c r="A527" s="100">
        <f t="shared" si="16"/>
        <v>9</v>
      </c>
      <c r="B527" s="27">
        <v>9</v>
      </c>
      <c r="C527" s="29"/>
      <c r="D527" s="29"/>
      <c r="E527" s="29"/>
      <c r="F527" s="158">
        <v>5</v>
      </c>
      <c r="G527" s="55">
        <f t="shared" si="17"/>
        <v>1.8</v>
      </c>
    </row>
    <row r="528" spans="1:7" x14ac:dyDescent="0.2">
      <c r="A528" s="100">
        <f t="shared" si="16"/>
        <v>7</v>
      </c>
      <c r="B528" s="25">
        <v>7</v>
      </c>
      <c r="C528" s="28"/>
      <c r="D528" s="28"/>
      <c r="E528" s="28"/>
      <c r="F528" s="157">
        <v>6</v>
      </c>
      <c r="G528" s="55">
        <f t="shared" si="17"/>
        <v>1.1666666666666667</v>
      </c>
    </row>
    <row r="529" spans="1:7" x14ac:dyDescent="0.2">
      <c r="A529" s="100">
        <f t="shared" si="16"/>
        <v>21</v>
      </c>
      <c r="B529" s="29"/>
      <c r="C529" s="29"/>
      <c r="D529" s="27">
        <v>21</v>
      </c>
      <c r="E529" s="29"/>
      <c r="F529" s="158">
        <v>4</v>
      </c>
      <c r="G529" s="55">
        <f t="shared" si="17"/>
        <v>5.25</v>
      </c>
    </row>
    <row r="530" spans="1:7" x14ac:dyDescent="0.2">
      <c r="A530" s="100">
        <f t="shared" si="16"/>
        <v>22</v>
      </c>
      <c r="B530" s="25">
        <v>22</v>
      </c>
      <c r="C530" s="28"/>
      <c r="D530" s="28"/>
      <c r="E530" s="28"/>
      <c r="F530" s="157">
        <v>4</v>
      </c>
      <c r="G530" s="55">
        <f t="shared" si="17"/>
        <v>5.5</v>
      </c>
    </row>
    <row r="531" spans="1:7" x14ac:dyDescent="0.2">
      <c r="A531" s="100">
        <f t="shared" si="16"/>
        <v>6</v>
      </c>
      <c r="B531" s="29"/>
      <c r="C531" s="27">
        <v>6</v>
      </c>
      <c r="D531" s="29"/>
      <c r="E531" s="29"/>
      <c r="F531" s="158">
        <v>4</v>
      </c>
      <c r="G531" s="55">
        <f t="shared" si="17"/>
        <v>1.5</v>
      </c>
    </row>
    <row r="532" spans="1:7" x14ac:dyDescent="0.2">
      <c r="A532" s="100">
        <f t="shared" si="16"/>
        <v>18</v>
      </c>
      <c r="B532" s="25">
        <v>18</v>
      </c>
      <c r="C532" s="28"/>
      <c r="D532" s="28"/>
      <c r="E532" s="28"/>
      <c r="F532" s="157">
        <v>4</v>
      </c>
      <c r="G532" s="55">
        <f t="shared" si="17"/>
        <v>4.5</v>
      </c>
    </row>
    <row r="533" spans="1:7" x14ac:dyDescent="0.2">
      <c r="A533" s="100">
        <f t="shared" si="16"/>
        <v>28</v>
      </c>
      <c r="B533" s="27">
        <v>5</v>
      </c>
      <c r="C533" s="29"/>
      <c r="D533" s="27">
        <v>23</v>
      </c>
      <c r="E533" s="29"/>
      <c r="F533" s="158">
        <v>5</v>
      </c>
      <c r="G533" s="55">
        <f t="shared" si="17"/>
        <v>5.6</v>
      </c>
    </row>
    <row r="534" spans="1:7" x14ac:dyDescent="0.2">
      <c r="A534" s="100">
        <f t="shared" si="16"/>
        <v>7</v>
      </c>
      <c r="B534" s="28"/>
      <c r="C534" s="25">
        <v>7</v>
      </c>
      <c r="D534" s="28"/>
      <c r="E534" s="28"/>
      <c r="F534" s="157">
        <v>5</v>
      </c>
      <c r="G534" s="55">
        <f t="shared" si="17"/>
        <v>1.4</v>
      </c>
    </row>
    <row r="535" spans="1:7" x14ac:dyDescent="0.2">
      <c r="A535" s="100">
        <f t="shared" si="16"/>
        <v>26</v>
      </c>
      <c r="B535" s="27">
        <v>6</v>
      </c>
      <c r="C535" s="29"/>
      <c r="D535" s="27">
        <v>20</v>
      </c>
      <c r="E535" s="29"/>
      <c r="F535" s="158">
        <v>5</v>
      </c>
      <c r="G535" s="55">
        <f t="shared" si="17"/>
        <v>5.2</v>
      </c>
    </row>
    <row r="536" spans="1:7" x14ac:dyDescent="0.2">
      <c r="A536" s="100">
        <f t="shared" si="16"/>
        <v>60</v>
      </c>
      <c r="B536" s="25">
        <v>5</v>
      </c>
      <c r="C536" s="28"/>
      <c r="D536" s="28"/>
      <c r="E536" s="25">
        <v>55</v>
      </c>
      <c r="F536" s="157">
        <v>5</v>
      </c>
      <c r="G536" s="55">
        <f t="shared" si="17"/>
        <v>12</v>
      </c>
    </row>
    <row r="537" spans="1:7" x14ac:dyDescent="0.2">
      <c r="A537" s="100">
        <f t="shared" si="16"/>
        <v>6</v>
      </c>
      <c r="B537" s="29"/>
      <c r="C537" s="27">
        <v>6</v>
      </c>
      <c r="D537" s="29"/>
      <c r="E537" s="29"/>
      <c r="F537" s="158">
        <v>4</v>
      </c>
      <c r="G537" s="55">
        <f t="shared" si="17"/>
        <v>1.5</v>
      </c>
    </row>
    <row r="538" spans="1:7" x14ac:dyDescent="0.2">
      <c r="A538" s="100">
        <f t="shared" si="16"/>
        <v>29</v>
      </c>
      <c r="B538" s="28">
        <v>8</v>
      </c>
      <c r="C538" s="28"/>
      <c r="D538" s="25">
        <v>21</v>
      </c>
      <c r="E538" s="28"/>
      <c r="F538" s="157">
        <v>4</v>
      </c>
      <c r="G538" s="55">
        <f t="shared" si="17"/>
        <v>7.25</v>
      </c>
    </row>
    <row r="539" spans="1:7" x14ac:dyDescent="0.2">
      <c r="A539" s="100">
        <f t="shared" si="16"/>
        <v>22</v>
      </c>
      <c r="B539" s="29"/>
      <c r="C539" s="29"/>
      <c r="D539" s="27">
        <v>22</v>
      </c>
      <c r="E539" s="29"/>
      <c r="F539" s="158">
        <v>3</v>
      </c>
      <c r="G539" s="55">
        <f t="shared" si="17"/>
        <v>7.333333333333333</v>
      </c>
    </row>
    <row r="540" spans="1:7" x14ac:dyDescent="0.2">
      <c r="A540" s="100">
        <f t="shared" si="16"/>
        <v>8</v>
      </c>
      <c r="B540" s="25">
        <v>8</v>
      </c>
      <c r="C540" s="28"/>
      <c r="D540" s="28"/>
      <c r="E540" s="28"/>
      <c r="F540" s="157">
        <v>6</v>
      </c>
      <c r="G540" s="55">
        <f t="shared" si="17"/>
        <v>1.3333333333333333</v>
      </c>
    </row>
    <row r="541" spans="1:7" x14ac:dyDescent="0.2">
      <c r="A541" s="100">
        <f t="shared" si="16"/>
        <v>5</v>
      </c>
      <c r="B541" s="29"/>
      <c r="C541" s="27">
        <v>5</v>
      </c>
      <c r="D541" s="29"/>
      <c r="E541" s="29"/>
      <c r="F541" s="158">
        <v>4</v>
      </c>
      <c r="G541" s="55">
        <f t="shared" si="17"/>
        <v>1.25</v>
      </c>
    </row>
    <row r="542" spans="1:7" x14ac:dyDescent="0.2">
      <c r="A542" s="100">
        <f t="shared" si="16"/>
        <v>29</v>
      </c>
      <c r="B542" s="28"/>
      <c r="C542" s="28"/>
      <c r="D542" s="25">
        <v>29</v>
      </c>
      <c r="E542" s="28"/>
      <c r="F542" s="157">
        <v>3</v>
      </c>
      <c r="G542" s="55">
        <f t="shared" si="17"/>
        <v>9.6666666666666661</v>
      </c>
    </row>
    <row r="543" spans="1:7" x14ac:dyDescent="0.2">
      <c r="A543" s="100">
        <f t="shared" si="16"/>
        <v>10</v>
      </c>
      <c r="B543" s="27">
        <v>10</v>
      </c>
      <c r="C543" s="29"/>
      <c r="D543" s="29"/>
      <c r="E543" s="29"/>
      <c r="F543" s="158">
        <v>3</v>
      </c>
      <c r="G543" s="55">
        <f t="shared" si="17"/>
        <v>3.3333333333333335</v>
      </c>
    </row>
    <row r="544" spans="1:7" x14ac:dyDescent="0.2">
      <c r="A544" s="100">
        <f t="shared" si="16"/>
        <v>69</v>
      </c>
      <c r="B544" s="25">
        <v>4</v>
      </c>
      <c r="C544" s="28"/>
      <c r="D544" s="28"/>
      <c r="E544" s="25">
        <v>65</v>
      </c>
      <c r="F544" s="157">
        <v>5</v>
      </c>
      <c r="G544" s="55">
        <f t="shared" si="17"/>
        <v>13.8</v>
      </c>
    </row>
    <row r="545" spans="1:7" x14ac:dyDescent="0.2">
      <c r="A545" s="100">
        <f t="shared" si="16"/>
        <v>18</v>
      </c>
      <c r="B545" s="29"/>
      <c r="C545" s="29"/>
      <c r="D545" s="27">
        <v>18</v>
      </c>
      <c r="E545" s="29"/>
      <c r="F545" s="158">
        <v>5</v>
      </c>
      <c r="G545" s="55">
        <f t="shared" si="17"/>
        <v>3.6</v>
      </c>
    </row>
    <row r="546" spans="1:7" x14ac:dyDescent="0.2">
      <c r="A546" s="100">
        <f t="shared" si="16"/>
        <v>6</v>
      </c>
      <c r="B546" s="28"/>
      <c r="C546" s="25">
        <v>6</v>
      </c>
      <c r="D546" s="28"/>
      <c r="E546" s="28"/>
      <c r="F546" s="157">
        <v>4</v>
      </c>
      <c r="G546" s="55">
        <f t="shared" si="17"/>
        <v>1.5</v>
      </c>
    </row>
    <row r="547" spans="1:7" x14ac:dyDescent="0.2">
      <c r="A547" s="100">
        <f t="shared" si="16"/>
        <v>30</v>
      </c>
      <c r="B547" s="29"/>
      <c r="C547" s="27">
        <v>30</v>
      </c>
      <c r="D547" s="29"/>
      <c r="E547" s="29"/>
      <c r="F547" s="158">
        <v>6</v>
      </c>
      <c r="G547" s="55">
        <f t="shared" si="17"/>
        <v>5</v>
      </c>
    </row>
    <row r="548" spans="1:7" x14ac:dyDescent="0.2">
      <c r="A548" s="100">
        <f t="shared" si="16"/>
        <v>22</v>
      </c>
      <c r="B548" s="25">
        <v>22</v>
      </c>
      <c r="C548" s="28"/>
      <c r="D548" s="28"/>
      <c r="E548" s="28"/>
      <c r="F548" s="157">
        <v>5</v>
      </c>
      <c r="G548" s="55">
        <f t="shared" si="17"/>
        <v>4.4000000000000004</v>
      </c>
    </row>
    <row r="549" spans="1:7" x14ac:dyDescent="0.2">
      <c r="A549" s="100">
        <f t="shared" si="16"/>
        <v>22</v>
      </c>
      <c r="B549" s="27">
        <v>22</v>
      </c>
      <c r="C549" s="29"/>
      <c r="D549" s="29"/>
      <c r="E549" s="29"/>
      <c r="F549" s="158">
        <v>6</v>
      </c>
      <c r="G549" s="55">
        <f t="shared" si="17"/>
        <v>3.6666666666666665</v>
      </c>
    </row>
    <row r="550" spans="1:7" x14ac:dyDescent="0.2">
      <c r="A550" s="100">
        <f t="shared" si="16"/>
        <v>22</v>
      </c>
      <c r="B550" s="25">
        <v>22</v>
      </c>
      <c r="C550" s="28"/>
      <c r="D550" s="28"/>
      <c r="E550" s="28"/>
      <c r="F550" s="157">
        <v>6</v>
      </c>
      <c r="G550" s="55">
        <f t="shared" si="17"/>
        <v>3.6666666666666665</v>
      </c>
    </row>
    <row r="551" spans="1:7" x14ac:dyDescent="0.2">
      <c r="A551" s="100">
        <f t="shared" si="16"/>
        <v>7</v>
      </c>
      <c r="B551" s="29"/>
      <c r="C551" s="27">
        <v>7</v>
      </c>
      <c r="D551" s="29"/>
      <c r="E551" s="29"/>
      <c r="F551" s="158">
        <v>6</v>
      </c>
      <c r="G551" s="55">
        <f t="shared" si="17"/>
        <v>1.1666666666666667</v>
      </c>
    </row>
    <row r="552" spans="1:7" x14ac:dyDescent="0.2">
      <c r="A552" s="100">
        <f t="shared" si="16"/>
        <v>30</v>
      </c>
      <c r="B552" s="28"/>
      <c r="C552" s="25">
        <v>30</v>
      </c>
      <c r="D552" s="28"/>
      <c r="E552" s="28"/>
      <c r="F552" s="157">
        <v>4</v>
      </c>
      <c r="G552" s="55">
        <f t="shared" si="17"/>
        <v>7.5</v>
      </c>
    </row>
    <row r="553" spans="1:7" x14ac:dyDescent="0.2">
      <c r="A553" s="100">
        <f t="shared" si="16"/>
        <v>25</v>
      </c>
      <c r="B553" s="29"/>
      <c r="C553" s="27">
        <v>25</v>
      </c>
      <c r="D553" s="29"/>
      <c r="E553" s="29"/>
      <c r="F553" s="158">
        <v>6</v>
      </c>
      <c r="G553" s="55">
        <f t="shared" si="17"/>
        <v>4.166666666666667</v>
      </c>
    </row>
    <row r="554" spans="1:7" x14ac:dyDescent="0.2">
      <c r="A554" s="100">
        <f t="shared" si="16"/>
        <v>35</v>
      </c>
      <c r="B554" s="25">
        <v>35</v>
      </c>
      <c r="C554" s="28"/>
      <c r="D554" s="28"/>
      <c r="E554" s="28"/>
      <c r="F554" s="157">
        <v>3</v>
      </c>
      <c r="G554" s="55">
        <f t="shared" si="17"/>
        <v>11.666666666666666</v>
      </c>
    </row>
    <row r="555" spans="1:7" x14ac:dyDescent="0.2">
      <c r="A555" s="100">
        <f t="shared" si="16"/>
        <v>22</v>
      </c>
      <c r="B555" s="27">
        <v>22</v>
      </c>
      <c r="C555" s="29"/>
      <c r="D555" s="29"/>
      <c r="E555" s="29"/>
      <c r="F555" s="158">
        <v>3</v>
      </c>
      <c r="G555" s="55">
        <f t="shared" si="17"/>
        <v>7.333333333333333</v>
      </c>
    </row>
    <row r="556" spans="1:7" x14ac:dyDescent="0.2">
      <c r="A556" s="100">
        <f t="shared" si="16"/>
        <v>18</v>
      </c>
      <c r="B556" s="28"/>
      <c r="C556" s="28"/>
      <c r="D556" s="25">
        <v>18</v>
      </c>
      <c r="E556" s="28"/>
      <c r="F556" s="157">
        <v>5</v>
      </c>
      <c r="G556" s="55">
        <f t="shared" si="17"/>
        <v>3.6</v>
      </c>
    </row>
    <row r="557" spans="1:7" x14ac:dyDescent="0.2">
      <c r="A557" s="100">
        <f t="shared" si="16"/>
        <v>69</v>
      </c>
      <c r="B557" s="27">
        <v>4</v>
      </c>
      <c r="C557" s="29"/>
      <c r="D557" s="29"/>
      <c r="E557" s="27">
        <v>65</v>
      </c>
      <c r="F557" s="158">
        <v>6</v>
      </c>
      <c r="G557" s="55">
        <f t="shared" si="17"/>
        <v>11.5</v>
      </c>
    </row>
    <row r="558" spans="1:7" x14ac:dyDescent="0.2">
      <c r="A558" s="100">
        <f t="shared" si="16"/>
        <v>9</v>
      </c>
      <c r="B558" s="25">
        <v>9</v>
      </c>
      <c r="C558" s="28"/>
      <c r="D558" s="28"/>
      <c r="E558" s="28"/>
      <c r="F558" s="157">
        <v>4</v>
      </c>
      <c r="G558" s="55">
        <f t="shared" si="17"/>
        <v>2.25</v>
      </c>
    </row>
    <row r="559" spans="1:7" x14ac:dyDescent="0.2">
      <c r="A559" s="100">
        <f t="shared" si="16"/>
        <v>28</v>
      </c>
      <c r="B559" s="29"/>
      <c r="C559" s="29"/>
      <c r="D559" s="27">
        <v>28</v>
      </c>
      <c r="E559" s="29"/>
      <c r="F559" s="158">
        <v>4</v>
      </c>
      <c r="G559" s="55">
        <f t="shared" si="17"/>
        <v>7</v>
      </c>
    </row>
    <row r="560" spans="1:7" x14ac:dyDescent="0.2">
      <c r="A560" s="100">
        <f t="shared" si="16"/>
        <v>27</v>
      </c>
      <c r="B560" s="25">
        <v>6</v>
      </c>
      <c r="C560" s="28"/>
      <c r="D560" s="25">
        <v>21</v>
      </c>
      <c r="E560" s="28"/>
      <c r="F560" s="157">
        <v>4</v>
      </c>
      <c r="G560" s="55">
        <f t="shared" si="17"/>
        <v>6.75</v>
      </c>
    </row>
    <row r="561" spans="1:7" x14ac:dyDescent="0.2">
      <c r="A561" s="100">
        <f t="shared" si="16"/>
        <v>6</v>
      </c>
      <c r="B561" s="29"/>
      <c r="C561" s="27">
        <v>6</v>
      </c>
      <c r="D561" s="29"/>
      <c r="E561" s="29"/>
      <c r="F561" s="158">
        <v>5</v>
      </c>
      <c r="G561" s="55">
        <f t="shared" si="17"/>
        <v>1.2</v>
      </c>
    </row>
    <row r="562" spans="1:7" x14ac:dyDescent="0.2">
      <c r="A562" s="100">
        <f t="shared" si="16"/>
        <v>89</v>
      </c>
      <c r="B562" s="25">
        <v>4</v>
      </c>
      <c r="C562" s="28"/>
      <c r="D562" s="28"/>
      <c r="E562" s="25">
        <v>85</v>
      </c>
      <c r="F562" s="157">
        <v>5</v>
      </c>
      <c r="G562" s="55">
        <f t="shared" si="17"/>
        <v>17.8</v>
      </c>
    </row>
    <row r="563" spans="1:7" x14ac:dyDescent="0.2">
      <c r="A563" s="100">
        <f t="shared" si="16"/>
        <v>12</v>
      </c>
      <c r="B563" s="27">
        <v>12</v>
      </c>
      <c r="C563" s="29"/>
      <c r="D563" s="29"/>
      <c r="E563" s="29"/>
      <c r="F563" s="158">
        <v>3</v>
      </c>
      <c r="G563" s="55">
        <f t="shared" si="17"/>
        <v>4</v>
      </c>
    </row>
    <row r="564" spans="1:7" x14ac:dyDescent="0.2">
      <c r="A564" s="100">
        <f t="shared" si="16"/>
        <v>4</v>
      </c>
      <c r="B564" s="28"/>
      <c r="C564" s="25">
        <v>4</v>
      </c>
      <c r="D564" s="28"/>
      <c r="E564" s="28"/>
      <c r="F564" s="157">
        <v>5</v>
      </c>
      <c r="G564" s="55">
        <f t="shared" si="17"/>
        <v>0.8</v>
      </c>
    </row>
    <row r="565" spans="1:7" x14ac:dyDescent="0.2">
      <c r="A565" s="100">
        <f t="shared" si="16"/>
        <v>11</v>
      </c>
      <c r="B565" s="27">
        <v>11</v>
      </c>
      <c r="C565" s="29"/>
      <c r="D565" s="29"/>
      <c r="E565" s="29"/>
      <c r="F565" s="158">
        <v>5</v>
      </c>
      <c r="G565" s="55">
        <f t="shared" si="17"/>
        <v>2.2000000000000002</v>
      </c>
    </row>
    <row r="566" spans="1:7" x14ac:dyDescent="0.2">
      <c r="A566" s="100">
        <f t="shared" si="16"/>
        <v>56</v>
      </c>
      <c r="B566" s="25">
        <v>4</v>
      </c>
      <c r="C566" s="28"/>
      <c r="D566" s="28"/>
      <c r="E566" s="25">
        <v>52</v>
      </c>
      <c r="F566" s="157">
        <v>5</v>
      </c>
      <c r="G566" s="55">
        <f t="shared" si="17"/>
        <v>11.2</v>
      </c>
    </row>
    <row r="567" spans="1:7" x14ac:dyDescent="0.2">
      <c r="A567" s="100">
        <f t="shared" si="16"/>
        <v>6</v>
      </c>
      <c r="B567" s="29"/>
      <c r="C567" s="27">
        <v>6</v>
      </c>
      <c r="D567" s="29"/>
      <c r="E567" s="29"/>
      <c r="F567" s="158">
        <v>5</v>
      </c>
      <c r="G567" s="55">
        <f t="shared" si="17"/>
        <v>1.2</v>
      </c>
    </row>
    <row r="568" spans="1:7" x14ac:dyDescent="0.2">
      <c r="A568" s="100">
        <f t="shared" si="16"/>
        <v>19</v>
      </c>
      <c r="B568" s="28"/>
      <c r="C568" s="28"/>
      <c r="D568" s="25">
        <v>19</v>
      </c>
      <c r="E568" s="28"/>
      <c r="F568" s="157">
        <v>5</v>
      </c>
      <c r="G568" s="55">
        <f t="shared" si="17"/>
        <v>3.8</v>
      </c>
    </row>
  </sheetData>
  <conditionalFormatting sqref="A1">
    <cfRule type="containsBlanks" dxfId="30" priority="3">
      <formula>LEN(TRIM(A1))=0</formula>
    </cfRule>
  </conditionalFormatting>
  <conditionalFormatting sqref="F2:F568">
    <cfRule type="containsBlanks" dxfId="29" priority="2">
      <formula>LEN(TRIM(F2))=0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568"/>
  <sheetViews>
    <sheetView topLeftCell="B22" workbookViewId="0">
      <selection activeCell="L51" sqref="L51"/>
    </sheetView>
  </sheetViews>
  <sheetFormatPr defaultRowHeight="12.75" x14ac:dyDescent="0.2"/>
  <cols>
    <col min="1" max="1" width="13.85546875" customWidth="1"/>
    <col min="2" max="2" width="14.5703125" customWidth="1"/>
    <col min="9" max="9" width="21.7109375" customWidth="1"/>
    <col min="10" max="10" width="16.28515625" customWidth="1"/>
    <col min="11" max="11" width="13" customWidth="1"/>
    <col min="12" max="12" width="21.5703125" customWidth="1"/>
    <col min="13" max="13" width="11" customWidth="1"/>
    <col min="14" max="14" width="19" customWidth="1"/>
    <col min="15" max="15" width="10.85546875" customWidth="1"/>
  </cols>
  <sheetData>
    <row r="1" spans="1:12" ht="39" thickBot="1" x14ac:dyDescent="0.25">
      <c r="A1" s="17" t="s">
        <v>1463</v>
      </c>
      <c r="B1" s="17" t="s">
        <v>1477</v>
      </c>
      <c r="D1" s="94" t="s">
        <v>1551</v>
      </c>
      <c r="E1" s="94" t="s">
        <v>1552</v>
      </c>
      <c r="F1" s="95" t="s">
        <v>1553</v>
      </c>
      <c r="G1" s="95" t="s">
        <v>1554</v>
      </c>
    </row>
    <row r="2" spans="1:12" ht="29.25" thickTop="1" x14ac:dyDescent="0.2">
      <c r="A2" s="51">
        <v>1</v>
      </c>
      <c r="B2" s="51">
        <v>3000</v>
      </c>
      <c r="D2" s="51">
        <v>3000</v>
      </c>
      <c r="E2" s="65">
        <v>9200</v>
      </c>
      <c r="F2" s="51">
        <v>10000</v>
      </c>
      <c r="G2" s="51">
        <v>15000</v>
      </c>
      <c r="I2" s="91" t="s">
        <v>1549</v>
      </c>
      <c r="J2" s="98" t="s">
        <v>1550</v>
      </c>
      <c r="K2" s="91" t="s">
        <v>1545</v>
      </c>
      <c r="L2" s="98" t="s">
        <v>1571</v>
      </c>
    </row>
    <row r="3" spans="1:12" ht="14.25" x14ac:dyDescent="0.2">
      <c r="A3" s="65">
        <v>2</v>
      </c>
      <c r="B3" s="65">
        <v>9200</v>
      </c>
      <c r="D3" s="51">
        <v>1000</v>
      </c>
      <c r="E3" s="51">
        <v>1000</v>
      </c>
      <c r="F3" s="51">
        <v>9000</v>
      </c>
      <c r="I3" s="87" t="s">
        <v>1551</v>
      </c>
      <c r="J3" s="87">
        <f>AVERAGEIF($A$2:$A$568, 1, $B$2:$B$568)</f>
        <v>1657.812324929972</v>
      </c>
      <c r="K3" s="87">
        <f>COUNTIF($A$2:$A$568,1)</f>
        <v>357</v>
      </c>
      <c r="L3" s="99">
        <v>1657.8123249299699</v>
      </c>
    </row>
    <row r="4" spans="1:12" ht="14.25" x14ac:dyDescent="0.2">
      <c r="A4" s="51">
        <v>1</v>
      </c>
      <c r="B4" s="51">
        <v>1000</v>
      </c>
      <c r="D4" s="65">
        <v>1000</v>
      </c>
      <c r="E4" s="65">
        <v>9500</v>
      </c>
      <c r="F4" s="51">
        <v>2000</v>
      </c>
      <c r="I4" s="87" t="s">
        <v>1552</v>
      </c>
      <c r="J4" s="87">
        <f>AVERAGEIF($A$2:$A$568, 2, $B$2:$B$568)</f>
        <v>5574.4093567251466</v>
      </c>
      <c r="K4" s="87">
        <f>COUNTIF($A$2:$A$568,2)</f>
        <v>171</v>
      </c>
      <c r="L4" s="99">
        <v>5574.4093567251466</v>
      </c>
    </row>
    <row r="5" spans="1:12" ht="14.25" x14ac:dyDescent="0.2">
      <c r="A5" s="65">
        <v>1</v>
      </c>
      <c r="B5" s="65">
        <v>1000</v>
      </c>
      <c r="D5" s="65">
        <v>1200</v>
      </c>
      <c r="E5" s="65">
        <v>8000</v>
      </c>
      <c r="F5" s="65">
        <v>11100</v>
      </c>
      <c r="I5" s="87" t="s">
        <v>1553</v>
      </c>
      <c r="J5" s="87">
        <f>AVERAGEIF($A$2:$A$568, 3, $B$2:$B$568)</f>
        <v>8728.9473684210534</v>
      </c>
      <c r="K5" s="87">
        <f>COUNTIF($A$2:$A$568,3)</f>
        <v>38</v>
      </c>
      <c r="L5" s="99">
        <v>8728.9473684210534</v>
      </c>
    </row>
    <row r="6" spans="1:12" ht="14.25" x14ac:dyDescent="0.2">
      <c r="A6" s="51">
        <v>3</v>
      </c>
      <c r="B6" s="51">
        <v>10000</v>
      </c>
      <c r="D6" s="65">
        <v>3000</v>
      </c>
      <c r="E6" s="51">
        <v>6800</v>
      </c>
      <c r="F6" s="65">
        <v>8800</v>
      </c>
      <c r="I6" s="87" t="s">
        <v>1554</v>
      </c>
      <c r="J6" s="87">
        <f>AVERAGEIF($A$2:$A$568, 4, $B$2:$B$568)</f>
        <v>15000</v>
      </c>
      <c r="K6" s="87">
        <f>COUNTIF($A$2:$A$568,4)</f>
        <v>1</v>
      </c>
      <c r="L6" s="99">
        <v>15000</v>
      </c>
    </row>
    <row r="7" spans="1:12" ht="14.25" x14ac:dyDescent="0.2">
      <c r="A7" s="65">
        <v>1</v>
      </c>
      <c r="B7" s="65">
        <v>1200</v>
      </c>
      <c r="D7" s="51">
        <v>1500</v>
      </c>
      <c r="E7" s="65">
        <v>9000</v>
      </c>
      <c r="F7" s="65">
        <v>9500</v>
      </c>
      <c r="I7" s="92"/>
      <c r="J7" s="55"/>
      <c r="K7" s="93">
        <f>SUM(K3:K6)</f>
        <v>567</v>
      </c>
    </row>
    <row r="8" spans="1:12" x14ac:dyDescent="0.2">
      <c r="A8" s="51">
        <v>2</v>
      </c>
      <c r="B8" s="51">
        <v>1000</v>
      </c>
      <c r="D8" s="51">
        <v>1500</v>
      </c>
      <c r="E8" s="65">
        <v>3000</v>
      </c>
      <c r="F8" s="65">
        <v>12000</v>
      </c>
    </row>
    <row r="9" spans="1:12" x14ac:dyDescent="0.2">
      <c r="A9" s="65">
        <v>1</v>
      </c>
      <c r="B9" s="65">
        <v>3000</v>
      </c>
      <c r="D9" s="65">
        <v>900</v>
      </c>
      <c r="E9" s="51">
        <v>5200</v>
      </c>
      <c r="F9" s="65">
        <v>11000</v>
      </c>
    </row>
    <row r="10" spans="1:12" x14ac:dyDescent="0.2">
      <c r="A10" s="51">
        <v>1</v>
      </c>
      <c r="B10" s="51">
        <v>1500</v>
      </c>
      <c r="D10" s="65">
        <v>2300</v>
      </c>
      <c r="E10" s="65">
        <v>9700</v>
      </c>
      <c r="F10" s="51">
        <v>200</v>
      </c>
    </row>
    <row r="11" spans="1:12" x14ac:dyDescent="0.2">
      <c r="A11" s="65">
        <v>2</v>
      </c>
      <c r="B11" s="65">
        <v>9500</v>
      </c>
      <c r="D11" s="51">
        <v>1200</v>
      </c>
      <c r="E11" s="51">
        <v>8200</v>
      </c>
      <c r="F11" s="51">
        <v>14000</v>
      </c>
    </row>
    <row r="12" spans="1:12" x14ac:dyDescent="0.2">
      <c r="A12" s="51">
        <v>1</v>
      </c>
      <c r="B12" s="51">
        <v>1500</v>
      </c>
      <c r="D12" s="51">
        <v>6000</v>
      </c>
      <c r="E12" s="65">
        <v>8500</v>
      </c>
      <c r="F12" s="65">
        <v>9500</v>
      </c>
    </row>
    <row r="13" spans="1:12" x14ac:dyDescent="0.2">
      <c r="A13" s="65">
        <v>2</v>
      </c>
      <c r="B13" s="65">
        <v>8000</v>
      </c>
      <c r="D13" s="51">
        <v>2700</v>
      </c>
      <c r="E13" s="51">
        <v>7000</v>
      </c>
      <c r="F13" s="51">
        <v>5500</v>
      </c>
    </row>
    <row r="14" spans="1:12" x14ac:dyDescent="0.2">
      <c r="A14" s="51">
        <v>2</v>
      </c>
      <c r="B14" s="51">
        <v>6800</v>
      </c>
      <c r="D14" s="65">
        <v>2400</v>
      </c>
      <c r="E14" s="65">
        <v>5500</v>
      </c>
      <c r="F14" s="51">
        <v>8200</v>
      </c>
    </row>
    <row r="15" spans="1:12" x14ac:dyDescent="0.2">
      <c r="A15" s="65">
        <v>2</v>
      </c>
      <c r="B15" s="65">
        <v>9000</v>
      </c>
      <c r="D15" s="51">
        <v>2900</v>
      </c>
      <c r="E15" s="65">
        <v>5200</v>
      </c>
      <c r="F15" s="65">
        <v>10200</v>
      </c>
    </row>
    <row r="16" spans="1:12" x14ac:dyDescent="0.2">
      <c r="A16" s="51">
        <v>3</v>
      </c>
      <c r="B16" s="51">
        <v>9000</v>
      </c>
      <c r="D16" s="51">
        <v>5200</v>
      </c>
      <c r="E16" s="65">
        <v>5800</v>
      </c>
      <c r="F16" s="65">
        <v>9900</v>
      </c>
    </row>
    <row r="17" spans="1:15" x14ac:dyDescent="0.2">
      <c r="A17" s="65">
        <v>1</v>
      </c>
      <c r="B17" s="65">
        <v>900</v>
      </c>
      <c r="D17" s="51">
        <v>900</v>
      </c>
      <c r="E17" s="51">
        <v>3200</v>
      </c>
      <c r="F17" s="65">
        <v>5000</v>
      </c>
    </row>
    <row r="18" spans="1:15" x14ac:dyDescent="0.2">
      <c r="A18" s="51">
        <v>3</v>
      </c>
      <c r="B18" s="51">
        <v>2000</v>
      </c>
      <c r="D18" s="51">
        <v>650</v>
      </c>
      <c r="E18" s="65">
        <v>6800</v>
      </c>
      <c r="F18" s="51">
        <v>9200</v>
      </c>
    </row>
    <row r="19" spans="1:15" x14ac:dyDescent="0.2">
      <c r="A19" s="65">
        <v>1</v>
      </c>
      <c r="B19" s="65">
        <v>2300</v>
      </c>
      <c r="D19" s="51">
        <v>2400</v>
      </c>
      <c r="E19" s="65">
        <v>4500</v>
      </c>
      <c r="F19" s="51">
        <v>12000</v>
      </c>
    </row>
    <row r="20" spans="1:15" x14ac:dyDescent="0.2">
      <c r="A20" s="51">
        <v>1</v>
      </c>
      <c r="B20" s="51">
        <v>1200</v>
      </c>
      <c r="D20" s="65">
        <v>1500</v>
      </c>
      <c r="E20" s="51">
        <v>5000</v>
      </c>
      <c r="F20" s="51">
        <v>9000</v>
      </c>
    </row>
    <row r="21" spans="1:15" x14ac:dyDescent="0.2">
      <c r="A21" s="65">
        <v>3</v>
      </c>
      <c r="B21" s="65">
        <v>11100</v>
      </c>
      <c r="D21" s="51">
        <v>500</v>
      </c>
      <c r="E21" s="65">
        <v>4000</v>
      </c>
      <c r="F21" s="51">
        <v>14000</v>
      </c>
      <c r="I21" s="53" t="s">
        <v>1555</v>
      </c>
    </row>
    <row r="22" spans="1:15" x14ac:dyDescent="0.2">
      <c r="A22" s="51">
        <v>1</v>
      </c>
      <c r="B22" s="51">
        <v>6000</v>
      </c>
      <c r="D22" s="51">
        <v>850</v>
      </c>
      <c r="E22" s="51">
        <v>650</v>
      </c>
      <c r="F22" s="51">
        <v>500</v>
      </c>
    </row>
    <row r="23" spans="1:15" ht="13.5" thickBot="1" x14ac:dyDescent="0.25">
      <c r="A23" s="65">
        <v>3</v>
      </c>
      <c r="B23" s="65">
        <v>8800</v>
      </c>
      <c r="D23" s="65">
        <v>1400</v>
      </c>
      <c r="E23" s="51">
        <v>1000</v>
      </c>
      <c r="F23" s="51">
        <v>7000</v>
      </c>
      <c r="I23" t="s">
        <v>1556</v>
      </c>
    </row>
    <row r="24" spans="1:15" ht="14.25" x14ac:dyDescent="0.2">
      <c r="A24" s="51">
        <v>1</v>
      </c>
      <c r="B24" s="51">
        <v>2700</v>
      </c>
      <c r="D24" s="51">
        <v>700</v>
      </c>
      <c r="E24" s="65">
        <v>7500</v>
      </c>
      <c r="F24" s="51">
        <v>7500</v>
      </c>
      <c r="I24" s="96" t="s">
        <v>1557</v>
      </c>
      <c r="J24" s="96" t="s">
        <v>1545</v>
      </c>
      <c r="K24" s="96" t="s">
        <v>1558</v>
      </c>
      <c r="L24" s="96" t="s">
        <v>1486</v>
      </c>
      <c r="M24" s="96" t="s">
        <v>1559</v>
      </c>
    </row>
    <row r="25" spans="1:15" x14ac:dyDescent="0.2">
      <c r="A25" s="65">
        <v>2</v>
      </c>
      <c r="B25" s="65">
        <v>3000</v>
      </c>
      <c r="D25" s="51">
        <v>850</v>
      </c>
      <c r="E25" s="65">
        <v>5500</v>
      </c>
      <c r="F25" s="90">
        <v>1500</v>
      </c>
      <c r="I25" s="79" t="s">
        <v>1551</v>
      </c>
      <c r="J25" s="79">
        <v>357</v>
      </c>
      <c r="K25" s="79">
        <v>591839</v>
      </c>
      <c r="L25" s="79">
        <v>1657.812324929972</v>
      </c>
      <c r="M25" s="79">
        <v>3780721.1023195796</v>
      </c>
    </row>
    <row r="26" spans="1:15" x14ac:dyDescent="0.2">
      <c r="A26" s="51">
        <v>2</v>
      </c>
      <c r="B26" s="51">
        <v>5200</v>
      </c>
      <c r="D26" s="65">
        <v>2700</v>
      </c>
      <c r="E26" s="65">
        <v>4800</v>
      </c>
      <c r="F26" s="65">
        <v>4500</v>
      </c>
      <c r="I26" s="79" t="s">
        <v>1552</v>
      </c>
      <c r="J26" s="79">
        <v>171</v>
      </c>
      <c r="K26" s="79">
        <v>953224</v>
      </c>
      <c r="L26" s="79">
        <v>5574.4093567251466</v>
      </c>
      <c r="M26" s="79">
        <v>10611180.713794287</v>
      </c>
    </row>
    <row r="27" spans="1:15" x14ac:dyDescent="0.2">
      <c r="A27" s="65">
        <v>2</v>
      </c>
      <c r="B27" s="65">
        <v>9700</v>
      </c>
      <c r="D27" s="65">
        <v>750</v>
      </c>
      <c r="E27" s="65">
        <v>10000</v>
      </c>
      <c r="F27" s="51">
        <v>14000</v>
      </c>
      <c r="I27" s="79" t="s">
        <v>1553</v>
      </c>
      <c r="J27" s="79">
        <v>38</v>
      </c>
      <c r="K27" s="79">
        <v>331700</v>
      </c>
      <c r="L27" s="79">
        <v>8728.9473684210534</v>
      </c>
      <c r="M27" s="79">
        <v>19244815.078236129</v>
      </c>
    </row>
    <row r="28" spans="1:15" ht="13.5" thickBot="1" x14ac:dyDescent="0.25">
      <c r="A28" s="51">
        <v>2</v>
      </c>
      <c r="B28" s="51">
        <v>8200</v>
      </c>
      <c r="D28" s="51">
        <v>650</v>
      </c>
      <c r="E28" s="51">
        <v>5000</v>
      </c>
      <c r="F28" s="51">
        <v>12500</v>
      </c>
      <c r="I28" s="80" t="s">
        <v>1554</v>
      </c>
      <c r="J28" s="80">
        <v>1</v>
      </c>
      <c r="K28" s="80">
        <v>15000</v>
      </c>
      <c r="L28" s="80">
        <v>15000</v>
      </c>
      <c r="M28" s="80" t="e">
        <v>#DIV/0!</v>
      </c>
    </row>
    <row r="29" spans="1:15" x14ac:dyDescent="0.2">
      <c r="A29" s="65">
        <v>1</v>
      </c>
      <c r="B29" s="65">
        <v>2400</v>
      </c>
      <c r="D29" s="51">
        <v>650</v>
      </c>
      <c r="E29" s="51">
        <v>9500</v>
      </c>
      <c r="F29" s="51">
        <v>13200</v>
      </c>
    </row>
    <row r="30" spans="1:15" x14ac:dyDescent="0.2">
      <c r="A30" s="51">
        <v>1</v>
      </c>
      <c r="B30" s="51">
        <v>2900</v>
      </c>
      <c r="D30" s="65">
        <v>650</v>
      </c>
      <c r="E30" s="65">
        <v>4800</v>
      </c>
      <c r="F30" s="51">
        <v>1200</v>
      </c>
    </row>
    <row r="31" spans="1:15" ht="13.5" thickBot="1" x14ac:dyDescent="0.25">
      <c r="A31" s="65">
        <v>3</v>
      </c>
      <c r="B31" s="65">
        <v>9500</v>
      </c>
      <c r="D31" s="65">
        <v>1000</v>
      </c>
      <c r="E31" s="51">
        <v>3200</v>
      </c>
      <c r="F31" s="65">
        <v>13800</v>
      </c>
      <c r="I31" s="53" t="s">
        <v>1560</v>
      </c>
    </row>
    <row r="32" spans="1:15" ht="14.25" x14ac:dyDescent="0.2">
      <c r="A32" s="51">
        <v>1</v>
      </c>
      <c r="B32" s="51">
        <v>5200</v>
      </c>
      <c r="D32" s="51">
        <v>900</v>
      </c>
      <c r="E32" s="51">
        <v>12000</v>
      </c>
      <c r="F32" s="51">
        <v>14500</v>
      </c>
      <c r="I32" s="96" t="s">
        <v>1561</v>
      </c>
      <c r="J32" s="96" t="s">
        <v>1562</v>
      </c>
      <c r="K32" s="96" t="s">
        <v>1563</v>
      </c>
      <c r="L32" s="96" t="s">
        <v>1564</v>
      </c>
      <c r="M32" s="96" t="s">
        <v>1565</v>
      </c>
      <c r="N32" s="96" t="s">
        <v>1566</v>
      </c>
      <c r="O32" s="96" t="s">
        <v>1567</v>
      </c>
    </row>
    <row r="33" spans="1:15" x14ac:dyDescent="0.2">
      <c r="A33" s="65">
        <v>2</v>
      </c>
      <c r="B33" s="65">
        <v>8500</v>
      </c>
      <c r="D33" s="51">
        <v>700</v>
      </c>
      <c r="E33" s="65">
        <v>650</v>
      </c>
      <c r="F33" s="51">
        <v>15600</v>
      </c>
      <c r="I33" s="79" t="s">
        <v>1568</v>
      </c>
      <c r="J33" s="79">
        <v>3103451800.2215862</v>
      </c>
      <c r="K33" s="79">
        <v>3</v>
      </c>
      <c r="L33" s="79">
        <v>1034483933.4071954</v>
      </c>
      <c r="M33" s="79">
        <v>150.8105127868231</v>
      </c>
      <c r="N33" s="79">
        <v>9.9800411990857098E-72</v>
      </c>
      <c r="O33" s="79">
        <v>2.6207327555926767</v>
      </c>
    </row>
    <row r="34" spans="1:15" x14ac:dyDescent="0.2">
      <c r="A34" s="51">
        <v>2</v>
      </c>
      <c r="B34" s="51">
        <v>7000</v>
      </c>
      <c r="D34" s="65">
        <v>1200</v>
      </c>
      <c r="E34" s="51">
        <v>4200</v>
      </c>
      <c r="F34" s="65">
        <v>14800</v>
      </c>
      <c r="I34" s="79" t="s">
        <v>1569</v>
      </c>
      <c r="J34" s="79">
        <v>3861895591.6655359</v>
      </c>
      <c r="K34" s="79">
        <v>563</v>
      </c>
      <c r="L34" s="79">
        <v>6859494.8342194241</v>
      </c>
      <c r="M34" s="79"/>
      <c r="N34" s="79"/>
      <c r="O34" s="79"/>
    </row>
    <row r="35" spans="1:15" x14ac:dyDescent="0.2">
      <c r="A35" s="65">
        <v>2</v>
      </c>
      <c r="B35" s="65">
        <v>5500</v>
      </c>
      <c r="D35" s="51">
        <v>3200</v>
      </c>
      <c r="E35" s="51">
        <v>3600</v>
      </c>
      <c r="F35" s="51">
        <v>9700</v>
      </c>
      <c r="I35" s="79"/>
      <c r="J35" s="79"/>
      <c r="K35" s="79"/>
      <c r="L35" s="79"/>
      <c r="M35" s="79"/>
      <c r="N35" s="79"/>
      <c r="O35" s="79"/>
    </row>
    <row r="36" spans="1:15" ht="15" thickBot="1" x14ac:dyDescent="0.25">
      <c r="A36" s="51">
        <v>1</v>
      </c>
      <c r="B36" s="51">
        <v>900</v>
      </c>
      <c r="D36" s="51">
        <v>750</v>
      </c>
      <c r="E36" s="65">
        <v>3800</v>
      </c>
      <c r="F36" s="51">
        <v>4500</v>
      </c>
      <c r="I36" s="97" t="s">
        <v>1570</v>
      </c>
      <c r="J36" s="97">
        <v>6965347391.8871222</v>
      </c>
      <c r="K36" s="97">
        <v>566</v>
      </c>
      <c r="L36" s="97"/>
      <c r="M36" s="97"/>
      <c r="N36" s="97"/>
      <c r="O36" s="97"/>
    </row>
    <row r="37" spans="1:15" x14ac:dyDescent="0.2">
      <c r="A37" s="65">
        <v>2</v>
      </c>
      <c r="B37" s="65">
        <v>5200</v>
      </c>
      <c r="D37" s="51">
        <v>2300</v>
      </c>
      <c r="E37" s="51">
        <v>8200</v>
      </c>
      <c r="F37" s="65">
        <v>4400</v>
      </c>
    </row>
    <row r="38" spans="1:15" x14ac:dyDescent="0.2">
      <c r="A38" s="51">
        <v>1</v>
      </c>
      <c r="B38" s="51">
        <v>650</v>
      </c>
      <c r="D38" s="65">
        <v>2000</v>
      </c>
      <c r="E38" s="65">
        <v>9000</v>
      </c>
      <c r="F38" s="65">
        <v>9400</v>
      </c>
    </row>
    <row r="39" spans="1:15" x14ac:dyDescent="0.2">
      <c r="A39" s="65">
        <v>3</v>
      </c>
      <c r="B39" s="65">
        <v>12000</v>
      </c>
      <c r="D39" s="65">
        <v>1000</v>
      </c>
      <c r="E39" s="65">
        <v>7000</v>
      </c>
      <c r="F39" s="51">
        <v>3000</v>
      </c>
      <c r="I39" s="53" t="s">
        <v>1654</v>
      </c>
      <c r="J39" s="53"/>
    </row>
    <row r="40" spans="1:15" ht="15.75" x14ac:dyDescent="0.25">
      <c r="A40" s="51">
        <v>1</v>
      </c>
      <c r="B40" s="51">
        <v>2400</v>
      </c>
      <c r="D40" s="65">
        <v>1500</v>
      </c>
      <c r="E40" s="65">
        <v>4300</v>
      </c>
      <c r="I40" s="153" t="s">
        <v>1668</v>
      </c>
      <c r="J40">
        <f>J33/J36</f>
        <v>0.44555592501191355</v>
      </c>
    </row>
    <row r="41" spans="1:15" x14ac:dyDescent="0.2">
      <c r="A41" s="65">
        <v>1</v>
      </c>
      <c r="B41" s="65">
        <v>1500</v>
      </c>
      <c r="D41" s="51">
        <v>2000</v>
      </c>
      <c r="E41" s="51">
        <v>3400</v>
      </c>
    </row>
    <row r="42" spans="1:15" x14ac:dyDescent="0.2">
      <c r="A42" s="51">
        <v>1</v>
      </c>
      <c r="B42" s="51">
        <v>500</v>
      </c>
      <c r="D42" s="65">
        <v>1200</v>
      </c>
      <c r="E42" s="51">
        <v>4800</v>
      </c>
      <c r="I42" t="s">
        <v>1655</v>
      </c>
    </row>
    <row r="43" spans="1:15" x14ac:dyDescent="0.2">
      <c r="A43" s="65">
        <v>2</v>
      </c>
      <c r="B43" s="65">
        <v>5800</v>
      </c>
      <c r="D43" s="65">
        <v>900</v>
      </c>
      <c r="E43" s="65">
        <v>5800</v>
      </c>
    </row>
    <row r="44" spans="1:15" x14ac:dyDescent="0.2">
      <c r="A44" s="51">
        <v>1</v>
      </c>
      <c r="B44" s="51">
        <v>850</v>
      </c>
      <c r="D44" s="65">
        <v>2600</v>
      </c>
      <c r="E44" s="51">
        <v>8500</v>
      </c>
    </row>
    <row r="45" spans="1:15" x14ac:dyDescent="0.2">
      <c r="A45" s="65">
        <v>1</v>
      </c>
      <c r="B45" s="65">
        <v>1400</v>
      </c>
      <c r="D45" s="51">
        <v>1100</v>
      </c>
      <c r="E45" s="51">
        <v>5200</v>
      </c>
    </row>
    <row r="46" spans="1:15" x14ac:dyDescent="0.2">
      <c r="A46" s="51">
        <v>2</v>
      </c>
      <c r="B46" s="51">
        <v>3200</v>
      </c>
      <c r="D46" s="65">
        <v>650</v>
      </c>
      <c r="E46" s="65">
        <v>5600</v>
      </c>
    </row>
    <row r="47" spans="1:15" x14ac:dyDescent="0.2">
      <c r="A47" s="65">
        <v>2</v>
      </c>
      <c r="B47" s="65">
        <v>6800</v>
      </c>
      <c r="D47" s="65">
        <v>1300</v>
      </c>
      <c r="E47" s="65">
        <v>7100</v>
      </c>
    </row>
    <row r="48" spans="1:15" x14ac:dyDescent="0.2">
      <c r="A48" s="51">
        <v>1</v>
      </c>
      <c r="B48" s="51">
        <v>700</v>
      </c>
      <c r="D48" s="51">
        <v>650</v>
      </c>
      <c r="E48" s="65">
        <v>5200</v>
      </c>
    </row>
    <row r="49" spans="1:5" x14ac:dyDescent="0.2">
      <c r="A49" s="65">
        <v>3</v>
      </c>
      <c r="B49" s="65">
        <v>11000</v>
      </c>
      <c r="D49" s="51">
        <v>720</v>
      </c>
      <c r="E49" s="65">
        <v>4800</v>
      </c>
    </row>
    <row r="50" spans="1:5" x14ac:dyDescent="0.2">
      <c r="A50" s="51">
        <v>1</v>
      </c>
      <c r="B50" s="51">
        <v>850</v>
      </c>
      <c r="D50" s="65">
        <v>2300</v>
      </c>
      <c r="E50" s="65">
        <v>6400</v>
      </c>
    </row>
    <row r="51" spans="1:5" x14ac:dyDescent="0.2">
      <c r="A51" s="65">
        <v>2</v>
      </c>
      <c r="B51" s="65">
        <v>4500</v>
      </c>
      <c r="D51" s="51">
        <v>1200</v>
      </c>
      <c r="E51" s="65">
        <v>4900</v>
      </c>
    </row>
    <row r="52" spans="1:5" x14ac:dyDescent="0.2">
      <c r="A52" s="51">
        <v>3</v>
      </c>
      <c r="B52" s="51">
        <v>200</v>
      </c>
      <c r="D52" s="65">
        <v>600</v>
      </c>
      <c r="E52" s="51">
        <v>1000</v>
      </c>
    </row>
    <row r="53" spans="1:5" x14ac:dyDescent="0.2">
      <c r="A53" s="65">
        <v>1</v>
      </c>
      <c r="B53" s="65">
        <v>2700</v>
      </c>
      <c r="D53" s="51">
        <v>2400</v>
      </c>
      <c r="E53" s="65">
        <v>1000</v>
      </c>
    </row>
    <row r="54" spans="1:5" x14ac:dyDescent="0.2">
      <c r="A54" s="51">
        <v>2</v>
      </c>
      <c r="B54" s="51">
        <v>5000</v>
      </c>
      <c r="D54" s="51">
        <v>700</v>
      </c>
      <c r="E54" s="65">
        <v>4200</v>
      </c>
    </row>
    <row r="55" spans="1:5" x14ac:dyDescent="0.2">
      <c r="A55" s="65">
        <v>1</v>
      </c>
      <c r="B55" s="65">
        <v>750</v>
      </c>
      <c r="D55" s="65">
        <v>600</v>
      </c>
      <c r="E55" s="65">
        <v>4200</v>
      </c>
    </row>
    <row r="56" spans="1:5" x14ac:dyDescent="0.2">
      <c r="A56" s="51">
        <v>1</v>
      </c>
      <c r="B56" s="51">
        <v>650</v>
      </c>
      <c r="D56" s="51">
        <v>750</v>
      </c>
      <c r="E56" s="51">
        <v>5200</v>
      </c>
    </row>
    <row r="57" spans="1:5" x14ac:dyDescent="0.2">
      <c r="A57" s="65">
        <v>2</v>
      </c>
      <c r="B57" s="65">
        <v>4000</v>
      </c>
      <c r="D57" s="65">
        <v>1100</v>
      </c>
      <c r="E57" s="51">
        <v>9500</v>
      </c>
    </row>
    <row r="58" spans="1:5" x14ac:dyDescent="0.2">
      <c r="A58" s="51">
        <v>1</v>
      </c>
      <c r="B58" s="51">
        <v>650</v>
      </c>
      <c r="D58" s="51">
        <v>2500</v>
      </c>
      <c r="E58" s="51">
        <v>4900</v>
      </c>
    </row>
    <row r="59" spans="1:5" x14ac:dyDescent="0.2">
      <c r="A59" s="65">
        <v>1</v>
      </c>
      <c r="B59" s="65">
        <v>650</v>
      </c>
      <c r="D59" s="65">
        <v>700</v>
      </c>
      <c r="E59" s="65">
        <v>3800</v>
      </c>
    </row>
    <row r="60" spans="1:5" x14ac:dyDescent="0.2">
      <c r="A60" s="51">
        <v>2</v>
      </c>
      <c r="B60" s="51">
        <v>650</v>
      </c>
      <c r="D60" s="65">
        <v>650</v>
      </c>
      <c r="E60" s="51">
        <v>8700</v>
      </c>
    </row>
    <row r="61" spans="1:5" x14ac:dyDescent="0.2">
      <c r="A61" s="65">
        <v>1</v>
      </c>
      <c r="B61" s="65">
        <v>1000</v>
      </c>
      <c r="D61" s="65">
        <v>650</v>
      </c>
      <c r="E61" s="51">
        <v>4200</v>
      </c>
    </row>
    <row r="62" spans="1:5" x14ac:dyDescent="0.2">
      <c r="A62" s="51">
        <v>2</v>
      </c>
      <c r="B62" s="51">
        <v>1000</v>
      </c>
      <c r="D62" s="65">
        <v>1400</v>
      </c>
      <c r="E62" s="51">
        <v>4800</v>
      </c>
    </row>
    <row r="63" spans="1:5" x14ac:dyDescent="0.2">
      <c r="A63" s="65">
        <v>2</v>
      </c>
      <c r="B63" s="65">
        <v>7500</v>
      </c>
      <c r="D63" s="51">
        <v>600</v>
      </c>
      <c r="E63" s="51">
        <v>4000</v>
      </c>
    </row>
    <row r="64" spans="1:5" x14ac:dyDescent="0.2">
      <c r="A64" s="51">
        <v>1</v>
      </c>
      <c r="B64" s="51">
        <v>900</v>
      </c>
      <c r="D64" s="65">
        <v>750</v>
      </c>
      <c r="E64" s="51">
        <v>6000</v>
      </c>
    </row>
    <row r="65" spans="1:5" x14ac:dyDescent="0.2">
      <c r="A65" s="65">
        <v>2</v>
      </c>
      <c r="B65" s="65">
        <v>5500</v>
      </c>
      <c r="D65" s="51">
        <v>20000</v>
      </c>
      <c r="E65" s="65">
        <v>5000</v>
      </c>
    </row>
    <row r="66" spans="1:5" x14ac:dyDescent="0.2">
      <c r="A66" s="51">
        <v>1</v>
      </c>
      <c r="B66" s="51">
        <v>700</v>
      </c>
      <c r="D66" s="65">
        <v>3000</v>
      </c>
      <c r="E66" s="51">
        <v>7000</v>
      </c>
    </row>
    <row r="67" spans="1:5" x14ac:dyDescent="0.2">
      <c r="A67" s="65">
        <v>1</v>
      </c>
      <c r="B67" s="65">
        <v>1200</v>
      </c>
      <c r="D67" s="89">
        <v>950</v>
      </c>
      <c r="E67" s="65">
        <v>9000</v>
      </c>
    </row>
    <row r="68" spans="1:5" x14ac:dyDescent="0.2">
      <c r="A68" s="51">
        <v>1</v>
      </c>
      <c r="B68" s="51">
        <v>3200</v>
      </c>
      <c r="D68" s="51">
        <v>580</v>
      </c>
      <c r="E68" s="51">
        <v>5200</v>
      </c>
    </row>
    <row r="69" spans="1:5" x14ac:dyDescent="0.2">
      <c r="A69" s="65">
        <v>2</v>
      </c>
      <c r="B69" s="65">
        <v>4800</v>
      </c>
      <c r="D69" s="51">
        <v>650</v>
      </c>
      <c r="E69" s="65">
        <v>8200</v>
      </c>
    </row>
    <row r="70" spans="1:5" x14ac:dyDescent="0.2">
      <c r="A70" s="51">
        <v>1</v>
      </c>
      <c r="B70" s="51">
        <v>750</v>
      </c>
      <c r="D70" s="51">
        <v>500</v>
      </c>
      <c r="E70" s="65">
        <v>3000</v>
      </c>
    </row>
    <row r="71" spans="1:5" x14ac:dyDescent="0.2">
      <c r="A71" s="65">
        <v>2</v>
      </c>
      <c r="B71" s="65">
        <v>10000</v>
      </c>
      <c r="D71" s="51">
        <v>720</v>
      </c>
      <c r="E71" s="65">
        <v>20000</v>
      </c>
    </row>
    <row r="72" spans="1:5" x14ac:dyDescent="0.2">
      <c r="A72" s="51">
        <v>1</v>
      </c>
      <c r="B72" s="51">
        <v>2300</v>
      </c>
      <c r="D72" s="65">
        <v>900</v>
      </c>
      <c r="E72" s="89">
        <v>850</v>
      </c>
    </row>
    <row r="73" spans="1:5" x14ac:dyDescent="0.2">
      <c r="A73" s="65">
        <v>1</v>
      </c>
      <c r="B73" s="65">
        <v>2000</v>
      </c>
      <c r="D73" s="51">
        <v>780</v>
      </c>
      <c r="E73" s="90">
        <v>1000</v>
      </c>
    </row>
    <row r="74" spans="1:5" x14ac:dyDescent="0.2">
      <c r="A74" s="51">
        <v>2</v>
      </c>
      <c r="B74" s="51">
        <v>5000</v>
      </c>
      <c r="D74" s="51">
        <v>850</v>
      </c>
      <c r="E74" s="51">
        <v>10000</v>
      </c>
    </row>
    <row r="75" spans="1:5" x14ac:dyDescent="0.2">
      <c r="A75" s="65">
        <v>1</v>
      </c>
      <c r="B75" s="65">
        <v>1000</v>
      </c>
      <c r="D75" s="51">
        <v>800</v>
      </c>
      <c r="E75" s="51">
        <v>5500</v>
      </c>
    </row>
    <row r="76" spans="1:5" x14ac:dyDescent="0.2">
      <c r="A76" s="51">
        <v>2</v>
      </c>
      <c r="B76" s="51">
        <v>9500</v>
      </c>
      <c r="D76" s="51">
        <v>720</v>
      </c>
      <c r="E76" s="65">
        <v>4000</v>
      </c>
    </row>
    <row r="77" spans="1:5" x14ac:dyDescent="0.2">
      <c r="A77" s="65">
        <v>2</v>
      </c>
      <c r="B77" s="65">
        <v>4800</v>
      </c>
      <c r="D77" s="51">
        <v>650</v>
      </c>
      <c r="E77" s="89">
        <v>1000</v>
      </c>
    </row>
    <row r="78" spans="1:5" x14ac:dyDescent="0.2">
      <c r="A78" s="51">
        <v>3</v>
      </c>
      <c r="B78" s="51">
        <v>14000</v>
      </c>
      <c r="D78" s="65">
        <v>990</v>
      </c>
      <c r="E78" s="90">
        <v>1000</v>
      </c>
    </row>
    <row r="79" spans="1:5" x14ac:dyDescent="0.2">
      <c r="A79" s="65">
        <v>1</v>
      </c>
      <c r="B79" s="65">
        <v>1500</v>
      </c>
      <c r="D79" s="51">
        <v>600</v>
      </c>
      <c r="E79" s="51">
        <v>5000</v>
      </c>
    </row>
    <row r="80" spans="1:5" x14ac:dyDescent="0.2">
      <c r="A80" s="51">
        <v>1</v>
      </c>
      <c r="B80" s="51">
        <v>2000</v>
      </c>
      <c r="D80" s="51">
        <v>700</v>
      </c>
      <c r="E80" s="89">
        <v>1000</v>
      </c>
    </row>
    <row r="81" spans="1:5" x14ac:dyDescent="0.2">
      <c r="A81" s="65">
        <v>1</v>
      </c>
      <c r="B81" s="65">
        <v>1200</v>
      </c>
      <c r="D81" s="65">
        <v>600</v>
      </c>
      <c r="E81" s="90">
        <v>1500</v>
      </c>
    </row>
    <row r="82" spans="1:5" x14ac:dyDescent="0.2">
      <c r="A82" s="51">
        <v>2</v>
      </c>
      <c r="B82" s="51">
        <v>3200</v>
      </c>
      <c r="D82" s="65">
        <v>600</v>
      </c>
      <c r="E82" s="89">
        <v>550</v>
      </c>
    </row>
    <row r="83" spans="1:5" x14ac:dyDescent="0.2">
      <c r="A83" s="65">
        <v>1</v>
      </c>
      <c r="B83" s="65">
        <v>900</v>
      </c>
      <c r="D83" s="65">
        <v>650</v>
      </c>
      <c r="E83" s="89">
        <v>950</v>
      </c>
    </row>
    <row r="84" spans="1:5" x14ac:dyDescent="0.2">
      <c r="A84" s="51">
        <v>2</v>
      </c>
      <c r="B84" s="51">
        <v>12000</v>
      </c>
      <c r="D84" s="51">
        <v>1700</v>
      </c>
      <c r="E84" s="51">
        <v>6000</v>
      </c>
    </row>
    <row r="85" spans="1:5" x14ac:dyDescent="0.2">
      <c r="A85" s="65">
        <v>2</v>
      </c>
      <c r="B85" s="65">
        <v>650</v>
      </c>
      <c r="D85" s="65">
        <v>500</v>
      </c>
      <c r="E85" s="51">
        <v>4500</v>
      </c>
    </row>
    <row r="86" spans="1:5" x14ac:dyDescent="0.2">
      <c r="A86" s="51">
        <v>2</v>
      </c>
      <c r="B86" s="51">
        <v>4200</v>
      </c>
      <c r="D86" s="65">
        <v>1000</v>
      </c>
      <c r="E86" s="51">
        <v>7000</v>
      </c>
    </row>
    <row r="87" spans="1:5" x14ac:dyDescent="0.2">
      <c r="A87" s="65">
        <v>1</v>
      </c>
      <c r="B87" s="65">
        <v>2600</v>
      </c>
      <c r="D87" s="65">
        <v>900</v>
      </c>
      <c r="E87" s="51">
        <v>8000</v>
      </c>
    </row>
    <row r="88" spans="1:5" x14ac:dyDescent="0.2">
      <c r="A88" s="51">
        <v>1</v>
      </c>
      <c r="B88" s="51">
        <v>1100</v>
      </c>
      <c r="D88" s="65">
        <v>3500</v>
      </c>
      <c r="E88" s="51">
        <v>7800</v>
      </c>
    </row>
    <row r="89" spans="1:5" x14ac:dyDescent="0.2">
      <c r="A89" s="65">
        <v>1</v>
      </c>
      <c r="B89" s="65">
        <v>650</v>
      </c>
      <c r="D89" s="65">
        <v>1600</v>
      </c>
      <c r="E89" s="51">
        <v>3800</v>
      </c>
    </row>
    <row r="90" spans="1:5" x14ac:dyDescent="0.2">
      <c r="A90" s="51">
        <v>2</v>
      </c>
      <c r="B90" s="51">
        <v>3600</v>
      </c>
      <c r="D90" s="65">
        <v>850</v>
      </c>
      <c r="E90" s="51">
        <v>6700</v>
      </c>
    </row>
    <row r="91" spans="1:5" x14ac:dyDescent="0.2">
      <c r="A91" s="65">
        <v>1</v>
      </c>
      <c r="B91" s="65">
        <v>1300</v>
      </c>
      <c r="D91" s="65">
        <v>550</v>
      </c>
      <c r="E91" s="51">
        <v>3900</v>
      </c>
    </row>
    <row r="92" spans="1:5" x14ac:dyDescent="0.2">
      <c r="A92" s="51">
        <v>1</v>
      </c>
      <c r="B92" s="51">
        <v>650</v>
      </c>
      <c r="D92" s="51">
        <v>1500</v>
      </c>
      <c r="E92" s="51">
        <v>8500</v>
      </c>
    </row>
    <row r="93" spans="1:5" x14ac:dyDescent="0.2">
      <c r="A93" s="65">
        <v>2</v>
      </c>
      <c r="B93" s="65">
        <v>3800</v>
      </c>
      <c r="D93" s="65">
        <v>550</v>
      </c>
      <c r="E93" s="65">
        <v>1600</v>
      </c>
    </row>
    <row r="94" spans="1:5" x14ac:dyDescent="0.2">
      <c r="A94" s="51">
        <v>1</v>
      </c>
      <c r="B94" s="51">
        <v>720</v>
      </c>
      <c r="D94" s="65">
        <v>1600</v>
      </c>
      <c r="E94" s="51">
        <v>9000</v>
      </c>
    </row>
    <row r="95" spans="1:5" x14ac:dyDescent="0.2">
      <c r="A95" s="65">
        <v>1</v>
      </c>
      <c r="B95" s="65">
        <v>2300</v>
      </c>
      <c r="D95" s="51">
        <v>600</v>
      </c>
      <c r="E95" s="65">
        <v>4200</v>
      </c>
    </row>
    <row r="96" spans="1:5" x14ac:dyDescent="0.2">
      <c r="A96" s="51">
        <v>1</v>
      </c>
      <c r="B96" s="51">
        <v>1200</v>
      </c>
      <c r="D96" s="65">
        <v>1800</v>
      </c>
      <c r="E96" s="65">
        <v>10200</v>
      </c>
    </row>
    <row r="97" spans="1:5" x14ac:dyDescent="0.2">
      <c r="A97" s="65">
        <v>1</v>
      </c>
      <c r="B97" s="65">
        <v>600</v>
      </c>
      <c r="D97" s="65">
        <v>500</v>
      </c>
      <c r="E97" s="51">
        <v>10800</v>
      </c>
    </row>
    <row r="98" spans="1:5" x14ac:dyDescent="0.2">
      <c r="A98" s="51">
        <v>2</v>
      </c>
      <c r="B98" s="51">
        <v>8200</v>
      </c>
      <c r="D98" s="51">
        <v>850</v>
      </c>
      <c r="E98" s="51">
        <v>1800</v>
      </c>
    </row>
    <row r="99" spans="1:5" x14ac:dyDescent="0.2">
      <c r="A99" s="65">
        <v>2</v>
      </c>
      <c r="B99" s="65">
        <v>9000</v>
      </c>
      <c r="D99" s="65">
        <v>450</v>
      </c>
      <c r="E99" s="51">
        <v>3609</v>
      </c>
    </row>
    <row r="100" spans="1:5" x14ac:dyDescent="0.2">
      <c r="A100" s="51">
        <v>1</v>
      </c>
      <c r="B100" s="51">
        <v>2400</v>
      </c>
      <c r="D100" s="51">
        <v>750</v>
      </c>
      <c r="E100" s="65">
        <v>9200</v>
      </c>
    </row>
    <row r="101" spans="1:5" x14ac:dyDescent="0.2">
      <c r="A101" s="65">
        <v>2</v>
      </c>
      <c r="B101" s="65">
        <v>7000</v>
      </c>
      <c r="D101" s="51">
        <v>1500</v>
      </c>
      <c r="E101" s="65">
        <v>3700</v>
      </c>
    </row>
    <row r="102" spans="1:5" x14ac:dyDescent="0.2">
      <c r="A102" s="51">
        <v>1</v>
      </c>
      <c r="B102" s="51">
        <v>700</v>
      </c>
      <c r="D102" s="65">
        <v>1000</v>
      </c>
      <c r="E102" s="65">
        <v>11000</v>
      </c>
    </row>
    <row r="103" spans="1:5" x14ac:dyDescent="0.2">
      <c r="A103" s="65">
        <v>2</v>
      </c>
      <c r="B103" s="65">
        <v>4300</v>
      </c>
      <c r="D103" s="65">
        <v>400</v>
      </c>
      <c r="E103" s="65">
        <v>4000</v>
      </c>
    </row>
    <row r="104" spans="1:5" x14ac:dyDescent="0.2">
      <c r="A104" s="51">
        <v>2</v>
      </c>
      <c r="B104" s="51">
        <v>3400</v>
      </c>
      <c r="D104" s="90">
        <v>850</v>
      </c>
      <c r="E104" s="51">
        <v>11500</v>
      </c>
    </row>
    <row r="105" spans="1:5" x14ac:dyDescent="0.2">
      <c r="A105" s="65">
        <v>1</v>
      </c>
      <c r="B105" s="65">
        <v>600</v>
      </c>
      <c r="D105" s="90">
        <v>750</v>
      </c>
      <c r="E105" s="51">
        <v>4200</v>
      </c>
    </row>
    <row r="106" spans="1:5" x14ac:dyDescent="0.2">
      <c r="A106" s="51">
        <v>2</v>
      </c>
      <c r="B106" s="51">
        <v>4800</v>
      </c>
      <c r="D106" s="51">
        <v>2000</v>
      </c>
      <c r="E106" s="51">
        <v>12000</v>
      </c>
    </row>
    <row r="107" spans="1:5" x14ac:dyDescent="0.2">
      <c r="A107" s="65">
        <v>2</v>
      </c>
      <c r="B107" s="65">
        <v>5800</v>
      </c>
      <c r="D107" s="89">
        <v>1000</v>
      </c>
      <c r="E107" s="65">
        <v>4200</v>
      </c>
    </row>
    <row r="108" spans="1:5" x14ac:dyDescent="0.2">
      <c r="A108" s="51">
        <v>1</v>
      </c>
      <c r="B108" s="51">
        <v>750</v>
      </c>
      <c r="D108" s="65">
        <v>1000</v>
      </c>
      <c r="E108" s="51">
        <v>12800</v>
      </c>
    </row>
    <row r="109" spans="1:5" x14ac:dyDescent="0.2">
      <c r="A109" s="65">
        <v>1</v>
      </c>
      <c r="B109" s="65">
        <v>1100</v>
      </c>
      <c r="D109" s="90">
        <v>1000</v>
      </c>
      <c r="E109" s="51">
        <v>4000</v>
      </c>
    </row>
    <row r="110" spans="1:5" x14ac:dyDescent="0.2">
      <c r="A110" s="51">
        <v>2</v>
      </c>
      <c r="B110" s="51">
        <v>8500</v>
      </c>
      <c r="D110" s="90">
        <v>550</v>
      </c>
      <c r="E110" s="51">
        <v>11800</v>
      </c>
    </row>
    <row r="111" spans="1:5" x14ac:dyDescent="0.2">
      <c r="A111" s="65">
        <v>3</v>
      </c>
      <c r="B111" s="65">
        <v>9500</v>
      </c>
      <c r="D111" s="65">
        <v>1800</v>
      </c>
      <c r="E111" s="65">
        <v>4500</v>
      </c>
    </row>
    <row r="112" spans="1:5" x14ac:dyDescent="0.2">
      <c r="A112" s="51">
        <v>1</v>
      </c>
      <c r="B112" s="51">
        <v>2500</v>
      </c>
      <c r="D112" s="51">
        <v>400</v>
      </c>
      <c r="E112" s="65">
        <v>3600</v>
      </c>
    </row>
    <row r="113" spans="1:5" x14ac:dyDescent="0.2">
      <c r="A113" s="65">
        <v>1</v>
      </c>
      <c r="B113" s="65">
        <v>700</v>
      </c>
      <c r="D113" s="65">
        <v>900</v>
      </c>
      <c r="E113" s="51">
        <v>11000</v>
      </c>
    </row>
    <row r="114" spans="1:5" x14ac:dyDescent="0.2">
      <c r="A114" s="51">
        <v>3</v>
      </c>
      <c r="B114" s="51">
        <v>5500</v>
      </c>
      <c r="D114" s="65">
        <v>750</v>
      </c>
      <c r="E114" s="51">
        <v>10800</v>
      </c>
    </row>
    <row r="115" spans="1:5" x14ac:dyDescent="0.2">
      <c r="A115" s="65">
        <v>1</v>
      </c>
      <c r="B115" s="65">
        <v>650</v>
      </c>
      <c r="D115" s="65">
        <v>1200</v>
      </c>
      <c r="E115" s="65">
        <v>4000</v>
      </c>
    </row>
    <row r="116" spans="1:5" x14ac:dyDescent="0.2">
      <c r="A116" s="51">
        <v>2</v>
      </c>
      <c r="B116" s="51">
        <v>5200</v>
      </c>
      <c r="D116" s="65">
        <v>3000</v>
      </c>
      <c r="E116" s="65">
        <v>11600</v>
      </c>
    </row>
    <row r="117" spans="1:5" x14ac:dyDescent="0.2">
      <c r="A117" s="65">
        <v>1</v>
      </c>
      <c r="B117" s="65">
        <v>650</v>
      </c>
      <c r="D117" s="65">
        <v>900</v>
      </c>
      <c r="E117" s="65">
        <v>4300</v>
      </c>
    </row>
    <row r="118" spans="1:5" x14ac:dyDescent="0.2">
      <c r="A118" s="51">
        <v>3</v>
      </c>
      <c r="B118" s="51">
        <v>8200</v>
      </c>
      <c r="D118" s="51">
        <v>1400</v>
      </c>
      <c r="E118" s="65">
        <v>4000</v>
      </c>
    </row>
    <row r="119" spans="1:5" x14ac:dyDescent="0.2">
      <c r="A119" s="65">
        <v>1</v>
      </c>
      <c r="B119" s="65">
        <v>1400</v>
      </c>
      <c r="D119" s="65">
        <v>600</v>
      </c>
      <c r="E119" s="65">
        <v>12000</v>
      </c>
    </row>
    <row r="120" spans="1:5" x14ac:dyDescent="0.2">
      <c r="A120" s="51">
        <v>1</v>
      </c>
      <c r="B120" s="51">
        <v>600</v>
      </c>
      <c r="D120" s="65">
        <v>3200</v>
      </c>
      <c r="E120" s="65">
        <v>11800</v>
      </c>
    </row>
    <row r="121" spans="1:5" x14ac:dyDescent="0.2">
      <c r="A121" s="65">
        <v>1</v>
      </c>
      <c r="B121" s="65">
        <v>750</v>
      </c>
      <c r="D121" s="65">
        <v>500</v>
      </c>
      <c r="E121" s="51">
        <v>4000</v>
      </c>
    </row>
    <row r="122" spans="1:5" x14ac:dyDescent="0.2">
      <c r="A122" s="89">
        <v>1</v>
      </c>
      <c r="B122" s="51">
        <v>20000</v>
      </c>
      <c r="D122" s="65">
        <v>850</v>
      </c>
      <c r="E122" s="51">
        <v>4000</v>
      </c>
    </row>
    <row r="123" spans="1:5" x14ac:dyDescent="0.2">
      <c r="A123" s="65">
        <v>1</v>
      </c>
      <c r="B123" s="65">
        <v>3000</v>
      </c>
      <c r="D123" s="65">
        <v>4600</v>
      </c>
      <c r="E123" s="65">
        <v>330</v>
      </c>
    </row>
    <row r="124" spans="1:5" x14ac:dyDescent="0.2">
      <c r="A124" s="51">
        <v>1</v>
      </c>
      <c r="B124" s="89">
        <v>950</v>
      </c>
      <c r="D124" s="51">
        <v>1300</v>
      </c>
      <c r="E124" s="51">
        <v>2200</v>
      </c>
    </row>
    <row r="125" spans="1:5" x14ac:dyDescent="0.2">
      <c r="A125" s="65">
        <v>2</v>
      </c>
      <c r="B125" s="65">
        <v>5600</v>
      </c>
      <c r="D125" s="65">
        <v>750</v>
      </c>
      <c r="E125" s="65">
        <v>3200</v>
      </c>
    </row>
    <row r="126" spans="1:5" x14ac:dyDescent="0.2">
      <c r="A126" s="51">
        <v>1</v>
      </c>
      <c r="B126" s="51">
        <v>580</v>
      </c>
      <c r="D126" s="65">
        <v>1000</v>
      </c>
      <c r="E126" s="65">
        <v>10600</v>
      </c>
    </row>
    <row r="127" spans="1:5" x14ac:dyDescent="0.2">
      <c r="A127" s="65">
        <v>2</v>
      </c>
      <c r="B127" s="65">
        <v>7100</v>
      </c>
      <c r="D127" s="65">
        <v>3600</v>
      </c>
      <c r="E127" s="51">
        <v>3700</v>
      </c>
    </row>
    <row r="128" spans="1:5" x14ac:dyDescent="0.2">
      <c r="A128" s="51">
        <v>1</v>
      </c>
      <c r="B128" s="51">
        <v>650</v>
      </c>
      <c r="D128" s="51">
        <v>400</v>
      </c>
      <c r="E128" s="51">
        <v>3800</v>
      </c>
    </row>
    <row r="129" spans="1:5" x14ac:dyDescent="0.2">
      <c r="A129" s="65">
        <v>2</v>
      </c>
      <c r="B129" s="65">
        <v>5200</v>
      </c>
      <c r="D129" s="65">
        <v>3900</v>
      </c>
      <c r="E129" s="65">
        <v>9900</v>
      </c>
    </row>
    <row r="130" spans="1:5" x14ac:dyDescent="0.2">
      <c r="A130" s="51">
        <v>1</v>
      </c>
      <c r="B130" s="51">
        <v>500</v>
      </c>
      <c r="D130" s="51">
        <v>1450</v>
      </c>
      <c r="E130" s="51">
        <v>4000</v>
      </c>
    </row>
    <row r="131" spans="1:5" x14ac:dyDescent="0.2">
      <c r="A131" s="65">
        <v>3</v>
      </c>
      <c r="B131" s="65">
        <v>10200</v>
      </c>
      <c r="D131" s="65">
        <v>500</v>
      </c>
      <c r="E131" s="51">
        <v>2400</v>
      </c>
    </row>
    <row r="132" spans="1:5" x14ac:dyDescent="0.2">
      <c r="A132" s="51">
        <v>1</v>
      </c>
      <c r="B132" s="51">
        <v>720</v>
      </c>
      <c r="D132" s="65">
        <v>4500</v>
      </c>
      <c r="E132" s="51">
        <v>2200</v>
      </c>
    </row>
    <row r="133" spans="1:5" x14ac:dyDescent="0.2">
      <c r="A133" s="65">
        <v>1</v>
      </c>
      <c r="B133" s="65">
        <v>900</v>
      </c>
      <c r="D133" s="51">
        <v>500</v>
      </c>
      <c r="E133" s="65">
        <v>11000</v>
      </c>
    </row>
    <row r="134" spans="1:5" x14ac:dyDescent="0.2">
      <c r="A134" s="51">
        <v>1</v>
      </c>
      <c r="B134" s="51">
        <v>780</v>
      </c>
      <c r="D134" s="51">
        <v>650</v>
      </c>
      <c r="E134" s="65">
        <v>4000</v>
      </c>
    </row>
    <row r="135" spans="1:5" x14ac:dyDescent="0.2">
      <c r="A135" s="65">
        <v>2</v>
      </c>
      <c r="B135" s="65">
        <v>4800</v>
      </c>
      <c r="D135" s="51">
        <v>1100</v>
      </c>
      <c r="E135" s="65">
        <v>3900</v>
      </c>
    </row>
    <row r="136" spans="1:5" x14ac:dyDescent="0.2">
      <c r="A136" s="51">
        <v>1</v>
      </c>
      <c r="B136" s="51">
        <v>850</v>
      </c>
      <c r="D136" s="51">
        <v>1150</v>
      </c>
      <c r="E136" s="51">
        <v>1300</v>
      </c>
    </row>
    <row r="137" spans="1:5" x14ac:dyDescent="0.2">
      <c r="A137" s="65">
        <v>2</v>
      </c>
      <c r="B137" s="65">
        <v>6400</v>
      </c>
      <c r="D137" s="65">
        <v>650</v>
      </c>
      <c r="E137" s="51">
        <v>3600</v>
      </c>
    </row>
    <row r="138" spans="1:5" x14ac:dyDescent="0.2">
      <c r="A138" s="51">
        <v>1</v>
      </c>
      <c r="B138" s="51">
        <v>800</v>
      </c>
      <c r="D138" s="65">
        <v>3800</v>
      </c>
      <c r="E138" s="51">
        <v>9200</v>
      </c>
    </row>
    <row r="139" spans="1:5" x14ac:dyDescent="0.2">
      <c r="A139" s="65">
        <v>2</v>
      </c>
      <c r="B139" s="65">
        <v>4900</v>
      </c>
      <c r="D139" s="51">
        <v>1000</v>
      </c>
      <c r="E139" s="51">
        <v>3900</v>
      </c>
    </row>
    <row r="140" spans="1:5" x14ac:dyDescent="0.2">
      <c r="A140" s="51">
        <v>1</v>
      </c>
      <c r="B140" s="51">
        <v>720</v>
      </c>
      <c r="D140" s="65">
        <v>1250</v>
      </c>
      <c r="E140" s="65">
        <v>11000</v>
      </c>
    </row>
    <row r="141" spans="1:5" x14ac:dyDescent="0.2">
      <c r="A141" s="65">
        <v>3</v>
      </c>
      <c r="B141" s="65">
        <v>9900</v>
      </c>
      <c r="D141" s="65">
        <v>650</v>
      </c>
      <c r="E141" s="51">
        <v>8800</v>
      </c>
    </row>
    <row r="142" spans="1:5" x14ac:dyDescent="0.2">
      <c r="A142" s="51">
        <v>1</v>
      </c>
      <c r="B142" s="51">
        <v>650</v>
      </c>
      <c r="D142" s="65">
        <v>4400</v>
      </c>
      <c r="E142" s="51">
        <v>3700</v>
      </c>
    </row>
    <row r="143" spans="1:5" x14ac:dyDescent="0.2">
      <c r="A143" s="65">
        <v>1</v>
      </c>
      <c r="B143" s="65">
        <v>990</v>
      </c>
      <c r="D143" s="65">
        <v>520</v>
      </c>
      <c r="E143" s="65">
        <v>3600</v>
      </c>
    </row>
    <row r="144" spans="1:5" x14ac:dyDescent="0.2">
      <c r="A144" s="51">
        <v>1</v>
      </c>
      <c r="B144" s="51">
        <v>600</v>
      </c>
      <c r="D144" s="51">
        <v>3700</v>
      </c>
      <c r="E144" s="65">
        <v>4160</v>
      </c>
    </row>
    <row r="145" spans="1:5" x14ac:dyDescent="0.2">
      <c r="A145" s="65">
        <v>3</v>
      </c>
      <c r="B145" s="65">
        <v>5000</v>
      </c>
      <c r="D145" s="65">
        <v>900</v>
      </c>
      <c r="E145" s="65">
        <v>1430</v>
      </c>
    </row>
    <row r="146" spans="1:5" x14ac:dyDescent="0.2">
      <c r="A146" s="51">
        <v>2</v>
      </c>
      <c r="B146" s="51">
        <v>1000</v>
      </c>
      <c r="D146" s="51">
        <v>650</v>
      </c>
      <c r="E146" s="51">
        <v>3250</v>
      </c>
    </row>
    <row r="147" spans="1:5" x14ac:dyDescent="0.2">
      <c r="A147" s="65">
        <v>2</v>
      </c>
      <c r="B147" s="65">
        <v>1000</v>
      </c>
      <c r="D147" s="51">
        <v>1000</v>
      </c>
      <c r="E147" s="65">
        <v>3640</v>
      </c>
    </row>
    <row r="148" spans="1:5" x14ac:dyDescent="0.2">
      <c r="A148" s="51">
        <v>4</v>
      </c>
      <c r="B148" s="51">
        <v>15000</v>
      </c>
      <c r="D148" s="65">
        <v>1900</v>
      </c>
      <c r="E148" s="65">
        <v>3510</v>
      </c>
    </row>
    <row r="149" spans="1:5" x14ac:dyDescent="0.2">
      <c r="A149" s="65">
        <v>2</v>
      </c>
      <c r="B149" s="65">
        <v>4200</v>
      </c>
      <c r="D149" s="51">
        <v>1300</v>
      </c>
      <c r="E149" s="51">
        <v>3380</v>
      </c>
    </row>
    <row r="150" spans="1:5" x14ac:dyDescent="0.2">
      <c r="A150" s="51">
        <v>1</v>
      </c>
      <c r="B150" s="51">
        <v>700</v>
      </c>
      <c r="D150" s="65">
        <v>400</v>
      </c>
      <c r="E150" s="65">
        <v>5400</v>
      </c>
    </row>
    <row r="151" spans="1:5" x14ac:dyDescent="0.2">
      <c r="A151" s="65">
        <v>2</v>
      </c>
      <c r="B151" s="65">
        <v>4200</v>
      </c>
      <c r="D151" s="65">
        <v>1100</v>
      </c>
      <c r="E151" s="51">
        <v>7800</v>
      </c>
    </row>
    <row r="152" spans="1:5" x14ac:dyDescent="0.2">
      <c r="A152" s="51">
        <v>2</v>
      </c>
      <c r="B152" s="51">
        <v>5200</v>
      </c>
      <c r="D152" s="51">
        <v>3900</v>
      </c>
      <c r="E152" s="65">
        <v>3500</v>
      </c>
    </row>
    <row r="153" spans="1:5" x14ac:dyDescent="0.2">
      <c r="A153" s="65">
        <v>1</v>
      </c>
      <c r="B153" s="65">
        <v>600</v>
      </c>
      <c r="D153" s="51">
        <v>550</v>
      </c>
      <c r="E153" s="65">
        <v>9300</v>
      </c>
    </row>
    <row r="154" spans="1:5" x14ac:dyDescent="0.2">
      <c r="A154" s="51">
        <v>2</v>
      </c>
      <c r="B154" s="51">
        <v>9500</v>
      </c>
      <c r="D154" s="51">
        <v>1000</v>
      </c>
      <c r="E154" s="51">
        <v>3600</v>
      </c>
    </row>
    <row r="155" spans="1:5" x14ac:dyDescent="0.2">
      <c r="A155" s="65">
        <v>1</v>
      </c>
      <c r="B155" s="65">
        <v>600</v>
      </c>
      <c r="D155" s="51">
        <v>1550</v>
      </c>
      <c r="E155" s="51">
        <v>7500</v>
      </c>
    </row>
    <row r="156" spans="1:5" x14ac:dyDescent="0.2">
      <c r="A156" s="51">
        <v>2</v>
      </c>
      <c r="B156" s="51">
        <v>4900</v>
      </c>
      <c r="D156" s="65">
        <v>780</v>
      </c>
      <c r="E156" s="65">
        <v>3000</v>
      </c>
    </row>
    <row r="157" spans="1:5" x14ac:dyDescent="0.2">
      <c r="A157" s="65">
        <v>1</v>
      </c>
      <c r="B157" s="65">
        <v>650</v>
      </c>
      <c r="D157" s="65">
        <v>4000</v>
      </c>
      <c r="E157" s="65">
        <v>8700</v>
      </c>
    </row>
    <row r="158" spans="1:5" x14ac:dyDescent="0.2">
      <c r="A158" s="51">
        <v>1</v>
      </c>
      <c r="B158" s="51">
        <v>1700</v>
      </c>
      <c r="D158" s="65">
        <v>1100</v>
      </c>
      <c r="E158" s="65">
        <v>3600</v>
      </c>
    </row>
    <row r="159" spans="1:5" x14ac:dyDescent="0.2">
      <c r="A159" s="65">
        <v>2</v>
      </c>
      <c r="B159" s="65">
        <v>3800</v>
      </c>
      <c r="D159" s="65">
        <v>4700</v>
      </c>
      <c r="E159" s="51">
        <v>3000</v>
      </c>
    </row>
    <row r="160" spans="1:5" x14ac:dyDescent="0.2">
      <c r="A160" s="51">
        <v>2</v>
      </c>
      <c r="B160" s="51">
        <v>8700</v>
      </c>
      <c r="D160" s="51">
        <v>520</v>
      </c>
      <c r="E160" s="65">
        <v>3900</v>
      </c>
    </row>
    <row r="161" spans="1:5" x14ac:dyDescent="0.2">
      <c r="A161" s="65">
        <v>1</v>
      </c>
      <c r="B161" s="65">
        <v>500</v>
      </c>
      <c r="D161" s="51">
        <v>1450</v>
      </c>
      <c r="E161" s="65">
        <v>3200</v>
      </c>
    </row>
    <row r="162" spans="1:5" x14ac:dyDescent="0.2">
      <c r="A162" s="51">
        <v>2</v>
      </c>
      <c r="B162" s="51">
        <v>4200</v>
      </c>
      <c r="D162" s="65">
        <v>650</v>
      </c>
      <c r="E162" s="51">
        <v>6700</v>
      </c>
    </row>
    <row r="163" spans="1:5" x14ac:dyDescent="0.2">
      <c r="A163" s="65">
        <v>1</v>
      </c>
      <c r="B163" s="65">
        <v>1000</v>
      </c>
      <c r="D163" s="65">
        <v>4000</v>
      </c>
      <c r="E163" s="51">
        <v>3900</v>
      </c>
    </row>
    <row r="164" spans="1:5" x14ac:dyDescent="0.2">
      <c r="A164" s="51">
        <v>2</v>
      </c>
      <c r="B164" s="51">
        <v>4800</v>
      </c>
      <c r="D164" s="65">
        <v>650</v>
      </c>
      <c r="E164" s="51">
        <v>8100</v>
      </c>
    </row>
    <row r="165" spans="1:5" x14ac:dyDescent="0.2">
      <c r="A165" s="65">
        <v>1</v>
      </c>
      <c r="B165" s="65">
        <v>900</v>
      </c>
      <c r="D165" s="65">
        <v>4400</v>
      </c>
      <c r="E165" s="65">
        <v>2600</v>
      </c>
    </row>
    <row r="166" spans="1:5" x14ac:dyDescent="0.2">
      <c r="A166" s="51">
        <v>3</v>
      </c>
      <c r="B166" s="51">
        <v>9200</v>
      </c>
      <c r="D166" s="51">
        <v>520</v>
      </c>
      <c r="E166" s="90">
        <v>555</v>
      </c>
    </row>
    <row r="167" spans="1:5" x14ac:dyDescent="0.2">
      <c r="A167" s="65">
        <v>1</v>
      </c>
      <c r="B167" s="65">
        <v>3500</v>
      </c>
      <c r="D167" s="51">
        <v>1300</v>
      </c>
      <c r="E167" s="90">
        <v>1000</v>
      </c>
    </row>
    <row r="168" spans="1:5" x14ac:dyDescent="0.2">
      <c r="A168" s="51">
        <v>2</v>
      </c>
      <c r="B168" s="51">
        <v>4000</v>
      </c>
      <c r="D168" s="65">
        <v>650</v>
      </c>
      <c r="E168" s="51">
        <v>2600</v>
      </c>
    </row>
    <row r="169" spans="1:5" x14ac:dyDescent="0.2">
      <c r="A169" s="65">
        <v>1</v>
      </c>
      <c r="B169" s="65">
        <v>1600</v>
      </c>
      <c r="D169" s="51">
        <v>1000</v>
      </c>
      <c r="E169" s="65">
        <v>8100</v>
      </c>
    </row>
    <row r="170" spans="1:5" x14ac:dyDescent="0.2">
      <c r="A170" s="51">
        <v>3</v>
      </c>
      <c r="B170" s="51">
        <v>12000</v>
      </c>
      <c r="D170" s="65">
        <v>420</v>
      </c>
      <c r="E170" s="51">
        <v>3510</v>
      </c>
    </row>
    <row r="171" spans="1:5" x14ac:dyDescent="0.2">
      <c r="A171" s="65">
        <v>1</v>
      </c>
      <c r="B171" s="65">
        <v>850</v>
      </c>
      <c r="D171" s="65">
        <v>4000</v>
      </c>
      <c r="E171" s="51">
        <v>7200</v>
      </c>
    </row>
    <row r="172" spans="1:5" x14ac:dyDescent="0.2">
      <c r="A172" s="51">
        <v>2</v>
      </c>
      <c r="B172" s="51">
        <v>6000</v>
      </c>
      <c r="D172" s="51">
        <v>1000</v>
      </c>
      <c r="E172" s="51">
        <v>6600</v>
      </c>
    </row>
    <row r="173" spans="1:5" x14ac:dyDescent="0.2">
      <c r="A173" s="65">
        <v>1</v>
      </c>
      <c r="B173" s="65">
        <v>550</v>
      </c>
      <c r="D173" s="51">
        <v>1300</v>
      </c>
    </row>
    <row r="174" spans="1:5" x14ac:dyDescent="0.2">
      <c r="A174" s="51">
        <v>3</v>
      </c>
      <c r="B174" s="51">
        <v>9000</v>
      </c>
      <c r="D174" s="65">
        <v>390</v>
      </c>
    </row>
    <row r="175" spans="1:5" x14ac:dyDescent="0.2">
      <c r="A175" s="65">
        <v>2</v>
      </c>
      <c r="B175" s="65">
        <v>5000</v>
      </c>
      <c r="D175" s="51">
        <v>3000</v>
      </c>
    </row>
    <row r="176" spans="1:5" x14ac:dyDescent="0.2">
      <c r="A176" s="51">
        <v>1</v>
      </c>
      <c r="B176" s="51">
        <v>1500</v>
      </c>
      <c r="D176" s="51">
        <v>650</v>
      </c>
    </row>
    <row r="177" spans="1:4" x14ac:dyDescent="0.2">
      <c r="A177" s="65">
        <v>1</v>
      </c>
      <c r="B177" s="65">
        <v>550</v>
      </c>
      <c r="D177" s="51">
        <v>850</v>
      </c>
    </row>
    <row r="178" spans="1:4" x14ac:dyDescent="0.2">
      <c r="A178" s="51">
        <v>2</v>
      </c>
      <c r="B178" s="51">
        <v>7000</v>
      </c>
      <c r="D178" s="65">
        <v>3000</v>
      </c>
    </row>
    <row r="179" spans="1:4" x14ac:dyDescent="0.2">
      <c r="A179" s="65">
        <v>1</v>
      </c>
      <c r="B179" s="65">
        <v>1600</v>
      </c>
      <c r="D179" s="51">
        <v>300</v>
      </c>
    </row>
    <row r="180" spans="1:4" x14ac:dyDescent="0.2">
      <c r="A180" s="51">
        <v>1</v>
      </c>
      <c r="B180" s="51">
        <v>600</v>
      </c>
      <c r="D180" s="65">
        <v>2800</v>
      </c>
    </row>
    <row r="181" spans="1:4" x14ac:dyDescent="0.2">
      <c r="A181" s="65">
        <v>2</v>
      </c>
      <c r="B181" s="65">
        <v>9000</v>
      </c>
      <c r="D181" s="51">
        <v>900</v>
      </c>
    </row>
    <row r="182" spans="1:4" x14ac:dyDescent="0.2">
      <c r="A182" s="51">
        <v>2</v>
      </c>
      <c r="B182" s="51">
        <v>5200</v>
      </c>
      <c r="D182" s="51">
        <v>650</v>
      </c>
    </row>
    <row r="183" spans="1:4" x14ac:dyDescent="0.2">
      <c r="A183" s="65">
        <v>1</v>
      </c>
      <c r="B183" s="65">
        <v>1800</v>
      </c>
      <c r="D183" s="51">
        <v>1000</v>
      </c>
    </row>
    <row r="184" spans="1:4" x14ac:dyDescent="0.2">
      <c r="A184" s="51">
        <v>3</v>
      </c>
      <c r="B184" s="51">
        <v>14000</v>
      </c>
      <c r="D184" s="65">
        <v>3000</v>
      </c>
    </row>
    <row r="185" spans="1:4" x14ac:dyDescent="0.2">
      <c r="A185" s="65">
        <v>1</v>
      </c>
      <c r="B185" s="65">
        <v>500</v>
      </c>
      <c r="D185" s="51">
        <v>850</v>
      </c>
    </row>
    <row r="186" spans="1:4" x14ac:dyDescent="0.2">
      <c r="A186" s="51">
        <v>1</v>
      </c>
      <c r="B186" s="51">
        <v>850</v>
      </c>
      <c r="D186" s="51">
        <v>3000</v>
      </c>
    </row>
    <row r="187" spans="1:4" x14ac:dyDescent="0.2">
      <c r="A187" s="65">
        <v>1</v>
      </c>
      <c r="B187" s="65">
        <v>450</v>
      </c>
      <c r="D187" s="65">
        <v>390</v>
      </c>
    </row>
    <row r="188" spans="1:4" x14ac:dyDescent="0.2">
      <c r="A188" s="51">
        <v>1</v>
      </c>
      <c r="B188" s="51">
        <v>750</v>
      </c>
      <c r="D188" s="65">
        <v>650</v>
      </c>
    </row>
    <row r="189" spans="1:4" x14ac:dyDescent="0.2">
      <c r="A189" s="65">
        <v>2</v>
      </c>
      <c r="B189" s="65">
        <v>8200</v>
      </c>
      <c r="D189" s="51">
        <v>780</v>
      </c>
    </row>
    <row r="190" spans="1:4" x14ac:dyDescent="0.2">
      <c r="A190" s="51">
        <v>1</v>
      </c>
      <c r="B190" s="51">
        <v>1500</v>
      </c>
      <c r="D190" s="65">
        <v>8300</v>
      </c>
    </row>
    <row r="191" spans="1:4" x14ac:dyDescent="0.2">
      <c r="A191" s="65">
        <v>2</v>
      </c>
      <c r="B191" s="65">
        <v>3000</v>
      </c>
      <c r="D191" s="65">
        <v>520</v>
      </c>
    </row>
    <row r="192" spans="1:4" x14ac:dyDescent="0.2">
      <c r="A192" s="51">
        <v>3</v>
      </c>
      <c r="B192" s="51">
        <v>500</v>
      </c>
      <c r="D192" s="51">
        <v>1500</v>
      </c>
    </row>
    <row r="193" spans="1:4" x14ac:dyDescent="0.2">
      <c r="A193" s="65">
        <v>2</v>
      </c>
      <c r="B193" s="65">
        <v>20000</v>
      </c>
      <c r="D193" s="51">
        <v>520</v>
      </c>
    </row>
    <row r="194" spans="1:4" x14ac:dyDescent="0.2">
      <c r="A194" s="51">
        <v>2</v>
      </c>
      <c r="B194" s="89">
        <v>850</v>
      </c>
      <c r="D194" s="65">
        <v>9000</v>
      </c>
    </row>
    <row r="195" spans="1:4" x14ac:dyDescent="0.2">
      <c r="A195" s="65">
        <v>2</v>
      </c>
      <c r="B195" s="90">
        <v>1000</v>
      </c>
      <c r="D195" s="65">
        <v>1300</v>
      </c>
    </row>
    <row r="196" spans="1:4" x14ac:dyDescent="0.2">
      <c r="A196" s="51">
        <v>2</v>
      </c>
      <c r="B196" s="51">
        <v>10000</v>
      </c>
      <c r="D196" s="51">
        <v>520</v>
      </c>
    </row>
    <row r="197" spans="1:4" x14ac:dyDescent="0.2">
      <c r="A197" s="65">
        <v>1</v>
      </c>
      <c r="B197" s="65">
        <v>1000</v>
      </c>
      <c r="D197" s="51">
        <v>910</v>
      </c>
    </row>
    <row r="198" spans="1:4" x14ac:dyDescent="0.2">
      <c r="A198" s="51">
        <v>2</v>
      </c>
      <c r="B198" s="51">
        <v>5500</v>
      </c>
      <c r="D198" s="51">
        <v>3900</v>
      </c>
    </row>
    <row r="199" spans="1:4" x14ac:dyDescent="0.2">
      <c r="A199" s="65">
        <v>1</v>
      </c>
      <c r="B199" s="65">
        <v>400</v>
      </c>
      <c r="D199" s="65">
        <v>350</v>
      </c>
    </row>
    <row r="200" spans="1:4" x14ac:dyDescent="0.2">
      <c r="A200" s="51">
        <v>3</v>
      </c>
      <c r="B200" s="51">
        <v>7000</v>
      </c>
      <c r="D200" s="65">
        <v>1300</v>
      </c>
    </row>
    <row r="201" spans="1:4" x14ac:dyDescent="0.2">
      <c r="A201" s="65">
        <v>1</v>
      </c>
      <c r="B201" s="90">
        <v>850</v>
      </c>
      <c r="D201" s="51">
        <v>1000</v>
      </c>
    </row>
    <row r="202" spans="1:4" x14ac:dyDescent="0.2">
      <c r="A202" s="51">
        <v>3</v>
      </c>
      <c r="B202" s="51">
        <v>7500</v>
      </c>
      <c r="D202" s="65">
        <v>780</v>
      </c>
    </row>
    <row r="203" spans="1:4" x14ac:dyDescent="0.2">
      <c r="A203" s="65">
        <v>1</v>
      </c>
      <c r="B203" s="90">
        <v>750</v>
      </c>
      <c r="D203" s="65">
        <v>520</v>
      </c>
    </row>
    <row r="204" spans="1:4" x14ac:dyDescent="0.2">
      <c r="A204" s="51">
        <v>1</v>
      </c>
      <c r="B204" s="51">
        <v>2000</v>
      </c>
      <c r="D204" s="51">
        <v>900</v>
      </c>
    </row>
    <row r="205" spans="1:4" x14ac:dyDescent="0.2">
      <c r="A205" s="65">
        <v>2</v>
      </c>
      <c r="B205" s="65">
        <v>4000</v>
      </c>
      <c r="D205" s="51">
        <v>11430</v>
      </c>
    </row>
    <row r="206" spans="1:4" x14ac:dyDescent="0.2">
      <c r="A206" s="51">
        <v>2</v>
      </c>
      <c r="B206" s="89">
        <v>1000</v>
      </c>
      <c r="D206" s="65">
        <v>390</v>
      </c>
    </row>
    <row r="207" spans="1:4" x14ac:dyDescent="0.2">
      <c r="A207" s="65">
        <v>2</v>
      </c>
      <c r="B207" s="90">
        <v>1000</v>
      </c>
      <c r="D207" s="65">
        <v>2900</v>
      </c>
    </row>
    <row r="208" spans="1:4" x14ac:dyDescent="0.2">
      <c r="A208" s="51">
        <v>1</v>
      </c>
      <c r="B208" s="89">
        <v>1000</v>
      </c>
      <c r="D208" s="51">
        <v>1070</v>
      </c>
    </row>
    <row r="209" spans="1:4" x14ac:dyDescent="0.2">
      <c r="A209" s="65">
        <v>3</v>
      </c>
      <c r="B209" s="90">
        <v>1500</v>
      </c>
      <c r="D209" s="65">
        <v>1300</v>
      </c>
    </row>
    <row r="210" spans="1:4" x14ac:dyDescent="0.2">
      <c r="A210" s="51">
        <v>2</v>
      </c>
      <c r="B210" s="51">
        <v>5000</v>
      </c>
      <c r="D210" s="65">
        <v>1700</v>
      </c>
    </row>
    <row r="211" spans="1:4" x14ac:dyDescent="0.2">
      <c r="A211" s="65">
        <v>1</v>
      </c>
      <c r="B211" s="65">
        <v>1000</v>
      </c>
      <c r="D211" s="51">
        <v>6500</v>
      </c>
    </row>
    <row r="212" spans="1:4" x14ac:dyDescent="0.2">
      <c r="A212" s="51">
        <v>2</v>
      </c>
      <c r="B212" s="89">
        <v>1000</v>
      </c>
      <c r="D212" s="65">
        <v>900</v>
      </c>
    </row>
    <row r="213" spans="1:4" x14ac:dyDescent="0.2">
      <c r="A213" s="65">
        <v>2</v>
      </c>
      <c r="B213" s="90">
        <v>1500</v>
      </c>
      <c r="D213" s="51">
        <v>2000</v>
      </c>
    </row>
    <row r="214" spans="1:4" x14ac:dyDescent="0.2">
      <c r="A214" s="51">
        <v>2</v>
      </c>
      <c r="B214" s="89">
        <v>550</v>
      </c>
      <c r="D214" s="65">
        <v>2600</v>
      </c>
    </row>
    <row r="215" spans="1:4" x14ac:dyDescent="0.2">
      <c r="A215" s="65">
        <v>1</v>
      </c>
      <c r="B215" s="90">
        <v>1000</v>
      </c>
      <c r="D215" s="65">
        <v>3800</v>
      </c>
    </row>
    <row r="216" spans="1:4" x14ac:dyDescent="0.2">
      <c r="A216" s="51">
        <v>2</v>
      </c>
      <c r="B216" s="89">
        <v>950</v>
      </c>
      <c r="D216" s="51">
        <v>520</v>
      </c>
    </row>
    <row r="217" spans="1:4" x14ac:dyDescent="0.2">
      <c r="A217" s="65">
        <v>1</v>
      </c>
      <c r="B217" s="90">
        <v>550</v>
      </c>
      <c r="D217" s="51">
        <v>1000</v>
      </c>
    </row>
    <row r="218" spans="1:4" x14ac:dyDescent="0.2">
      <c r="A218" s="51">
        <v>2</v>
      </c>
      <c r="B218" s="51">
        <v>6000</v>
      </c>
      <c r="D218" s="65">
        <v>9400</v>
      </c>
    </row>
    <row r="219" spans="1:4" x14ac:dyDescent="0.2">
      <c r="A219" s="65">
        <v>1</v>
      </c>
      <c r="B219" s="65">
        <v>1800</v>
      </c>
      <c r="D219" s="51">
        <v>6800</v>
      </c>
    </row>
    <row r="220" spans="1:4" x14ac:dyDescent="0.2">
      <c r="A220" s="51">
        <v>1</v>
      </c>
      <c r="B220" s="51">
        <v>400</v>
      </c>
      <c r="D220" s="51">
        <v>390</v>
      </c>
    </row>
    <row r="221" spans="1:4" x14ac:dyDescent="0.2">
      <c r="A221" s="65">
        <v>3</v>
      </c>
      <c r="B221" s="65">
        <v>4500</v>
      </c>
      <c r="D221" s="51">
        <v>1070</v>
      </c>
    </row>
    <row r="222" spans="1:4" x14ac:dyDescent="0.2">
      <c r="A222" s="51">
        <v>2</v>
      </c>
      <c r="B222" s="51">
        <v>4500</v>
      </c>
      <c r="D222" s="65">
        <v>1300</v>
      </c>
    </row>
    <row r="223" spans="1:4" x14ac:dyDescent="0.2">
      <c r="A223" s="65">
        <v>1</v>
      </c>
      <c r="B223" s="65">
        <v>900</v>
      </c>
      <c r="D223" s="65">
        <v>650</v>
      </c>
    </row>
    <row r="224" spans="1:4" x14ac:dyDescent="0.2">
      <c r="A224" s="51">
        <v>3</v>
      </c>
      <c r="B224" s="51">
        <v>14000</v>
      </c>
      <c r="D224" s="51">
        <v>520</v>
      </c>
    </row>
    <row r="225" spans="1:4" x14ac:dyDescent="0.2">
      <c r="A225" s="65">
        <v>1</v>
      </c>
      <c r="B225" s="65">
        <v>750</v>
      </c>
      <c r="D225" s="65">
        <v>390</v>
      </c>
    </row>
    <row r="226" spans="1:4" x14ac:dyDescent="0.2">
      <c r="A226" s="51">
        <v>2</v>
      </c>
      <c r="B226" s="51">
        <v>7000</v>
      </c>
      <c r="D226" s="65">
        <v>1430</v>
      </c>
    </row>
    <row r="227" spans="1:4" x14ac:dyDescent="0.2">
      <c r="A227" s="65">
        <v>1</v>
      </c>
      <c r="B227" s="65">
        <v>1200</v>
      </c>
      <c r="D227" s="51">
        <v>260</v>
      </c>
    </row>
    <row r="228" spans="1:4" x14ac:dyDescent="0.2">
      <c r="A228" s="51">
        <v>3</v>
      </c>
      <c r="B228" s="51">
        <v>12500</v>
      </c>
      <c r="D228" s="65">
        <v>1560</v>
      </c>
    </row>
    <row r="229" spans="1:4" x14ac:dyDescent="0.2">
      <c r="A229" s="65">
        <v>1</v>
      </c>
      <c r="B229" s="65">
        <v>3000</v>
      </c>
      <c r="D229" s="51">
        <v>1690</v>
      </c>
    </row>
    <row r="230" spans="1:4" x14ac:dyDescent="0.2">
      <c r="A230" s="51">
        <v>2</v>
      </c>
      <c r="B230" s="51">
        <v>8000</v>
      </c>
      <c r="D230" s="65">
        <v>390</v>
      </c>
    </row>
    <row r="231" spans="1:4" x14ac:dyDescent="0.2">
      <c r="A231" s="65">
        <v>1</v>
      </c>
      <c r="B231" s="65">
        <v>900</v>
      </c>
      <c r="D231" s="65">
        <v>650</v>
      </c>
    </row>
    <row r="232" spans="1:4" x14ac:dyDescent="0.2">
      <c r="A232" s="51">
        <v>1</v>
      </c>
      <c r="B232" s="51">
        <v>1400</v>
      </c>
      <c r="D232" s="51">
        <v>9600</v>
      </c>
    </row>
    <row r="233" spans="1:4" x14ac:dyDescent="0.2">
      <c r="A233" s="65">
        <v>1</v>
      </c>
      <c r="B233" s="65">
        <v>600</v>
      </c>
      <c r="D233" s="65">
        <v>1430</v>
      </c>
    </row>
    <row r="234" spans="1:4" x14ac:dyDescent="0.2">
      <c r="A234" s="51">
        <v>2</v>
      </c>
      <c r="B234" s="51">
        <v>7800</v>
      </c>
      <c r="D234" s="65">
        <v>520</v>
      </c>
    </row>
    <row r="235" spans="1:4" x14ac:dyDescent="0.2">
      <c r="A235" s="65">
        <v>1</v>
      </c>
      <c r="B235" s="65">
        <v>3200</v>
      </c>
      <c r="D235" s="51">
        <v>1560</v>
      </c>
    </row>
    <row r="236" spans="1:4" x14ac:dyDescent="0.2">
      <c r="A236" s="51">
        <v>3</v>
      </c>
      <c r="B236" s="51">
        <v>13200</v>
      </c>
      <c r="D236" s="65">
        <v>390</v>
      </c>
    </row>
    <row r="237" spans="1:4" x14ac:dyDescent="0.2">
      <c r="A237" s="65">
        <v>1</v>
      </c>
      <c r="B237" s="65">
        <v>500</v>
      </c>
      <c r="D237" s="51">
        <v>1820</v>
      </c>
    </row>
    <row r="238" spans="1:4" x14ac:dyDescent="0.2">
      <c r="A238" s="51">
        <v>2</v>
      </c>
      <c r="B238" s="51">
        <v>3800</v>
      </c>
      <c r="D238" s="65">
        <v>260</v>
      </c>
    </row>
    <row r="239" spans="1:4" x14ac:dyDescent="0.2">
      <c r="A239" s="65">
        <v>1</v>
      </c>
      <c r="B239" s="65">
        <v>850</v>
      </c>
      <c r="D239" s="65">
        <v>390</v>
      </c>
    </row>
    <row r="240" spans="1:4" x14ac:dyDescent="0.2">
      <c r="A240" s="51">
        <v>2</v>
      </c>
      <c r="B240" s="51">
        <v>6700</v>
      </c>
      <c r="D240" s="51">
        <v>1690</v>
      </c>
    </row>
    <row r="241" spans="1:4" x14ac:dyDescent="0.2">
      <c r="A241" s="65">
        <v>1</v>
      </c>
      <c r="B241" s="65">
        <v>4600</v>
      </c>
      <c r="D241" s="51">
        <v>650</v>
      </c>
    </row>
    <row r="242" spans="1:4" x14ac:dyDescent="0.2">
      <c r="A242" s="51">
        <v>1</v>
      </c>
      <c r="B242" s="51">
        <v>1300</v>
      </c>
      <c r="D242" s="51">
        <v>390</v>
      </c>
    </row>
    <row r="243" spans="1:4" x14ac:dyDescent="0.2">
      <c r="A243" s="65">
        <v>1</v>
      </c>
      <c r="B243" s="65">
        <v>750</v>
      </c>
      <c r="D243" s="65">
        <v>4000</v>
      </c>
    </row>
    <row r="244" spans="1:4" x14ac:dyDescent="0.2">
      <c r="A244" s="51">
        <v>2</v>
      </c>
      <c r="B244" s="51">
        <v>3900</v>
      </c>
      <c r="D244" s="51">
        <v>1430</v>
      </c>
    </row>
    <row r="245" spans="1:4" x14ac:dyDescent="0.2">
      <c r="A245" s="65">
        <v>1</v>
      </c>
      <c r="B245" s="65">
        <v>1000</v>
      </c>
      <c r="D245" s="65">
        <v>520</v>
      </c>
    </row>
    <row r="246" spans="1:4" x14ac:dyDescent="0.2">
      <c r="A246" s="51">
        <v>2</v>
      </c>
      <c r="B246" s="51">
        <v>8500</v>
      </c>
      <c r="D246" s="65">
        <v>9200</v>
      </c>
    </row>
    <row r="247" spans="1:4" x14ac:dyDescent="0.2">
      <c r="A247" s="65">
        <v>1</v>
      </c>
      <c r="B247" s="65">
        <v>3600</v>
      </c>
      <c r="D247" s="51">
        <v>780</v>
      </c>
    </row>
    <row r="248" spans="1:4" x14ac:dyDescent="0.2">
      <c r="A248" s="51">
        <v>1</v>
      </c>
      <c r="B248" s="51">
        <v>400</v>
      </c>
      <c r="D248" s="65">
        <v>780</v>
      </c>
    </row>
    <row r="249" spans="1:4" x14ac:dyDescent="0.2">
      <c r="A249" s="65">
        <v>2</v>
      </c>
      <c r="B249" s="65">
        <v>1600</v>
      </c>
      <c r="D249" s="51">
        <v>1180</v>
      </c>
    </row>
    <row r="250" spans="1:4" x14ac:dyDescent="0.2">
      <c r="A250" s="51">
        <v>3</v>
      </c>
      <c r="B250" s="51">
        <v>1200</v>
      </c>
      <c r="D250" s="51">
        <v>520</v>
      </c>
    </row>
    <row r="251" spans="1:4" x14ac:dyDescent="0.2">
      <c r="A251" s="65">
        <v>1</v>
      </c>
      <c r="B251" s="65">
        <v>3900</v>
      </c>
      <c r="D251" s="65">
        <v>2080</v>
      </c>
    </row>
    <row r="252" spans="1:4" x14ac:dyDescent="0.2">
      <c r="A252" s="51">
        <v>1</v>
      </c>
      <c r="B252" s="51">
        <v>1450</v>
      </c>
      <c r="D252" s="51">
        <v>390</v>
      </c>
    </row>
    <row r="253" spans="1:4" x14ac:dyDescent="0.2">
      <c r="A253" s="65">
        <v>1</v>
      </c>
      <c r="B253" s="65">
        <v>500</v>
      </c>
      <c r="D253" s="65">
        <v>4350</v>
      </c>
    </row>
    <row r="254" spans="1:4" x14ac:dyDescent="0.2">
      <c r="A254" s="51">
        <v>2</v>
      </c>
      <c r="B254" s="51">
        <v>9000</v>
      </c>
      <c r="D254" s="51">
        <v>520</v>
      </c>
    </row>
    <row r="255" spans="1:4" x14ac:dyDescent="0.2">
      <c r="A255" s="65">
        <v>1</v>
      </c>
      <c r="B255" s="65">
        <v>4500</v>
      </c>
      <c r="D255" s="65">
        <v>11430</v>
      </c>
    </row>
    <row r="256" spans="1:4" x14ac:dyDescent="0.2">
      <c r="A256" s="51">
        <v>1</v>
      </c>
      <c r="B256" s="51">
        <v>500</v>
      </c>
      <c r="D256" s="51">
        <v>900</v>
      </c>
    </row>
    <row r="257" spans="1:4" x14ac:dyDescent="0.2">
      <c r="A257" s="65">
        <v>2</v>
      </c>
      <c r="B257" s="65">
        <v>4200</v>
      </c>
      <c r="D257" s="65">
        <v>910</v>
      </c>
    </row>
    <row r="258" spans="1:4" x14ac:dyDescent="0.2">
      <c r="A258" s="51">
        <v>1</v>
      </c>
      <c r="B258" s="51">
        <v>650</v>
      </c>
      <c r="D258" s="51">
        <v>1560</v>
      </c>
    </row>
    <row r="259" spans="1:4" x14ac:dyDescent="0.2">
      <c r="A259" s="65">
        <v>3</v>
      </c>
      <c r="B259" s="65">
        <v>13800</v>
      </c>
      <c r="D259" s="51">
        <v>520</v>
      </c>
    </row>
    <row r="260" spans="1:4" x14ac:dyDescent="0.2">
      <c r="A260" s="51">
        <v>1</v>
      </c>
      <c r="B260" s="51">
        <v>1100</v>
      </c>
      <c r="D260" s="65">
        <v>1560</v>
      </c>
    </row>
    <row r="261" spans="1:4" x14ac:dyDescent="0.2">
      <c r="A261" s="65">
        <v>2</v>
      </c>
      <c r="B261" s="65">
        <v>10200</v>
      </c>
      <c r="D261" s="51">
        <v>390</v>
      </c>
    </row>
    <row r="262" spans="1:4" x14ac:dyDescent="0.2">
      <c r="A262" s="51">
        <v>1</v>
      </c>
      <c r="B262" s="51">
        <v>1150</v>
      </c>
      <c r="D262" s="65">
        <v>4550</v>
      </c>
    </row>
    <row r="263" spans="1:4" x14ac:dyDescent="0.2">
      <c r="A263" s="65">
        <v>1</v>
      </c>
      <c r="B263" s="65">
        <v>650</v>
      </c>
      <c r="D263" s="51">
        <v>650</v>
      </c>
    </row>
    <row r="264" spans="1:4" x14ac:dyDescent="0.2">
      <c r="A264" s="51">
        <v>3</v>
      </c>
      <c r="B264" s="51">
        <v>14500</v>
      </c>
      <c r="D264" s="51">
        <v>1040</v>
      </c>
    </row>
    <row r="265" spans="1:4" x14ac:dyDescent="0.2">
      <c r="A265" s="65">
        <v>1</v>
      </c>
      <c r="B265" s="65">
        <v>3800</v>
      </c>
      <c r="D265" s="65">
        <v>780</v>
      </c>
    </row>
    <row r="266" spans="1:4" x14ac:dyDescent="0.2">
      <c r="A266" s="89">
        <v>1</v>
      </c>
      <c r="B266" s="51">
        <v>1000</v>
      </c>
      <c r="D266" s="51">
        <v>7200</v>
      </c>
    </row>
    <row r="267" spans="1:4" x14ac:dyDescent="0.2">
      <c r="A267" s="65">
        <v>1</v>
      </c>
      <c r="B267" s="65">
        <v>1250</v>
      </c>
      <c r="D267" s="65">
        <v>1170</v>
      </c>
    </row>
    <row r="268" spans="1:4" x14ac:dyDescent="0.2">
      <c r="A268" s="51">
        <v>2</v>
      </c>
      <c r="B268" s="51">
        <v>10800</v>
      </c>
      <c r="D268" s="65">
        <v>4550</v>
      </c>
    </row>
    <row r="269" spans="1:4" x14ac:dyDescent="0.2">
      <c r="A269" s="65">
        <v>1</v>
      </c>
      <c r="B269" s="65">
        <v>650</v>
      </c>
      <c r="D269" s="51">
        <v>520</v>
      </c>
    </row>
    <row r="270" spans="1:4" x14ac:dyDescent="0.2">
      <c r="A270" s="51">
        <v>3</v>
      </c>
      <c r="B270" s="51">
        <v>15600</v>
      </c>
      <c r="D270" s="65">
        <v>1430</v>
      </c>
    </row>
    <row r="271" spans="1:4" x14ac:dyDescent="0.2">
      <c r="A271" s="65">
        <v>1</v>
      </c>
      <c r="B271" s="65">
        <v>4400</v>
      </c>
      <c r="D271" s="51">
        <v>780</v>
      </c>
    </row>
    <row r="272" spans="1:4" x14ac:dyDescent="0.2">
      <c r="A272" s="51">
        <v>2</v>
      </c>
      <c r="B272" s="51">
        <v>1800</v>
      </c>
      <c r="D272" s="65">
        <v>4100</v>
      </c>
    </row>
    <row r="273" spans="1:4" x14ac:dyDescent="0.2">
      <c r="A273" s="65">
        <v>1</v>
      </c>
      <c r="B273" s="65">
        <v>520</v>
      </c>
      <c r="D273" s="51">
        <v>910</v>
      </c>
    </row>
    <row r="274" spans="1:4" x14ac:dyDescent="0.2">
      <c r="A274" s="51">
        <v>2</v>
      </c>
      <c r="B274" s="51">
        <v>3609</v>
      </c>
      <c r="D274" s="65">
        <v>910</v>
      </c>
    </row>
    <row r="275" spans="1:4" x14ac:dyDescent="0.2">
      <c r="A275" s="65">
        <v>2</v>
      </c>
      <c r="B275" s="65">
        <v>9200</v>
      </c>
      <c r="D275" s="51">
        <v>1300</v>
      </c>
    </row>
    <row r="276" spans="1:4" x14ac:dyDescent="0.2">
      <c r="A276" s="51">
        <v>1</v>
      </c>
      <c r="B276" s="51">
        <v>3700</v>
      </c>
      <c r="D276" s="51">
        <v>390</v>
      </c>
    </row>
    <row r="277" spans="1:4" x14ac:dyDescent="0.2">
      <c r="A277" s="65">
        <v>1</v>
      </c>
      <c r="B277" s="65">
        <v>900</v>
      </c>
      <c r="D277" s="65">
        <v>1820</v>
      </c>
    </row>
    <row r="278" spans="1:4" x14ac:dyDescent="0.2">
      <c r="A278" s="51">
        <v>1</v>
      </c>
      <c r="B278" s="51">
        <v>650</v>
      </c>
      <c r="D278" s="51">
        <v>520</v>
      </c>
    </row>
    <row r="279" spans="1:4" x14ac:dyDescent="0.2">
      <c r="A279" s="65">
        <v>3</v>
      </c>
      <c r="B279" s="65">
        <v>14800</v>
      </c>
      <c r="D279" s="65">
        <v>3900</v>
      </c>
    </row>
    <row r="280" spans="1:4" x14ac:dyDescent="0.2">
      <c r="A280" s="51">
        <v>1</v>
      </c>
      <c r="B280" s="51">
        <v>1000</v>
      </c>
      <c r="D280" s="51">
        <v>1170</v>
      </c>
    </row>
    <row r="281" spans="1:4" x14ac:dyDescent="0.2">
      <c r="A281" s="65">
        <v>1</v>
      </c>
      <c r="B281" s="65">
        <v>1900</v>
      </c>
      <c r="D281" s="65">
        <v>780</v>
      </c>
    </row>
    <row r="282" spans="1:4" x14ac:dyDescent="0.2">
      <c r="A282" s="51">
        <v>1</v>
      </c>
      <c r="B282" s="51">
        <v>1300</v>
      </c>
      <c r="D282" s="51">
        <v>910</v>
      </c>
    </row>
    <row r="283" spans="1:4" x14ac:dyDescent="0.2">
      <c r="A283" s="65">
        <v>1</v>
      </c>
      <c r="B283" s="65">
        <v>400</v>
      </c>
      <c r="D283" s="65">
        <v>650</v>
      </c>
    </row>
    <row r="284" spans="1:4" x14ac:dyDescent="0.2">
      <c r="A284" s="51">
        <v>3</v>
      </c>
      <c r="B284" s="51">
        <v>9700</v>
      </c>
      <c r="D284" s="51">
        <v>1560</v>
      </c>
    </row>
    <row r="285" spans="1:4" x14ac:dyDescent="0.2">
      <c r="A285" s="65">
        <v>1</v>
      </c>
      <c r="B285" s="65">
        <v>1100</v>
      </c>
      <c r="D285" s="51">
        <v>390</v>
      </c>
    </row>
    <row r="286" spans="1:4" x14ac:dyDescent="0.2">
      <c r="A286" s="51">
        <v>1</v>
      </c>
      <c r="B286" s="51">
        <v>3900</v>
      </c>
      <c r="D286" s="65">
        <v>2080</v>
      </c>
    </row>
    <row r="287" spans="1:4" x14ac:dyDescent="0.2">
      <c r="A287" s="65">
        <v>2</v>
      </c>
      <c r="B287" s="65">
        <v>3700</v>
      </c>
      <c r="D287" s="51">
        <v>390</v>
      </c>
    </row>
    <row r="288" spans="1:4" x14ac:dyDescent="0.2">
      <c r="A288" s="51">
        <v>1</v>
      </c>
      <c r="B288" s="51">
        <v>550</v>
      </c>
      <c r="D288" s="65">
        <v>4160</v>
      </c>
    </row>
    <row r="289" spans="1:4" x14ac:dyDescent="0.2">
      <c r="A289" s="65">
        <v>2</v>
      </c>
      <c r="B289" s="65">
        <v>11000</v>
      </c>
      <c r="D289" s="51">
        <v>520</v>
      </c>
    </row>
    <row r="290" spans="1:4" x14ac:dyDescent="0.2">
      <c r="A290" s="51">
        <v>1</v>
      </c>
      <c r="B290" s="51">
        <v>1000</v>
      </c>
      <c r="D290" s="65">
        <v>1430</v>
      </c>
    </row>
    <row r="291" spans="1:4" x14ac:dyDescent="0.2">
      <c r="A291" s="65">
        <v>2</v>
      </c>
      <c r="B291" s="65">
        <v>4000</v>
      </c>
      <c r="D291" s="51">
        <v>910</v>
      </c>
    </row>
    <row r="292" spans="1:4" x14ac:dyDescent="0.2">
      <c r="A292" s="51">
        <v>1</v>
      </c>
      <c r="B292" s="51">
        <v>1550</v>
      </c>
      <c r="D292" s="65">
        <v>650</v>
      </c>
    </row>
    <row r="293" spans="1:4" x14ac:dyDescent="0.2">
      <c r="A293" s="65">
        <v>1</v>
      </c>
      <c r="B293" s="65">
        <v>780</v>
      </c>
      <c r="D293" s="51">
        <v>1170</v>
      </c>
    </row>
    <row r="294" spans="1:4" x14ac:dyDescent="0.2">
      <c r="A294" s="51">
        <v>2</v>
      </c>
      <c r="B294" s="51">
        <v>11500</v>
      </c>
      <c r="D294" s="65">
        <v>900</v>
      </c>
    </row>
    <row r="295" spans="1:4" x14ac:dyDescent="0.2">
      <c r="A295" s="65">
        <v>1</v>
      </c>
      <c r="B295" s="65">
        <v>4000</v>
      </c>
      <c r="D295" s="65">
        <v>390</v>
      </c>
    </row>
    <row r="296" spans="1:4" x14ac:dyDescent="0.2">
      <c r="A296" s="51">
        <v>2</v>
      </c>
      <c r="B296" s="51">
        <v>4200</v>
      </c>
      <c r="D296" s="51">
        <v>1950</v>
      </c>
    </row>
    <row r="297" spans="1:4" x14ac:dyDescent="0.2">
      <c r="A297" s="65">
        <v>1</v>
      </c>
      <c r="B297" s="65">
        <v>1100</v>
      </c>
      <c r="D297" s="65">
        <v>390</v>
      </c>
    </row>
    <row r="298" spans="1:4" x14ac:dyDescent="0.2">
      <c r="A298" s="51">
        <v>2</v>
      </c>
      <c r="B298" s="51">
        <v>12000</v>
      </c>
      <c r="D298" s="51">
        <v>4350</v>
      </c>
    </row>
    <row r="299" spans="1:4" x14ac:dyDescent="0.2">
      <c r="A299" s="65">
        <v>1</v>
      </c>
      <c r="B299" s="65">
        <v>4700</v>
      </c>
      <c r="D299" s="65">
        <v>520</v>
      </c>
    </row>
    <row r="300" spans="1:4" x14ac:dyDescent="0.2">
      <c r="A300" s="51">
        <v>1</v>
      </c>
      <c r="B300" s="51">
        <v>520</v>
      </c>
      <c r="D300" s="51">
        <v>1560</v>
      </c>
    </row>
    <row r="301" spans="1:4" x14ac:dyDescent="0.2">
      <c r="A301" s="65">
        <v>2</v>
      </c>
      <c r="B301" s="65">
        <v>4200</v>
      </c>
      <c r="D301" s="65">
        <v>420</v>
      </c>
    </row>
    <row r="302" spans="1:4" x14ac:dyDescent="0.2">
      <c r="A302" s="51">
        <v>1</v>
      </c>
      <c r="B302" s="51">
        <v>1450</v>
      </c>
      <c r="D302" s="51">
        <v>3840</v>
      </c>
    </row>
    <row r="303" spans="1:4" x14ac:dyDescent="0.2">
      <c r="A303" s="65">
        <v>1</v>
      </c>
      <c r="B303" s="65">
        <v>650</v>
      </c>
      <c r="D303" s="51">
        <v>880</v>
      </c>
    </row>
    <row r="304" spans="1:4" x14ac:dyDescent="0.2">
      <c r="A304" s="51">
        <v>2</v>
      </c>
      <c r="B304" s="51">
        <v>12800</v>
      </c>
      <c r="D304" s="65">
        <v>2000</v>
      </c>
    </row>
    <row r="305" spans="1:4" x14ac:dyDescent="0.2">
      <c r="A305" s="65">
        <v>1</v>
      </c>
      <c r="B305" s="65">
        <v>4000</v>
      </c>
      <c r="D305" s="51">
        <v>2300</v>
      </c>
    </row>
    <row r="306" spans="1:4" x14ac:dyDescent="0.2">
      <c r="A306" s="51">
        <v>2</v>
      </c>
      <c r="B306" s="51">
        <v>4000</v>
      </c>
      <c r="D306" s="65">
        <v>1000</v>
      </c>
    </row>
    <row r="307" spans="1:4" x14ac:dyDescent="0.2">
      <c r="A307" s="65">
        <v>1</v>
      </c>
      <c r="B307" s="65">
        <v>650</v>
      </c>
      <c r="D307" s="51">
        <v>2800</v>
      </c>
    </row>
    <row r="308" spans="1:4" x14ac:dyDescent="0.2">
      <c r="A308" s="51">
        <v>2</v>
      </c>
      <c r="B308" s="51">
        <v>11800</v>
      </c>
      <c r="D308" s="65">
        <v>580</v>
      </c>
    </row>
    <row r="309" spans="1:4" x14ac:dyDescent="0.2">
      <c r="A309" s="65">
        <v>1</v>
      </c>
      <c r="B309" s="65">
        <v>4400</v>
      </c>
      <c r="D309" s="51">
        <v>1430</v>
      </c>
    </row>
    <row r="310" spans="1:4" x14ac:dyDescent="0.2">
      <c r="A310" s="51">
        <v>1</v>
      </c>
      <c r="B310" s="51">
        <v>520</v>
      </c>
      <c r="D310" s="65">
        <v>650</v>
      </c>
    </row>
    <row r="311" spans="1:4" x14ac:dyDescent="0.2">
      <c r="A311" s="65">
        <v>2</v>
      </c>
      <c r="B311" s="65">
        <v>4500</v>
      </c>
      <c r="D311" s="65">
        <v>4800</v>
      </c>
    </row>
    <row r="312" spans="1:4" x14ac:dyDescent="0.2">
      <c r="A312" s="51">
        <v>1</v>
      </c>
      <c r="B312" s="51">
        <v>1300</v>
      </c>
      <c r="D312" s="51">
        <v>390</v>
      </c>
    </row>
    <row r="313" spans="1:4" x14ac:dyDescent="0.2">
      <c r="A313" s="65">
        <v>2</v>
      </c>
      <c r="B313" s="65">
        <v>3600</v>
      </c>
      <c r="D313" s="51">
        <v>1000</v>
      </c>
    </row>
    <row r="314" spans="1:4" x14ac:dyDescent="0.2">
      <c r="A314" s="51">
        <v>2</v>
      </c>
      <c r="B314" s="51">
        <v>11000</v>
      </c>
      <c r="D314" s="65">
        <v>2100</v>
      </c>
    </row>
    <row r="315" spans="1:4" x14ac:dyDescent="0.2">
      <c r="A315" s="65">
        <v>1</v>
      </c>
      <c r="B315" s="65">
        <v>650</v>
      </c>
      <c r="D315" s="51">
        <v>1170</v>
      </c>
    </row>
    <row r="316" spans="1:4" x14ac:dyDescent="0.2">
      <c r="A316" s="51">
        <v>1</v>
      </c>
      <c r="B316" s="51">
        <v>1000</v>
      </c>
      <c r="D316" s="65">
        <v>3200</v>
      </c>
    </row>
    <row r="317" spans="1:4" x14ac:dyDescent="0.2">
      <c r="A317" s="65">
        <v>1</v>
      </c>
      <c r="B317" s="65">
        <v>420</v>
      </c>
      <c r="D317" s="51">
        <v>1430</v>
      </c>
    </row>
    <row r="318" spans="1:4" x14ac:dyDescent="0.2">
      <c r="A318" s="51">
        <v>2</v>
      </c>
      <c r="B318" s="51">
        <v>10800</v>
      </c>
      <c r="D318" s="51">
        <v>780</v>
      </c>
    </row>
    <row r="319" spans="1:4" x14ac:dyDescent="0.2">
      <c r="A319" s="65">
        <v>1</v>
      </c>
      <c r="B319" s="65">
        <v>4000</v>
      </c>
      <c r="D319" s="65">
        <v>780</v>
      </c>
    </row>
    <row r="320" spans="1:4" x14ac:dyDescent="0.2">
      <c r="A320" s="51">
        <v>1</v>
      </c>
      <c r="B320" s="51">
        <v>1000</v>
      </c>
      <c r="D320" s="65">
        <v>3600</v>
      </c>
    </row>
    <row r="321" spans="1:4" x14ac:dyDescent="0.2">
      <c r="A321" s="65">
        <v>2</v>
      </c>
      <c r="B321" s="65">
        <v>4000</v>
      </c>
      <c r="D321" s="65">
        <v>1200</v>
      </c>
    </row>
    <row r="322" spans="1:4" x14ac:dyDescent="0.2">
      <c r="A322" s="51">
        <v>1</v>
      </c>
      <c r="B322" s="51">
        <v>1300</v>
      </c>
      <c r="D322" s="51">
        <v>430</v>
      </c>
    </row>
    <row r="323" spans="1:4" x14ac:dyDescent="0.2">
      <c r="A323" s="65">
        <v>1</v>
      </c>
      <c r="B323" s="65">
        <v>390</v>
      </c>
      <c r="D323" s="65">
        <v>1000</v>
      </c>
    </row>
    <row r="324" spans="1:4" x14ac:dyDescent="0.2">
      <c r="A324" s="51">
        <v>1</v>
      </c>
      <c r="B324" s="51">
        <v>3000</v>
      </c>
      <c r="D324" s="51">
        <v>1100</v>
      </c>
    </row>
    <row r="325" spans="1:4" x14ac:dyDescent="0.2">
      <c r="A325" s="65">
        <v>2</v>
      </c>
      <c r="B325" s="65">
        <v>11600</v>
      </c>
      <c r="D325" s="51">
        <v>900</v>
      </c>
    </row>
    <row r="326" spans="1:4" x14ac:dyDescent="0.2">
      <c r="A326" s="51">
        <v>1</v>
      </c>
      <c r="B326" s="51">
        <v>650</v>
      </c>
      <c r="D326" s="65">
        <v>1900</v>
      </c>
    </row>
    <row r="327" spans="1:4" x14ac:dyDescent="0.2">
      <c r="A327" s="65">
        <v>2</v>
      </c>
      <c r="B327" s="65">
        <v>4300</v>
      </c>
      <c r="D327" s="51">
        <v>650</v>
      </c>
    </row>
    <row r="328" spans="1:4" x14ac:dyDescent="0.2">
      <c r="A328" s="51">
        <v>1</v>
      </c>
      <c r="B328" s="51">
        <v>850</v>
      </c>
      <c r="D328" s="51">
        <v>3000</v>
      </c>
    </row>
    <row r="329" spans="1:4" x14ac:dyDescent="0.2">
      <c r="A329" s="65">
        <v>1</v>
      </c>
      <c r="B329" s="65">
        <v>3000</v>
      </c>
      <c r="D329" s="51">
        <v>600</v>
      </c>
    </row>
    <row r="330" spans="1:4" x14ac:dyDescent="0.2">
      <c r="A330" s="51">
        <v>1</v>
      </c>
      <c r="B330" s="51">
        <v>300</v>
      </c>
      <c r="D330" s="65">
        <v>1300</v>
      </c>
    </row>
    <row r="331" spans="1:4" x14ac:dyDescent="0.2">
      <c r="A331" s="65">
        <v>1</v>
      </c>
      <c r="B331" s="65">
        <v>2800</v>
      </c>
      <c r="D331" s="65">
        <v>980</v>
      </c>
    </row>
    <row r="332" spans="1:4" x14ac:dyDescent="0.2">
      <c r="A332" s="51">
        <v>1</v>
      </c>
      <c r="B332" s="51">
        <v>900</v>
      </c>
      <c r="D332" s="51">
        <v>910</v>
      </c>
    </row>
    <row r="333" spans="1:4" x14ac:dyDescent="0.2">
      <c r="A333" s="65">
        <v>2</v>
      </c>
      <c r="B333" s="65">
        <v>4000</v>
      </c>
      <c r="D333" s="65">
        <v>2300</v>
      </c>
    </row>
    <row r="334" spans="1:4" x14ac:dyDescent="0.2">
      <c r="A334" s="51">
        <v>1</v>
      </c>
      <c r="B334" s="51">
        <v>650</v>
      </c>
      <c r="D334" s="51">
        <v>2300</v>
      </c>
    </row>
    <row r="335" spans="1:4" x14ac:dyDescent="0.2">
      <c r="A335" s="65">
        <v>2</v>
      </c>
      <c r="B335" s="65">
        <v>12000</v>
      </c>
      <c r="D335" s="65">
        <v>630</v>
      </c>
    </row>
    <row r="336" spans="1:4" x14ac:dyDescent="0.2">
      <c r="A336" s="51">
        <v>1</v>
      </c>
      <c r="B336" s="51">
        <v>1000</v>
      </c>
      <c r="D336" s="51">
        <v>1820</v>
      </c>
    </row>
    <row r="337" spans="1:4" x14ac:dyDescent="0.2">
      <c r="A337" s="65">
        <v>1</v>
      </c>
      <c r="B337" s="65">
        <v>3000</v>
      </c>
      <c r="D337" s="51">
        <v>780</v>
      </c>
    </row>
    <row r="338" spans="1:4" x14ac:dyDescent="0.2">
      <c r="A338" s="51">
        <v>1</v>
      </c>
      <c r="B338" s="51">
        <v>850</v>
      </c>
      <c r="D338" s="65">
        <v>780</v>
      </c>
    </row>
    <row r="339" spans="1:4" x14ac:dyDescent="0.2">
      <c r="A339" s="65">
        <v>2</v>
      </c>
      <c r="B339" s="65">
        <v>11800</v>
      </c>
      <c r="D339" s="65">
        <v>3520</v>
      </c>
    </row>
    <row r="340" spans="1:4" x14ac:dyDescent="0.2">
      <c r="A340" s="51">
        <v>1</v>
      </c>
      <c r="B340" s="51">
        <v>3000</v>
      </c>
      <c r="D340" s="51">
        <v>1049</v>
      </c>
    </row>
    <row r="341" spans="1:4" x14ac:dyDescent="0.2">
      <c r="A341" s="65">
        <v>1</v>
      </c>
      <c r="B341" s="65">
        <v>390</v>
      </c>
      <c r="D341" s="65">
        <v>530</v>
      </c>
    </row>
    <row r="342" spans="1:4" x14ac:dyDescent="0.2">
      <c r="A342" s="51">
        <v>2</v>
      </c>
      <c r="B342" s="51">
        <v>4000</v>
      </c>
      <c r="D342" s="51">
        <v>4890</v>
      </c>
    </row>
    <row r="343" spans="1:4" x14ac:dyDescent="0.2">
      <c r="A343" s="65">
        <v>1</v>
      </c>
      <c r="B343" s="65">
        <v>650</v>
      </c>
      <c r="D343" s="65">
        <v>1180</v>
      </c>
    </row>
    <row r="344" spans="1:4" x14ac:dyDescent="0.2">
      <c r="A344" s="51">
        <v>1</v>
      </c>
      <c r="B344" s="51">
        <v>780</v>
      </c>
      <c r="D344" s="89">
        <v>650</v>
      </c>
    </row>
    <row r="345" spans="1:4" x14ac:dyDescent="0.2">
      <c r="A345" s="65">
        <v>1</v>
      </c>
      <c r="B345" s="65">
        <v>8300</v>
      </c>
      <c r="D345" s="90">
        <v>750</v>
      </c>
    </row>
    <row r="346" spans="1:4" x14ac:dyDescent="0.2">
      <c r="A346" s="51">
        <v>2</v>
      </c>
      <c r="B346" s="51">
        <v>4000</v>
      </c>
      <c r="D346" s="89">
        <v>950</v>
      </c>
    </row>
    <row r="347" spans="1:4" x14ac:dyDescent="0.2">
      <c r="A347" s="65">
        <v>1</v>
      </c>
      <c r="B347" s="65">
        <v>520</v>
      </c>
      <c r="D347" s="51">
        <v>3000</v>
      </c>
    </row>
    <row r="348" spans="1:4" x14ac:dyDescent="0.2">
      <c r="A348" s="51">
        <v>1</v>
      </c>
      <c r="B348" s="51">
        <v>1500</v>
      </c>
      <c r="D348" s="90">
        <v>1000</v>
      </c>
    </row>
    <row r="349" spans="1:4" x14ac:dyDescent="0.2">
      <c r="A349" s="65">
        <v>2</v>
      </c>
      <c r="B349" s="65">
        <v>330</v>
      </c>
      <c r="D349" s="89">
        <v>750</v>
      </c>
    </row>
    <row r="350" spans="1:4" x14ac:dyDescent="0.2">
      <c r="A350" s="51">
        <v>1</v>
      </c>
      <c r="B350" s="51">
        <v>520</v>
      </c>
      <c r="D350" s="90">
        <v>950</v>
      </c>
    </row>
    <row r="351" spans="1:4" x14ac:dyDescent="0.2">
      <c r="A351" s="65">
        <v>1</v>
      </c>
      <c r="B351" s="65">
        <v>9000</v>
      </c>
      <c r="D351" s="51">
        <v>1170</v>
      </c>
    </row>
    <row r="352" spans="1:4" x14ac:dyDescent="0.2">
      <c r="A352" s="51">
        <v>2</v>
      </c>
      <c r="B352" s="51">
        <v>2200</v>
      </c>
      <c r="D352" s="65">
        <v>4480</v>
      </c>
    </row>
    <row r="353" spans="1:4" x14ac:dyDescent="0.2">
      <c r="A353" s="65">
        <v>1</v>
      </c>
      <c r="B353" s="65">
        <v>1300</v>
      </c>
      <c r="D353" s="65">
        <v>520</v>
      </c>
    </row>
    <row r="354" spans="1:4" x14ac:dyDescent="0.2">
      <c r="A354" s="51">
        <v>1</v>
      </c>
      <c r="B354" s="51">
        <v>520</v>
      </c>
      <c r="D354" s="65">
        <v>1560</v>
      </c>
    </row>
    <row r="355" spans="1:4" x14ac:dyDescent="0.2">
      <c r="A355" s="65">
        <v>2</v>
      </c>
      <c r="B355" s="65">
        <v>3200</v>
      </c>
      <c r="D355" s="51">
        <v>520</v>
      </c>
    </row>
    <row r="356" spans="1:4" x14ac:dyDescent="0.2">
      <c r="A356" s="51">
        <v>1</v>
      </c>
      <c r="B356" s="51">
        <v>910</v>
      </c>
      <c r="D356" s="65">
        <v>1180</v>
      </c>
    </row>
    <row r="357" spans="1:4" x14ac:dyDescent="0.2">
      <c r="A357" s="65">
        <v>2</v>
      </c>
      <c r="B357" s="65">
        <v>10600</v>
      </c>
      <c r="D357" s="65">
        <v>680</v>
      </c>
    </row>
    <row r="358" spans="1:4" x14ac:dyDescent="0.2">
      <c r="A358" s="51">
        <v>1</v>
      </c>
      <c r="B358" s="51">
        <v>3900</v>
      </c>
      <c r="D358" s="51">
        <v>2000</v>
      </c>
    </row>
    <row r="359" spans="1:4" x14ac:dyDescent="0.2">
      <c r="A359" s="65">
        <v>1</v>
      </c>
      <c r="B359" s="65">
        <v>350</v>
      </c>
    </row>
    <row r="360" spans="1:4" x14ac:dyDescent="0.2">
      <c r="A360" s="51">
        <v>2</v>
      </c>
      <c r="B360" s="51">
        <v>3700</v>
      </c>
    </row>
    <row r="361" spans="1:4" x14ac:dyDescent="0.2">
      <c r="A361" s="65">
        <v>1</v>
      </c>
      <c r="B361" s="65">
        <v>1300</v>
      </c>
    </row>
    <row r="362" spans="1:4" x14ac:dyDescent="0.2">
      <c r="A362" s="51">
        <v>1</v>
      </c>
      <c r="B362" s="51">
        <v>1000</v>
      </c>
    </row>
    <row r="363" spans="1:4" x14ac:dyDescent="0.2">
      <c r="A363" s="65">
        <v>1</v>
      </c>
      <c r="B363" s="65">
        <v>780</v>
      </c>
    </row>
    <row r="364" spans="1:4" x14ac:dyDescent="0.2">
      <c r="A364" s="51">
        <v>2</v>
      </c>
      <c r="B364" s="51">
        <v>3800</v>
      </c>
    </row>
    <row r="365" spans="1:4" x14ac:dyDescent="0.2">
      <c r="A365" s="65">
        <v>1</v>
      </c>
      <c r="B365" s="65">
        <v>520</v>
      </c>
    </row>
    <row r="366" spans="1:4" x14ac:dyDescent="0.2">
      <c r="A366" s="51">
        <v>1</v>
      </c>
      <c r="B366" s="51">
        <v>900</v>
      </c>
    </row>
    <row r="367" spans="1:4" x14ac:dyDescent="0.2">
      <c r="A367" s="65">
        <v>2</v>
      </c>
      <c r="B367" s="65">
        <v>9900</v>
      </c>
    </row>
    <row r="368" spans="1:4" x14ac:dyDescent="0.2">
      <c r="A368" s="51">
        <v>1</v>
      </c>
      <c r="B368" s="51">
        <v>11430</v>
      </c>
    </row>
    <row r="369" spans="1:2" x14ac:dyDescent="0.2">
      <c r="A369" s="65">
        <v>1</v>
      </c>
      <c r="B369" s="65">
        <v>390</v>
      </c>
    </row>
    <row r="370" spans="1:2" x14ac:dyDescent="0.2">
      <c r="A370" s="51">
        <v>2</v>
      </c>
      <c r="B370" s="51">
        <v>4000</v>
      </c>
    </row>
    <row r="371" spans="1:2" x14ac:dyDescent="0.2">
      <c r="A371" s="65">
        <v>1</v>
      </c>
      <c r="B371" s="65">
        <v>2900</v>
      </c>
    </row>
    <row r="372" spans="1:2" x14ac:dyDescent="0.2">
      <c r="A372" s="51">
        <v>1</v>
      </c>
      <c r="B372" s="51">
        <v>1070</v>
      </c>
    </row>
    <row r="373" spans="1:2" x14ac:dyDescent="0.2">
      <c r="A373" s="65">
        <v>1</v>
      </c>
      <c r="B373" s="65">
        <v>1300</v>
      </c>
    </row>
    <row r="374" spans="1:2" x14ac:dyDescent="0.2">
      <c r="A374" s="51">
        <v>2</v>
      </c>
      <c r="B374" s="51">
        <v>2400</v>
      </c>
    </row>
    <row r="375" spans="1:2" x14ac:dyDescent="0.2">
      <c r="A375" s="65">
        <v>1</v>
      </c>
      <c r="B375" s="65">
        <v>1700</v>
      </c>
    </row>
    <row r="376" spans="1:2" x14ac:dyDescent="0.2">
      <c r="A376" s="51">
        <v>1</v>
      </c>
      <c r="B376" s="51">
        <v>6500</v>
      </c>
    </row>
    <row r="377" spans="1:2" x14ac:dyDescent="0.2">
      <c r="A377" s="65">
        <v>1</v>
      </c>
      <c r="B377" s="65">
        <v>900</v>
      </c>
    </row>
    <row r="378" spans="1:2" x14ac:dyDescent="0.2">
      <c r="A378" s="51">
        <v>1</v>
      </c>
      <c r="B378" s="51">
        <v>2000</v>
      </c>
    </row>
    <row r="379" spans="1:2" x14ac:dyDescent="0.2">
      <c r="A379" s="65">
        <v>1</v>
      </c>
      <c r="B379" s="65">
        <v>2600</v>
      </c>
    </row>
    <row r="380" spans="1:2" x14ac:dyDescent="0.2">
      <c r="A380" s="51">
        <v>2</v>
      </c>
      <c r="B380" s="51">
        <v>2200</v>
      </c>
    </row>
    <row r="381" spans="1:2" x14ac:dyDescent="0.2">
      <c r="A381" s="65">
        <v>1</v>
      </c>
      <c r="B381" s="65">
        <v>3800</v>
      </c>
    </row>
    <row r="382" spans="1:2" x14ac:dyDescent="0.2">
      <c r="A382" s="51">
        <v>1</v>
      </c>
      <c r="B382" s="51">
        <v>520</v>
      </c>
    </row>
    <row r="383" spans="1:2" x14ac:dyDescent="0.2">
      <c r="A383" s="65">
        <v>2</v>
      </c>
      <c r="B383" s="65">
        <v>11000</v>
      </c>
    </row>
    <row r="384" spans="1:2" x14ac:dyDescent="0.2">
      <c r="A384" s="51">
        <v>1</v>
      </c>
      <c r="B384" s="51">
        <v>1000</v>
      </c>
    </row>
    <row r="385" spans="1:2" x14ac:dyDescent="0.2">
      <c r="A385" s="65">
        <v>1</v>
      </c>
      <c r="B385" s="65">
        <v>9400</v>
      </c>
    </row>
    <row r="386" spans="1:2" x14ac:dyDescent="0.2">
      <c r="A386" s="51">
        <v>1</v>
      </c>
      <c r="B386" s="51">
        <v>6800</v>
      </c>
    </row>
    <row r="387" spans="1:2" x14ac:dyDescent="0.2">
      <c r="A387" s="65">
        <v>2</v>
      </c>
      <c r="B387" s="65">
        <v>4000</v>
      </c>
    </row>
    <row r="388" spans="1:2" x14ac:dyDescent="0.2">
      <c r="A388" s="51">
        <v>1</v>
      </c>
      <c r="B388" s="51">
        <v>390</v>
      </c>
    </row>
    <row r="389" spans="1:2" x14ac:dyDescent="0.2">
      <c r="A389" s="65">
        <v>2</v>
      </c>
      <c r="B389" s="65">
        <v>3900</v>
      </c>
    </row>
    <row r="390" spans="1:2" x14ac:dyDescent="0.2">
      <c r="A390" s="51">
        <v>1</v>
      </c>
      <c r="B390" s="51">
        <v>1070</v>
      </c>
    </row>
    <row r="391" spans="1:2" x14ac:dyDescent="0.2">
      <c r="A391" s="65">
        <v>1</v>
      </c>
      <c r="B391" s="65">
        <v>1300</v>
      </c>
    </row>
    <row r="392" spans="1:2" x14ac:dyDescent="0.2">
      <c r="A392" s="51">
        <v>2</v>
      </c>
      <c r="B392" s="51">
        <v>1300</v>
      </c>
    </row>
    <row r="393" spans="1:2" x14ac:dyDescent="0.2">
      <c r="A393" s="65">
        <v>1</v>
      </c>
      <c r="B393" s="65">
        <v>650</v>
      </c>
    </row>
    <row r="394" spans="1:2" x14ac:dyDescent="0.2">
      <c r="A394" s="51">
        <v>1</v>
      </c>
      <c r="B394" s="51">
        <v>520</v>
      </c>
    </row>
    <row r="395" spans="1:2" x14ac:dyDescent="0.2">
      <c r="A395" s="65">
        <v>1</v>
      </c>
      <c r="B395" s="65">
        <v>390</v>
      </c>
    </row>
    <row r="396" spans="1:2" x14ac:dyDescent="0.2">
      <c r="A396" s="51">
        <v>3</v>
      </c>
      <c r="B396" s="51">
        <v>4500</v>
      </c>
    </row>
    <row r="397" spans="1:2" x14ac:dyDescent="0.2">
      <c r="A397" s="65">
        <v>1</v>
      </c>
      <c r="B397" s="65">
        <v>1430</v>
      </c>
    </row>
    <row r="398" spans="1:2" x14ac:dyDescent="0.2">
      <c r="A398" s="51">
        <v>1</v>
      </c>
      <c r="B398" s="51">
        <v>260</v>
      </c>
    </row>
    <row r="399" spans="1:2" x14ac:dyDescent="0.2">
      <c r="A399" s="65">
        <v>1</v>
      </c>
      <c r="B399" s="65">
        <v>1560</v>
      </c>
    </row>
    <row r="400" spans="1:2" x14ac:dyDescent="0.2">
      <c r="A400" s="51">
        <v>1</v>
      </c>
      <c r="B400" s="51">
        <v>1690</v>
      </c>
    </row>
    <row r="401" spans="1:2" x14ac:dyDescent="0.2">
      <c r="A401" s="65">
        <v>1</v>
      </c>
      <c r="B401" s="65">
        <v>390</v>
      </c>
    </row>
    <row r="402" spans="1:2" x14ac:dyDescent="0.2">
      <c r="A402" s="51">
        <v>2</v>
      </c>
      <c r="B402" s="51">
        <v>3600</v>
      </c>
    </row>
    <row r="403" spans="1:2" x14ac:dyDescent="0.2">
      <c r="A403" s="65">
        <v>1</v>
      </c>
      <c r="B403" s="65">
        <v>650</v>
      </c>
    </row>
    <row r="404" spans="1:2" x14ac:dyDescent="0.2">
      <c r="A404" s="51">
        <v>1</v>
      </c>
      <c r="B404" s="51">
        <v>9600</v>
      </c>
    </row>
    <row r="405" spans="1:2" x14ac:dyDescent="0.2">
      <c r="A405" s="65">
        <v>1</v>
      </c>
      <c r="B405" s="65">
        <v>1430</v>
      </c>
    </row>
    <row r="406" spans="1:2" x14ac:dyDescent="0.2">
      <c r="A406" s="51">
        <v>2</v>
      </c>
      <c r="B406" s="51">
        <v>9200</v>
      </c>
    </row>
    <row r="407" spans="1:2" x14ac:dyDescent="0.2">
      <c r="A407" s="65">
        <v>1</v>
      </c>
      <c r="B407" s="65">
        <v>520</v>
      </c>
    </row>
    <row r="408" spans="1:2" x14ac:dyDescent="0.2">
      <c r="A408" s="51">
        <v>1</v>
      </c>
      <c r="B408" s="51">
        <v>1560</v>
      </c>
    </row>
    <row r="409" spans="1:2" x14ac:dyDescent="0.2">
      <c r="A409" s="65">
        <v>1</v>
      </c>
      <c r="B409" s="65">
        <v>390</v>
      </c>
    </row>
    <row r="410" spans="1:2" x14ac:dyDescent="0.2">
      <c r="A410" s="51">
        <v>1</v>
      </c>
      <c r="B410" s="51">
        <v>1820</v>
      </c>
    </row>
    <row r="411" spans="1:2" x14ac:dyDescent="0.2">
      <c r="A411" s="65">
        <v>1</v>
      </c>
      <c r="B411" s="65">
        <v>260</v>
      </c>
    </row>
    <row r="412" spans="1:2" x14ac:dyDescent="0.2">
      <c r="A412" s="51">
        <v>2</v>
      </c>
      <c r="B412" s="51">
        <v>3900</v>
      </c>
    </row>
    <row r="413" spans="1:2" x14ac:dyDescent="0.2">
      <c r="A413" s="65">
        <v>1</v>
      </c>
      <c r="B413" s="65">
        <v>390</v>
      </c>
    </row>
    <row r="414" spans="1:2" x14ac:dyDescent="0.2">
      <c r="A414" s="51">
        <v>1</v>
      </c>
      <c r="B414" s="51">
        <v>1690</v>
      </c>
    </row>
    <row r="415" spans="1:2" x14ac:dyDescent="0.2">
      <c r="A415" s="65">
        <v>2</v>
      </c>
      <c r="B415" s="65">
        <v>11000</v>
      </c>
    </row>
    <row r="416" spans="1:2" x14ac:dyDescent="0.2">
      <c r="A416" s="51">
        <v>1</v>
      </c>
      <c r="B416" s="51">
        <v>650</v>
      </c>
    </row>
    <row r="417" spans="1:2" x14ac:dyDescent="0.2">
      <c r="A417" s="65">
        <v>3</v>
      </c>
      <c r="B417" s="65">
        <v>4400</v>
      </c>
    </row>
    <row r="418" spans="1:2" x14ac:dyDescent="0.2">
      <c r="A418" s="51">
        <v>1</v>
      </c>
      <c r="B418" s="51">
        <v>390</v>
      </c>
    </row>
    <row r="419" spans="1:2" x14ac:dyDescent="0.2">
      <c r="A419" s="65">
        <v>1</v>
      </c>
      <c r="B419" s="65">
        <v>4000</v>
      </c>
    </row>
    <row r="420" spans="1:2" x14ac:dyDescent="0.2">
      <c r="A420" s="51">
        <v>1</v>
      </c>
      <c r="B420" s="51">
        <v>1430</v>
      </c>
    </row>
    <row r="421" spans="1:2" x14ac:dyDescent="0.2">
      <c r="A421" s="65">
        <v>3</v>
      </c>
      <c r="B421" s="65">
        <v>9400</v>
      </c>
    </row>
    <row r="422" spans="1:2" x14ac:dyDescent="0.2">
      <c r="A422" s="51">
        <v>2</v>
      </c>
      <c r="B422" s="51">
        <v>8800</v>
      </c>
    </row>
    <row r="423" spans="1:2" x14ac:dyDescent="0.2">
      <c r="A423" s="65">
        <v>1</v>
      </c>
      <c r="B423" s="65">
        <v>520</v>
      </c>
    </row>
    <row r="424" spans="1:2" x14ac:dyDescent="0.2">
      <c r="A424" s="51">
        <v>2</v>
      </c>
      <c r="B424" s="51">
        <v>3700</v>
      </c>
    </row>
    <row r="425" spans="1:2" x14ac:dyDescent="0.2">
      <c r="A425" s="65">
        <v>1</v>
      </c>
      <c r="B425" s="65">
        <v>9200</v>
      </c>
    </row>
    <row r="426" spans="1:2" x14ac:dyDescent="0.2">
      <c r="A426" s="51">
        <v>1</v>
      </c>
      <c r="B426" s="51">
        <v>780</v>
      </c>
    </row>
    <row r="427" spans="1:2" x14ac:dyDescent="0.2">
      <c r="A427" s="65">
        <v>1</v>
      </c>
      <c r="B427" s="65">
        <v>780</v>
      </c>
    </row>
    <row r="428" spans="1:2" x14ac:dyDescent="0.2">
      <c r="A428" s="51">
        <v>1</v>
      </c>
      <c r="B428" s="51">
        <v>1180</v>
      </c>
    </row>
    <row r="429" spans="1:2" x14ac:dyDescent="0.2">
      <c r="A429" s="65">
        <v>2</v>
      </c>
      <c r="B429" s="65">
        <v>3600</v>
      </c>
    </row>
    <row r="430" spans="1:2" x14ac:dyDescent="0.2">
      <c r="A430" s="51">
        <v>1</v>
      </c>
      <c r="B430" s="51">
        <v>520</v>
      </c>
    </row>
    <row r="431" spans="1:2" x14ac:dyDescent="0.2">
      <c r="A431" s="65">
        <v>1</v>
      </c>
      <c r="B431" s="65">
        <v>2080</v>
      </c>
    </row>
    <row r="432" spans="1:2" x14ac:dyDescent="0.2">
      <c r="A432" s="51">
        <v>1</v>
      </c>
      <c r="B432" s="51">
        <v>390</v>
      </c>
    </row>
    <row r="433" spans="1:2" x14ac:dyDescent="0.2">
      <c r="A433" s="65">
        <v>1</v>
      </c>
      <c r="B433" s="65">
        <v>4350</v>
      </c>
    </row>
    <row r="434" spans="1:2" x14ac:dyDescent="0.2">
      <c r="A434" s="51">
        <v>1</v>
      </c>
      <c r="B434" s="51">
        <v>520</v>
      </c>
    </row>
    <row r="435" spans="1:2" x14ac:dyDescent="0.2">
      <c r="A435" s="65">
        <v>1</v>
      </c>
      <c r="B435" s="65">
        <v>11430</v>
      </c>
    </row>
    <row r="436" spans="1:2" x14ac:dyDescent="0.2">
      <c r="A436" s="51">
        <v>1</v>
      </c>
      <c r="B436" s="51">
        <v>900</v>
      </c>
    </row>
    <row r="437" spans="1:2" x14ac:dyDescent="0.2">
      <c r="A437" s="65">
        <v>1</v>
      </c>
      <c r="B437" s="65">
        <v>910</v>
      </c>
    </row>
    <row r="438" spans="1:2" x14ac:dyDescent="0.2">
      <c r="A438" s="51">
        <v>1</v>
      </c>
      <c r="B438" s="51">
        <v>1560</v>
      </c>
    </row>
    <row r="439" spans="1:2" x14ac:dyDescent="0.2">
      <c r="A439" s="65">
        <v>2</v>
      </c>
      <c r="B439" s="65">
        <v>4160</v>
      </c>
    </row>
    <row r="440" spans="1:2" x14ac:dyDescent="0.2">
      <c r="A440" s="51">
        <v>1</v>
      </c>
      <c r="B440" s="51">
        <v>520</v>
      </c>
    </row>
    <row r="441" spans="1:2" x14ac:dyDescent="0.2">
      <c r="A441" s="65">
        <v>1</v>
      </c>
      <c r="B441" s="65">
        <v>1560</v>
      </c>
    </row>
    <row r="442" spans="1:2" x14ac:dyDescent="0.2">
      <c r="A442" s="51">
        <v>1</v>
      </c>
      <c r="B442" s="51">
        <v>390</v>
      </c>
    </row>
    <row r="443" spans="1:2" x14ac:dyDescent="0.2">
      <c r="A443" s="65">
        <v>1</v>
      </c>
      <c r="B443" s="65">
        <v>4550</v>
      </c>
    </row>
    <row r="444" spans="1:2" x14ac:dyDescent="0.2">
      <c r="A444" s="51">
        <v>1</v>
      </c>
      <c r="B444" s="51">
        <v>650</v>
      </c>
    </row>
    <row r="445" spans="1:2" x14ac:dyDescent="0.2">
      <c r="A445" s="65">
        <v>2</v>
      </c>
      <c r="B445" s="65">
        <v>1430</v>
      </c>
    </row>
    <row r="446" spans="1:2" x14ac:dyDescent="0.2">
      <c r="A446" s="51">
        <v>1</v>
      </c>
      <c r="B446" s="51">
        <v>1040</v>
      </c>
    </row>
    <row r="447" spans="1:2" x14ac:dyDescent="0.2">
      <c r="A447" s="65">
        <v>1</v>
      </c>
      <c r="B447" s="65">
        <v>780</v>
      </c>
    </row>
    <row r="448" spans="1:2" x14ac:dyDescent="0.2">
      <c r="A448" s="51">
        <v>1</v>
      </c>
      <c r="B448" s="51">
        <v>7200</v>
      </c>
    </row>
    <row r="449" spans="1:2" x14ac:dyDescent="0.2">
      <c r="A449" s="65">
        <v>1</v>
      </c>
      <c r="B449" s="65">
        <v>1170</v>
      </c>
    </row>
    <row r="450" spans="1:2" x14ac:dyDescent="0.2">
      <c r="A450" s="51">
        <v>2</v>
      </c>
      <c r="B450" s="51">
        <v>3250</v>
      </c>
    </row>
    <row r="451" spans="1:2" x14ac:dyDescent="0.2">
      <c r="A451" s="65">
        <v>1</v>
      </c>
      <c r="B451" s="65">
        <v>4550</v>
      </c>
    </row>
    <row r="452" spans="1:2" x14ac:dyDescent="0.2">
      <c r="A452" s="51">
        <v>1</v>
      </c>
      <c r="B452" s="51">
        <v>520</v>
      </c>
    </row>
    <row r="453" spans="1:2" x14ac:dyDescent="0.2">
      <c r="A453" s="65">
        <v>1</v>
      </c>
      <c r="B453" s="65">
        <v>1430</v>
      </c>
    </row>
    <row r="454" spans="1:2" x14ac:dyDescent="0.2">
      <c r="A454" s="51">
        <v>1</v>
      </c>
      <c r="B454" s="51">
        <v>780</v>
      </c>
    </row>
    <row r="455" spans="1:2" x14ac:dyDescent="0.2">
      <c r="A455" s="65">
        <v>1</v>
      </c>
      <c r="B455" s="65">
        <v>4100</v>
      </c>
    </row>
    <row r="456" spans="1:2" x14ac:dyDescent="0.2">
      <c r="A456" s="51">
        <v>1</v>
      </c>
      <c r="B456" s="51">
        <v>910</v>
      </c>
    </row>
    <row r="457" spans="1:2" x14ac:dyDescent="0.2">
      <c r="A457" s="65">
        <v>1</v>
      </c>
      <c r="B457" s="65">
        <v>910</v>
      </c>
    </row>
    <row r="458" spans="1:2" x14ac:dyDescent="0.2">
      <c r="A458" s="51">
        <v>1</v>
      </c>
      <c r="B458" s="51">
        <v>1300</v>
      </c>
    </row>
    <row r="459" spans="1:2" x14ac:dyDescent="0.2">
      <c r="A459" s="65">
        <v>2</v>
      </c>
      <c r="B459" s="65">
        <v>3640</v>
      </c>
    </row>
    <row r="460" spans="1:2" x14ac:dyDescent="0.2">
      <c r="A460" s="51">
        <v>1</v>
      </c>
      <c r="B460" s="51">
        <v>390</v>
      </c>
    </row>
    <row r="461" spans="1:2" x14ac:dyDescent="0.2">
      <c r="A461" s="65">
        <v>1</v>
      </c>
      <c r="B461" s="65">
        <v>1820</v>
      </c>
    </row>
    <row r="462" spans="1:2" x14ac:dyDescent="0.2">
      <c r="A462" s="51">
        <v>1</v>
      </c>
      <c r="B462" s="51">
        <v>520</v>
      </c>
    </row>
    <row r="463" spans="1:2" x14ac:dyDescent="0.2">
      <c r="A463" s="65">
        <v>1</v>
      </c>
      <c r="B463" s="65">
        <v>3900</v>
      </c>
    </row>
    <row r="464" spans="1:2" x14ac:dyDescent="0.2">
      <c r="A464" s="51">
        <v>1</v>
      </c>
      <c r="B464" s="51">
        <v>1170</v>
      </c>
    </row>
    <row r="465" spans="1:2" x14ac:dyDescent="0.2">
      <c r="A465" s="65">
        <v>1</v>
      </c>
      <c r="B465" s="65">
        <v>780</v>
      </c>
    </row>
    <row r="466" spans="1:2" x14ac:dyDescent="0.2">
      <c r="A466" s="51">
        <v>1</v>
      </c>
      <c r="B466" s="51">
        <v>910</v>
      </c>
    </row>
    <row r="467" spans="1:2" x14ac:dyDescent="0.2">
      <c r="A467" s="65">
        <v>1</v>
      </c>
      <c r="B467" s="65">
        <v>650</v>
      </c>
    </row>
    <row r="468" spans="1:2" x14ac:dyDescent="0.2">
      <c r="A468" s="51">
        <v>1</v>
      </c>
      <c r="B468" s="51">
        <v>1560</v>
      </c>
    </row>
    <row r="469" spans="1:2" x14ac:dyDescent="0.2">
      <c r="A469" s="65">
        <v>2</v>
      </c>
      <c r="B469" s="65">
        <v>3510</v>
      </c>
    </row>
    <row r="470" spans="1:2" x14ac:dyDescent="0.2">
      <c r="A470" s="51">
        <v>1</v>
      </c>
      <c r="B470" s="51">
        <v>390</v>
      </c>
    </row>
    <row r="471" spans="1:2" x14ac:dyDescent="0.2">
      <c r="A471" s="65">
        <v>1</v>
      </c>
      <c r="B471" s="65">
        <v>2080</v>
      </c>
    </row>
    <row r="472" spans="1:2" x14ac:dyDescent="0.2">
      <c r="A472" s="51">
        <v>1</v>
      </c>
      <c r="B472" s="51">
        <v>390</v>
      </c>
    </row>
    <row r="473" spans="1:2" x14ac:dyDescent="0.2">
      <c r="A473" s="65">
        <v>1</v>
      </c>
      <c r="B473" s="65">
        <v>4160</v>
      </c>
    </row>
    <row r="474" spans="1:2" x14ac:dyDescent="0.2">
      <c r="A474" s="51">
        <v>1</v>
      </c>
      <c r="B474" s="51">
        <v>520</v>
      </c>
    </row>
    <row r="475" spans="1:2" x14ac:dyDescent="0.2">
      <c r="A475" s="65">
        <v>1</v>
      </c>
      <c r="B475" s="65">
        <v>1430</v>
      </c>
    </row>
    <row r="476" spans="1:2" x14ac:dyDescent="0.2">
      <c r="A476" s="51">
        <v>1</v>
      </c>
      <c r="B476" s="51">
        <v>910</v>
      </c>
    </row>
    <row r="477" spans="1:2" x14ac:dyDescent="0.2">
      <c r="A477" s="65">
        <v>1</v>
      </c>
      <c r="B477" s="65">
        <v>650</v>
      </c>
    </row>
    <row r="478" spans="1:2" x14ac:dyDescent="0.2">
      <c r="A478" s="51">
        <v>1</v>
      </c>
      <c r="B478" s="51">
        <v>1170</v>
      </c>
    </row>
    <row r="479" spans="1:2" x14ac:dyDescent="0.2">
      <c r="A479" s="65">
        <v>1</v>
      </c>
      <c r="B479" s="65">
        <v>900</v>
      </c>
    </row>
    <row r="480" spans="1:2" x14ac:dyDescent="0.2">
      <c r="A480" s="51">
        <v>2</v>
      </c>
      <c r="B480" s="51">
        <v>3380</v>
      </c>
    </row>
    <row r="481" spans="1:2" x14ac:dyDescent="0.2">
      <c r="A481" s="65">
        <v>1</v>
      </c>
      <c r="B481" s="65">
        <v>390</v>
      </c>
    </row>
    <row r="482" spans="1:2" x14ac:dyDescent="0.2">
      <c r="A482" s="51">
        <v>1</v>
      </c>
      <c r="B482" s="51">
        <v>1950</v>
      </c>
    </row>
    <row r="483" spans="1:2" x14ac:dyDescent="0.2">
      <c r="A483" s="65">
        <v>1</v>
      </c>
      <c r="B483" s="65">
        <v>390</v>
      </c>
    </row>
    <row r="484" spans="1:2" x14ac:dyDescent="0.2">
      <c r="A484" s="51">
        <v>1</v>
      </c>
      <c r="B484" s="51">
        <v>4350</v>
      </c>
    </row>
    <row r="485" spans="1:2" x14ac:dyDescent="0.2">
      <c r="A485" s="65">
        <v>1</v>
      </c>
      <c r="B485" s="65">
        <v>520</v>
      </c>
    </row>
    <row r="486" spans="1:2" x14ac:dyDescent="0.2">
      <c r="A486" s="51">
        <v>1</v>
      </c>
      <c r="B486" s="51">
        <v>1560</v>
      </c>
    </row>
    <row r="487" spans="1:2" x14ac:dyDescent="0.2">
      <c r="A487" s="65">
        <v>1</v>
      </c>
      <c r="B487" s="65">
        <v>420</v>
      </c>
    </row>
    <row r="488" spans="1:2" x14ac:dyDescent="0.2">
      <c r="A488" s="51">
        <v>1</v>
      </c>
      <c r="B488" s="51">
        <v>3840</v>
      </c>
    </row>
    <row r="489" spans="1:2" x14ac:dyDescent="0.2">
      <c r="A489" s="65">
        <v>2</v>
      </c>
      <c r="B489" s="65">
        <v>5400</v>
      </c>
    </row>
    <row r="490" spans="1:2" x14ac:dyDescent="0.2">
      <c r="A490" s="51">
        <v>1</v>
      </c>
      <c r="B490" s="51">
        <v>880</v>
      </c>
    </row>
    <row r="491" spans="1:2" x14ac:dyDescent="0.2">
      <c r="A491" s="65">
        <v>1</v>
      </c>
      <c r="B491" s="65">
        <v>2000</v>
      </c>
    </row>
    <row r="492" spans="1:2" x14ac:dyDescent="0.2">
      <c r="A492" s="51">
        <v>1</v>
      </c>
      <c r="B492" s="51">
        <v>2300</v>
      </c>
    </row>
    <row r="493" spans="1:2" x14ac:dyDescent="0.2">
      <c r="A493" s="65">
        <v>1</v>
      </c>
      <c r="B493" s="65">
        <v>1000</v>
      </c>
    </row>
    <row r="494" spans="1:2" x14ac:dyDescent="0.2">
      <c r="A494" s="51">
        <v>1</v>
      </c>
      <c r="B494" s="51">
        <v>2800</v>
      </c>
    </row>
    <row r="495" spans="1:2" x14ac:dyDescent="0.2">
      <c r="A495" s="65">
        <v>1</v>
      </c>
      <c r="B495" s="65">
        <v>580</v>
      </c>
    </row>
    <row r="496" spans="1:2" x14ac:dyDescent="0.2">
      <c r="A496" s="51">
        <v>1</v>
      </c>
      <c r="B496" s="51">
        <v>1430</v>
      </c>
    </row>
    <row r="497" spans="1:2" x14ac:dyDescent="0.2">
      <c r="A497" s="65">
        <v>1</v>
      </c>
      <c r="B497" s="65">
        <v>650</v>
      </c>
    </row>
    <row r="498" spans="1:2" x14ac:dyDescent="0.2">
      <c r="A498" s="51">
        <v>2</v>
      </c>
      <c r="B498" s="51">
        <v>7800</v>
      </c>
    </row>
    <row r="499" spans="1:2" x14ac:dyDescent="0.2">
      <c r="A499" s="65">
        <v>1</v>
      </c>
      <c r="B499" s="65">
        <v>4800</v>
      </c>
    </row>
    <row r="500" spans="1:2" x14ac:dyDescent="0.2">
      <c r="A500" s="51">
        <v>1</v>
      </c>
      <c r="B500" s="51">
        <v>390</v>
      </c>
    </row>
    <row r="501" spans="1:2" x14ac:dyDescent="0.2">
      <c r="A501" s="65">
        <v>2</v>
      </c>
      <c r="B501" s="65">
        <v>3500</v>
      </c>
    </row>
    <row r="502" spans="1:2" x14ac:dyDescent="0.2">
      <c r="A502" s="51">
        <v>1</v>
      </c>
      <c r="B502" s="51">
        <v>1000</v>
      </c>
    </row>
    <row r="503" spans="1:2" x14ac:dyDescent="0.2">
      <c r="A503" s="65">
        <v>1</v>
      </c>
      <c r="B503" s="65">
        <v>2100</v>
      </c>
    </row>
    <row r="504" spans="1:2" x14ac:dyDescent="0.2">
      <c r="A504" s="51">
        <v>1</v>
      </c>
      <c r="B504" s="51">
        <v>1170</v>
      </c>
    </row>
    <row r="505" spans="1:2" x14ac:dyDescent="0.2">
      <c r="A505" s="65">
        <v>1</v>
      </c>
      <c r="B505" s="65">
        <v>3200</v>
      </c>
    </row>
    <row r="506" spans="1:2" x14ac:dyDescent="0.2">
      <c r="A506" s="51">
        <v>1</v>
      </c>
      <c r="B506" s="51">
        <v>1430</v>
      </c>
    </row>
    <row r="507" spans="1:2" x14ac:dyDescent="0.2">
      <c r="A507" s="65">
        <v>2</v>
      </c>
      <c r="B507" s="65">
        <v>9300</v>
      </c>
    </row>
    <row r="508" spans="1:2" x14ac:dyDescent="0.2">
      <c r="A508" s="51">
        <v>1</v>
      </c>
      <c r="B508" s="51">
        <v>780</v>
      </c>
    </row>
    <row r="509" spans="1:2" x14ac:dyDescent="0.2">
      <c r="A509" s="65">
        <v>1</v>
      </c>
      <c r="B509" s="65">
        <v>780</v>
      </c>
    </row>
    <row r="510" spans="1:2" x14ac:dyDescent="0.2">
      <c r="A510" s="51">
        <v>2</v>
      </c>
      <c r="B510" s="51">
        <v>3600</v>
      </c>
    </row>
    <row r="511" spans="1:2" x14ac:dyDescent="0.2">
      <c r="A511" s="65">
        <v>1</v>
      </c>
      <c r="B511" s="65">
        <v>3600</v>
      </c>
    </row>
    <row r="512" spans="1:2" x14ac:dyDescent="0.2">
      <c r="A512" s="51">
        <v>2</v>
      </c>
      <c r="B512" s="51">
        <v>7500</v>
      </c>
    </row>
    <row r="513" spans="1:2" x14ac:dyDescent="0.2">
      <c r="A513" s="65">
        <v>1</v>
      </c>
      <c r="B513" s="65">
        <v>1200</v>
      </c>
    </row>
    <row r="514" spans="1:2" x14ac:dyDescent="0.2">
      <c r="A514" s="51">
        <v>1</v>
      </c>
      <c r="B514" s="51">
        <v>430</v>
      </c>
    </row>
    <row r="515" spans="1:2" x14ac:dyDescent="0.2">
      <c r="A515" s="65">
        <v>1</v>
      </c>
      <c r="B515" s="65">
        <v>1000</v>
      </c>
    </row>
    <row r="516" spans="1:2" x14ac:dyDescent="0.2">
      <c r="A516" s="51">
        <v>1</v>
      </c>
      <c r="B516" s="51">
        <v>1100</v>
      </c>
    </row>
    <row r="517" spans="1:2" x14ac:dyDescent="0.2">
      <c r="A517" s="65">
        <v>2</v>
      </c>
      <c r="B517" s="65">
        <v>3000</v>
      </c>
    </row>
    <row r="518" spans="1:2" x14ac:dyDescent="0.2">
      <c r="A518" s="51">
        <v>1</v>
      </c>
      <c r="B518" s="51">
        <v>900</v>
      </c>
    </row>
    <row r="519" spans="1:2" x14ac:dyDescent="0.2">
      <c r="A519" s="65">
        <v>1</v>
      </c>
      <c r="B519" s="65">
        <v>1900</v>
      </c>
    </row>
    <row r="520" spans="1:2" x14ac:dyDescent="0.2">
      <c r="A520" s="51">
        <v>1</v>
      </c>
      <c r="B520" s="51">
        <v>650</v>
      </c>
    </row>
    <row r="521" spans="1:2" x14ac:dyDescent="0.2">
      <c r="A521" s="65">
        <v>2</v>
      </c>
      <c r="B521" s="65">
        <v>8700</v>
      </c>
    </row>
    <row r="522" spans="1:2" x14ac:dyDescent="0.2">
      <c r="A522" s="51">
        <v>1</v>
      </c>
      <c r="B522" s="51">
        <v>3000</v>
      </c>
    </row>
    <row r="523" spans="1:2" x14ac:dyDescent="0.2">
      <c r="A523" s="65">
        <v>2</v>
      </c>
      <c r="B523" s="65">
        <v>3600</v>
      </c>
    </row>
    <row r="524" spans="1:2" x14ac:dyDescent="0.2">
      <c r="A524" s="51">
        <v>1</v>
      </c>
      <c r="B524" s="51">
        <v>600</v>
      </c>
    </row>
    <row r="525" spans="1:2" x14ac:dyDescent="0.2">
      <c r="A525" s="65">
        <v>1</v>
      </c>
      <c r="B525" s="65">
        <v>1300</v>
      </c>
    </row>
    <row r="526" spans="1:2" x14ac:dyDescent="0.2">
      <c r="A526" s="51">
        <v>2</v>
      </c>
      <c r="B526" s="51">
        <v>3000</v>
      </c>
    </row>
    <row r="527" spans="1:2" x14ac:dyDescent="0.2">
      <c r="A527" s="65">
        <v>1</v>
      </c>
      <c r="B527" s="65">
        <v>980</v>
      </c>
    </row>
    <row r="528" spans="1:2" x14ac:dyDescent="0.2">
      <c r="A528" s="51">
        <v>1</v>
      </c>
      <c r="B528" s="51">
        <v>910</v>
      </c>
    </row>
    <row r="529" spans="1:2" x14ac:dyDescent="0.2">
      <c r="A529" s="65">
        <v>1</v>
      </c>
      <c r="B529" s="65">
        <v>2300</v>
      </c>
    </row>
    <row r="530" spans="1:2" x14ac:dyDescent="0.2">
      <c r="A530" s="51">
        <v>1</v>
      </c>
      <c r="B530" s="51">
        <v>2300</v>
      </c>
    </row>
    <row r="531" spans="1:2" x14ac:dyDescent="0.2">
      <c r="A531" s="65">
        <v>1</v>
      </c>
      <c r="B531" s="65">
        <v>630</v>
      </c>
    </row>
    <row r="532" spans="1:2" x14ac:dyDescent="0.2">
      <c r="A532" s="51">
        <v>1</v>
      </c>
      <c r="B532" s="51">
        <v>1820</v>
      </c>
    </row>
    <row r="533" spans="1:2" x14ac:dyDescent="0.2">
      <c r="A533" s="65">
        <v>2</v>
      </c>
      <c r="B533" s="65">
        <v>3900</v>
      </c>
    </row>
    <row r="534" spans="1:2" x14ac:dyDescent="0.2">
      <c r="A534" s="51">
        <v>1</v>
      </c>
      <c r="B534" s="51">
        <v>780</v>
      </c>
    </row>
    <row r="535" spans="1:2" x14ac:dyDescent="0.2">
      <c r="A535" s="65">
        <v>2</v>
      </c>
      <c r="B535" s="65">
        <v>3200</v>
      </c>
    </row>
    <row r="536" spans="1:2" x14ac:dyDescent="0.2">
      <c r="A536" s="51">
        <v>2</v>
      </c>
      <c r="B536" s="51">
        <v>6700</v>
      </c>
    </row>
    <row r="537" spans="1:2" x14ac:dyDescent="0.2">
      <c r="A537" s="65">
        <v>1</v>
      </c>
      <c r="B537" s="65">
        <v>780</v>
      </c>
    </row>
    <row r="538" spans="1:2" x14ac:dyDescent="0.2">
      <c r="A538" s="51">
        <v>2</v>
      </c>
      <c r="B538" s="51">
        <v>3900</v>
      </c>
    </row>
    <row r="539" spans="1:2" x14ac:dyDescent="0.2">
      <c r="A539" s="65">
        <v>1</v>
      </c>
      <c r="B539" s="65">
        <v>3520</v>
      </c>
    </row>
    <row r="540" spans="1:2" x14ac:dyDescent="0.2">
      <c r="A540" s="51">
        <v>1</v>
      </c>
      <c r="B540" s="51">
        <v>1049</v>
      </c>
    </row>
    <row r="541" spans="1:2" x14ac:dyDescent="0.2">
      <c r="A541" s="65">
        <v>1</v>
      </c>
      <c r="B541" s="65">
        <v>530</v>
      </c>
    </row>
    <row r="542" spans="1:2" x14ac:dyDescent="0.2">
      <c r="A542" s="51">
        <v>1</v>
      </c>
      <c r="B542" s="51">
        <v>4890</v>
      </c>
    </row>
    <row r="543" spans="1:2" x14ac:dyDescent="0.2">
      <c r="A543" s="65">
        <v>1</v>
      </c>
      <c r="B543" s="65">
        <v>1180</v>
      </c>
    </row>
    <row r="544" spans="1:2" x14ac:dyDescent="0.2">
      <c r="A544" s="51">
        <v>2</v>
      </c>
      <c r="B544" s="51">
        <v>8100</v>
      </c>
    </row>
    <row r="545" spans="1:2" x14ac:dyDescent="0.2">
      <c r="A545" s="65">
        <v>2</v>
      </c>
      <c r="B545" s="65">
        <v>2600</v>
      </c>
    </row>
    <row r="546" spans="1:2" x14ac:dyDescent="0.2">
      <c r="A546" s="51">
        <v>3</v>
      </c>
      <c r="B546" s="51">
        <v>3000</v>
      </c>
    </row>
    <row r="547" spans="1:2" x14ac:dyDescent="0.2">
      <c r="A547" s="65">
        <v>2</v>
      </c>
      <c r="B547" s="90">
        <v>555</v>
      </c>
    </row>
    <row r="548" spans="1:2" x14ac:dyDescent="0.2">
      <c r="A548" s="51">
        <v>1</v>
      </c>
      <c r="B548" s="89">
        <v>650</v>
      </c>
    </row>
    <row r="549" spans="1:2" x14ac:dyDescent="0.2">
      <c r="A549" s="65">
        <v>1</v>
      </c>
      <c r="B549" s="90">
        <v>750</v>
      </c>
    </row>
    <row r="550" spans="1:2" x14ac:dyDescent="0.2">
      <c r="A550" s="51">
        <v>1</v>
      </c>
      <c r="B550" s="89">
        <v>950</v>
      </c>
    </row>
    <row r="551" spans="1:2" x14ac:dyDescent="0.2">
      <c r="A551" s="65">
        <v>2</v>
      </c>
      <c r="B551" s="90">
        <v>1000</v>
      </c>
    </row>
    <row r="552" spans="1:2" x14ac:dyDescent="0.2">
      <c r="A552" s="51">
        <v>1</v>
      </c>
      <c r="B552" s="51">
        <v>3000</v>
      </c>
    </row>
    <row r="553" spans="1:2" x14ac:dyDescent="0.2">
      <c r="A553" s="65">
        <v>1</v>
      </c>
      <c r="B553" s="90">
        <v>1000</v>
      </c>
    </row>
    <row r="554" spans="1:2" x14ac:dyDescent="0.2">
      <c r="A554" s="51">
        <v>1</v>
      </c>
      <c r="B554" s="89">
        <v>750</v>
      </c>
    </row>
    <row r="555" spans="1:2" x14ac:dyDescent="0.2">
      <c r="A555" s="65">
        <v>1</v>
      </c>
      <c r="B555" s="90">
        <v>950</v>
      </c>
    </row>
    <row r="556" spans="1:2" x14ac:dyDescent="0.2">
      <c r="A556" s="51">
        <v>2</v>
      </c>
      <c r="B556" s="51">
        <v>2600</v>
      </c>
    </row>
    <row r="557" spans="1:2" x14ac:dyDescent="0.2">
      <c r="A557" s="65">
        <v>2</v>
      </c>
      <c r="B557" s="65">
        <v>8100</v>
      </c>
    </row>
    <row r="558" spans="1:2" x14ac:dyDescent="0.2">
      <c r="A558" s="51">
        <v>1</v>
      </c>
      <c r="B558" s="51">
        <v>1170</v>
      </c>
    </row>
    <row r="559" spans="1:2" x14ac:dyDescent="0.2">
      <c r="A559" s="65">
        <v>1</v>
      </c>
      <c r="B559" s="65">
        <v>4480</v>
      </c>
    </row>
    <row r="560" spans="1:2" x14ac:dyDescent="0.2">
      <c r="A560" s="51">
        <v>2</v>
      </c>
      <c r="B560" s="51">
        <v>3510</v>
      </c>
    </row>
    <row r="561" spans="1:2" x14ac:dyDescent="0.2">
      <c r="A561" s="65">
        <v>1</v>
      </c>
      <c r="B561" s="65">
        <v>520</v>
      </c>
    </row>
    <row r="562" spans="1:2" x14ac:dyDescent="0.2">
      <c r="A562" s="51">
        <v>2</v>
      </c>
      <c r="B562" s="51">
        <v>7200</v>
      </c>
    </row>
    <row r="563" spans="1:2" x14ac:dyDescent="0.2">
      <c r="A563" s="65">
        <v>1</v>
      </c>
      <c r="B563" s="65">
        <v>1560</v>
      </c>
    </row>
    <row r="564" spans="1:2" x14ac:dyDescent="0.2">
      <c r="A564" s="51">
        <v>1</v>
      </c>
      <c r="B564" s="51">
        <v>520</v>
      </c>
    </row>
    <row r="565" spans="1:2" x14ac:dyDescent="0.2">
      <c r="A565" s="65">
        <v>1</v>
      </c>
      <c r="B565" s="65">
        <v>1180</v>
      </c>
    </row>
    <row r="566" spans="1:2" x14ac:dyDescent="0.2">
      <c r="A566" s="51">
        <v>2</v>
      </c>
      <c r="B566" s="51">
        <v>6600</v>
      </c>
    </row>
    <row r="567" spans="1:2" x14ac:dyDescent="0.2">
      <c r="A567" s="65">
        <v>1</v>
      </c>
      <c r="B567" s="65">
        <v>680</v>
      </c>
    </row>
    <row r="568" spans="1:2" x14ac:dyDescent="0.2">
      <c r="A568" s="51">
        <v>1</v>
      </c>
      <c r="B568" s="51">
        <v>2000</v>
      </c>
    </row>
  </sheetData>
  <autoFilter ref="A1:B568"/>
  <conditionalFormatting sqref="A1:A568">
    <cfRule type="containsBlanks" dxfId="28" priority="6">
      <formula>LEN(TRIM(A1))=0</formula>
    </cfRule>
  </conditionalFormatting>
  <conditionalFormatting sqref="B1:B568">
    <cfRule type="containsBlanks" dxfId="27" priority="5">
      <formula>LEN(TRIM(B1))=0</formula>
    </cfRule>
  </conditionalFormatting>
  <conditionalFormatting sqref="D2:D358">
    <cfRule type="containsBlanks" dxfId="26" priority="4">
      <formula>LEN(TRIM(D2))=0</formula>
    </cfRule>
  </conditionalFormatting>
  <conditionalFormatting sqref="E2:E172">
    <cfRule type="containsBlanks" dxfId="25" priority="3">
      <formula>LEN(TRIM(E2))=0</formula>
    </cfRule>
  </conditionalFormatting>
  <conditionalFormatting sqref="F2:F39">
    <cfRule type="containsBlanks" dxfId="24" priority="2">
      <formula>LEN(TRIM(F2))=0</formula>
    </cfRule>
  </conditionalFormatting>
  <conditionalFormatting sqref="G2">
    <cfRule type="containsBlanks" dxfId="23" priority="1">
      <formula>LEN(TRIM(G2))=0</formula>
    </cfRule>
  </conditionalFormatting>
  <pageMargins left="0.7" right="0.7" top="0.75" bottom="0.75" header="0.3" footer="0.3"/>
  <pageSetup paperSize="9" orientation="portrait"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204"/>
  <sheetViews>
    <sheetView topLeftCell="A4" workbookViewId="0">
      <selection activeCell="M26" sqref="M26"/>
    </sheetView>
  </sheetViews>
  <sheetFormatPr defaultRowHeight="12.75" x14ac:dyDescent="0.2"/>
  <cols>
    <col min="1" max="1" width="12.85546875" customWidth="1"/>
    <col min="2" max="2" width="10.85546875" customWidth="1"/>
    <col min="3" max="3" width="11.7109375" customWidth="1"/>
    <col min="4" max="4" width="10.5703125" customWidth="1"/>
    <col min="6" max="6" width="13.28515625" customWidth="1"/>
    <col min="9" max="9" width="20.140625" customWidth="1"/>
    <col min="10" max="10" width="22.28515625" customWidth="1"/>
    <col min="11" max="11" width="16.28515625" customWidth="1"/>
    <col min="12" max="12" width="13.7109375" customWidth="1"/>
    <col min="13" max="13" width="13.42578125" customWidth="1"/>
    <col min="14" max="14" width="12.5703125" customWidth="1"/>
    <col min="15" max="15" width="10.5703125" customWidth="1"/>
  </cols>
  <sheetData>
    <row r="1" spans="1:13" ht="22.5" customHeight="1" x14ac:dyDescent="0.2">
      <c r="A1" s="103" t="s">
        <v>1607</v>
      </c>
      <c r="B1" s="103" t="s">
        <v>1608</v>
      </c>
      <c r="C1" s="103" t="s">
        <v>1609</v>
      </c>
      <c r="D1" s="103" t="s">
        <v>1610</v>
      </c>
      <c r="E1" s="103" t="s">
        <v>1612</v>
      </c>
      <c r="F1" s="103" t="s">
        <v>1611</v>
      </c>
    </row>
    <row r="2" spans="1:13" x14ac:dyDescent="0.2">
      <c r="A2" s="25">
        <v>3000</v>
      </c>
      <c r="B2" s="25">
        <v>9200</v>
      </c>
      <c r="C2" s="25">
        <v>10000</v>
      </c>
      <c r="D2" s="25">
        <v>6800</v>
      </c>
      <c r="E2" s="25">
        <v>8800</v>
      </c>
      <c r="F2" s="25">
        <v>9500</v>
      </c>
    </row>
    <row r="3" spans="1:13" x14ac:dyDescent="0.2">
      <c r="A3" s="27">
        <v>1200</v>
      </c>
      <c r="B3" s="27">
        <v>1000</v>
      </c>
      <c r="C3" s="27">
        <v>1000</v>
      </c>
      <c r="D3" s="27">
        <v>9000</v>
      </c>
      <c r="E3" s="27">
        <v>8500</v>
      </c>
      <c r="F3" s="27">
        <v>5800</v>
      </c>
    </row>
    <row r="4" spans="1:13" x14ac:dyDescent="0.2">
      <c r="A4" s="25">
        <v>1500</v>
      </c>
      <c r="B4" s="25">
        <v>1000</v>
      </c>
      <c r="C4" s="25">
        <v>1500</v>
      </c>
      <c r="D4" s="25">
        <v>9700</v>
      </c>
      <c r="E4" s="25">
        <v>12000</v>
      </c>
      <c r="F4" s="25">
        <v>14000</v>
      </c>
      <c r="I4" t="s">
        <v>1555</v>
      </c>
    </row>
    <row r="5" spans="1:13" x14ac:dyDescent="0.2">
      <c r="A5" s="27">
        <v>900</v>
      </c>
      <c r="B5" s="27">
        <v>3000</v>
      </c>
      <c r="C5" s="27">
        <v>8000</v>
      </c>
      <c r="D5" s="27">
        <v>9500</v>
      </c>
      <c r="E5" s="27">
        <v>11000</v>
      </c>
      <c r="F5" s="27">
        <v>8200</v>
      </c>
    </row>
    <row r="6" spans="1:13" ht="13.5" thickBot="1" x14ac:dyDescent="0.25">
      <c r="A6" s="25">
        <v>2000</v>
      </c>
      <c r="B6" s="25">
        <v>3000</v>
      </c>
      <c r="C6" s="25">
        <v>9000</v>
      </c>
      <c r="D6" s="25">
        <v>5500</v>
      </c>
      <c r="E6" s="25">
        <v>3200</v>
      </c>
      <c r="F6" s="25">
        <v>10200</v>
      </c>
      <c r="I6" t="s">
        <v>1556</v>
      </c>
    </row>
    <row r="7" spans="1:13" x14ac:dyDescent="0.2">
      <c r="A7" s="27">
        <v>1200</v>
      </c>
      <c r="B7" s="27">
        <v>5200</v>
      </c>
      <c r="C7" s="27">
        <v>2300</v>
      </c>
      <c r="D7" s="27">
        <v>2400</v>
      </c>
      <c r="E7" s="27">
        <v>5200</v>
      </c>
      <c r="F7" s="27">
        <v>9900</v>
      </c>
      <c r="I7" s="81" t="s">
        <v>1557</v>
      </c>
      <c r="J7" s="81" t="s">
        <v>1545</v>
      </c>
      <c r="K7" s="81" t="s">
        <v>1558</v>
      </c>
      <c r="L7" s="81" t="s">
        <v>1486</v>
      </c>
      <c r="M7" s="81" t="s">
        <v>1559</v>
      </c>
    </row>
    <row r="8" spans="1:13" x14ac:dyDescent="0.2">
      <c r="A8" s="25">
        <v>2700</v>
      </c>
      <c r="B8" s="25">
        <v>2400</v>
      </c>
      <c r="C8" s="25">
        <v>11100</v>
      </c>
      <c r="D8" s="25">
        <v>4500</v>
      </c>
      <c r="E8" s="25">
        <v>4900</v>
      </c>
      <c r="F8" s="25">
        <v>9000</v>
      </c>
      <c r="I8" s="79" t="s">
        <v>1607</v>
      </c>
      <c r="J8" s="79">
        <v>125</v>
      </c>
      <c r="K8" s="79">
        <v>163630</v>
      </c>
      <c r="L8" s="79">
        <v>1309.04</v>
      </c>
      <c r="M8" s="79">
        <v>4075202.2967741936</v>
      </c>
    </row>
    <row r="9" spans="1:13" x14ac:dyDescent="0.2">
      <c r="A9" s="27">
        <v>2900</v>
      </c>
      <c r="B9" s="27">
        <v>7000</v>
      </c>
      <c r="C9" s="27">
        <v>6000</v>
      </c>
      <c r="D9" s="27">
        <v>5500</v>
      </c>
      <c r="E9" s="27">
        <v>12000</v>
      </c>
      <c r="F9" s="27">
        <v>10000</v>
      </c>
      <c r="I9" s="79" t="s">
        <v>1608</v>
      </c>
      <c r="J9" s="79">
        <v>101</v>
      </c>
      <c r="K9" s="79">
        <v>206954</v>
      </c>
      <c r="L9" s="79">
        <v>2049.0495049504952</v>
      </c>
      <c r="M9" s="79">
        <v>10498319.347524753</v>
      </c>
    </row>
    <row r="10" spans="1:13" x14ac:dyDescent="0.2">
      <c r="A10" s="25">
        <v>650</v>
      </c>
      <c r="B10" s="25">
        <v>5200</v>
      </c>
      <c r="C10" s="25">
        <v>8200</v>
      </c>
      <c r="D10" s="25">
        <v>10000</v>
      </c>
      <c r="E10" s="25">
        <v>5000</v>
      </c>
      <c r="F10" s="25">
        <v>14000</v>
      </c>
      <c r="I10" s="79" t="s">
        <v>1609</v>
      </c>
      <c r="J10" s="79">
        <v>203</v>
      </c>
      <c r="K10" s="79">
        <v>726270</v>
      </c>
      <c r="L10" s="79">
        <v>3577.6847290640394</v>
      </c>
      <c r="M10" s="79">
        <v>9847244.6129834652</v>
      </c>
    </row>
    <row r="11" spans="1:13" x14ac:dyDescent="0.2">
      <c r="A11" s="27">
        <v>500</v>
      </c>
      <c r="B11" s="27">
        <v>1500</v>
      </c>
      <c r="C11" s="27">
        <v>5200</v>
      </c>
      <c r="D11" s="27">
        <v>4800</v>
      </c>
      <c r="E11" s="27">
        <v>5200</v>
      </c>
      <c r="F11" s="27">
        <v>12500</v>
      </c>
      <c r="I11" s="79" t="s">
        <v>1610</v>
      </c>
      <c r="J11" s="79">
        <v>98</v>
      </c>
      <c r="K11" s="79">
        <v>482739</v>
      </c>
      <c r="L11" s="79">
        <v>4925.908163265306</v>
      </c>
      <c r="M11" s="79">
        <v>10202292.785293501</v>
      </c>
    </row>
    <row r="12" spans="1:13" x14ac:dyDescent="0.2">
      <c r="A12" s="25">
        <v>850</v>
      </c>
      <c r="B12" s="25">
        <v>1400</v>
      </c>
      <c r="C12" s="25">
        <v>900</v>
      </c>
      <c r="D12" s="25">
        <v>3200</v>
      </c>
      <c r="E12" s="28">
        <v>1000</v>
      </c>
      <c r="F12" s="25">
        <v>13200</v>
      </c>
      <c r="I12" s="79" t="s">
        <v>1612</v>
      </c>
      <c r="J12" s="79">
        <v>23</v>
      </c>
      <c r="K12" s="79">
        <v>141070</v>
      </c>
      <c r="L12" s="79">
        <v>6133.478260869565</v>
      </c>
      <c r="M12" s="79">
        <v>12504241.897233199</v>
      </c>
    </row>
    <row r="13" spans="1:13" ht="13.5" thickBot="1" x14ac:dyDescent="0.25">
      <c r="A13" s="27">
        <v>850</v>
      </c>
      <c r="B13" s="27">
        <v>700</v>
      </c>
      <c r="C13" s="27">
        <v>3200</v>
      </c>
      <c r="D13" s="27">
        <v>650</v>
      </c>
      <c r="E13" s="27">
        <v>3900</v>
      </c>
      <c r="F13" s="27">
        <v>13800</v>
      </c>
      <c r="I13" s="80" t="s">
        <v>1611</v>
      </c>
      <c r="J13" s="80">
        <v>17</v>
      </c>
      <c r="K13" s="80">
        <v>171100</v>
      </c>
      <c r="L13" s="80">
        <v>10064.705882352941</v>
      </c>
      <c r="M13" s="80">
        <v>16638676.470588237</v>
      </c>
    </row>
    <row r="14" spans="1:13" x14ac:dyDescent="0.2">
      <c r="A14" s="25">
        <v>200</v>
      </c>
      <c r="B14" s="25">
        <v>5000</v>
      </c>
      <c r="C14" s="25">
        <v>6800</v>
      </c>
      <c r="D14" s="25">
        <v>2600</v>
      </c>
      <c r="E14" s="25">
        <v>14500</v>
      </c>
      <c r="F14" s="25">
        <v>15600</v>
      </c>
    </row>
    <row r="15" spans="1:13" x14ac:dyDescent="0.2">
      <c r="A15" s="27">
        <v>750</v>
      </c>
      <c r="B15" s="27">
        <v>650</v>
      </c>
      <c r="C15" s="27">
        <v>2700</v>
      </c>
      <c r="D15" s="27">
        <v>9000</v>
      </c>
      <c r="E15" s="27">
        <v>9600</v>
      </c>
      <c r="F15" s="27">
        <v>14800</v>
      </c>
    </row>
    <row r="16" spans="1:13" ht="13.5" thickBot="1" x14ac:dyDescent="0.25">
      <c r="A16" s="25">
        <v>650</v>
      </c>
      <c r="B16" s="25">
        <v>650</v>
      </c>
      <c r="C16" s="25">
        <v>4000</v>
      </c>
      <c r="D16" s="25">
        <v>9500</v>
      </c>
      <c r="E16" s="25">
        <v>4400</v>
      </c>
      <c r="F16" s="25">
        <v>4100</v>
      </c>
      <c r="I16" t="s">
        <v>1560</v>
      </c>
    </row>
    <row r="17" spans="1:15" x14ac:dyDescent="0.2">
      <c r="A17" s="27">
        <v>650</v>
      </c>
      <c r="B17" s="27">
        <v>900</v>
      </c>
      <c r="C17" s="27">
        <v>7500</v>
      </c>
      <c r="D17" s="27">
        <v>5500</v>
      </c>
      <c r="E17" s="27">
        <v>3250</v>
      </c>
      <c r="F17" s="27">
        <v>3900</v>
      </c>
      <c r="I17" s="81" t="s">
        <v>1561</v>
      </c>
      <c r="J17" s="81" t="s">
        <v>1562</v>
      </c>
      <c r="K17" s="81" t="s">
        <v>1563</v>
      </c>
      <c r="L17" s="81" t="s">
        <v>1564</v>
      </c>
      <c r="M17" s="81" t="s">
        <v>1565</v>
      </c>
      <c r="N17" s="81" t="s">
        <v>1566</v>
      </c>
      <c r="O17" s="81" t="s">
        <v>1567</v>
      </c>
    </row>
    <row r="18" spans="1:15" x14ac:dyDescent="0.2">
      <c r="A18" s="25">
        <v>1000</v>
      </c>
      <c r="B18" s="25">
        <v>1200</v>
      </c>
      <c r="C18" s="25">
        <v>4800</v>
      </c>
      <c r="D18" s="25">
        <v>7100</v>
      </c>
      <c r="E18" s="25">
        <v>3900</v>
      </c>
      <c r="F18" s="25">
        <v>2600</v>
      </c>
      <c r="I18" s="79" t="s">
        <v>1568</v>
      </c>
      <c r="J18" s="79">
        <v>1890112415.0699787</v>
      </c>
      <c r="K18" s="79">
        <v>5</v>
      </c>
      <c r="L18" s="79">
        <v>378022483.01399577</v>
      </c>
      <c r="M18" s="79">
        <v>41.785378202104127</v>
      </c>
      <c r="N18" s="79">
        <v>1.3889176534322496E-36</v>
      </c>
      <c r="O18" s="79">
        <v>2.2300842261968894</v>
      </c>
    </row>
    <row r="19" spans="1:15" x14ac:dyDescent="0.2">
      <c r="A19" s="27">
        <v>1000</v>
      </c>
      <c r="B19" s="27">
        <v>9500</v>
      </c>
      <c r="C19" s="27">
        <v>2300</v>
      </c>
      <c r="D19" s="27">
        <v>4900</v>
      </c>
      <c r="E19" s="27">
        <v>4160</v>
      </c>
      <c r="I19" s="79" t="s">
        <v>1569</v>
      </c>
      <c r="J19" s="79">
        <v>5075234976.8171463</v>
      </c>
      <c r="K19" s="79">
        <v>561</v>
      </c>
      <c r="L19" s="79">
        <v>9046764.6645581927</v>
      </c>
      <c r="M19" s="79"/>
      <c r="N19" s="79"/>
      <c r="O19" s="79"/>
    </row>
    <row r="20" spans="1:15" x14ac:dyDescent="0.2">
      <c r="A20" s="25">
        <v>700</v>
      </c>
      <c r="B20" s="25">
        <v>1500</v>
      </c>
      <c r="C20" s="25">
        <v>2000</v>
      </c>
      <c r="D20" s="25">
        <v>5200</v>
      </c>
      <c r="E20" s="25">
        <v>4350</v>
      </c>
      <c r="I20" s="79"/>
      <c r="J20" s="79"/>
      <c r="K20" s="79"/>
      <c r="L20" s="79"/>
      <c r="M20" s="79"/>
      <c r="N20" s="79"/>
      <c r="O20" s="79"/>
    </row>
    <row r="21" spans="1:15" ht="13.5" thickBot="1" x14ac:dyDescent="0.25">
      <c r="A21" s="27">
        <v>750</v>
      </c>
      <c r="B21" s="27">
        <v>900</v>
      </c>
      <c r="C21" s="27">
        <v>5000</v>
      </c>
      <c r="D21" s="27">
        <v>9200</v>
      </c>
      <c r="E21" s="27">
        <v>4800</v>
      </c>
      <c r="I21" s="80" t="s">
        <v>1570</v>
      </c>
      <c r="J21" s="80">
        <v>6965347391.887125</v>
      </c>
      <c r="K21" s="80">
        <v>566</v>
      </c>
      <c r="L21" s="80"/>
      <c r="M21" s="80"/>
      <c r="N21" s="80"/>
      <c r="O21" s="80"/>
    </row>
    <row r="22" spans="1:15" x14ac:dyDescent="0.2">
      <c r="A22" s="25">
        <v>1000</v>
      </c>
      <c r="B22" s="25">
        <v>1100</v>
      </c>
      <c r="C22" s="25">
        <v>12000</v>
      </c>
      <c r="D22" s="25">
        <v>6000</v>
      </c>
      <c r="E22" s="25">
        <v>3000</v>
      </c>
    </row>
    <row r="23" spans="1:15" x14ac:dyDescent="0.2">
      <c r="A23" s="27">
        <v>2000</v>
      </c>
      <c r="B23" s="27">
        <v>1300</v>
      </c>
      <c r="C23" s="27">
        <v>4200</v>
      </c>
      <c r="D23" s="27">
        <v>7000</v>
      </c>
      <c r="E23" s="27">
        <v>3520</v>
      </c>
    </row>
    <row r="24" spans="1:15" ht="13.5" thickBot="1" x14ac:dyDescent="0.25">
      <c r="A24" s="25">
        <v>1200</v>
      </c>
      <c r="B24" s="25">
        <v>650</v>
      </c>
      <c r="C24" s="25">
        <v>3600</v>
      </c>
      <c r="D24" s="25">
        <v>1800</v>
      </c>
      <c r="E24" s="25">
        <v>4890</v>
      </c>
      <c r="I24" s="19" t="s">
        <v>1613</v>
      </c>
      <c r="L24" s="53" t="s">
        <v>1654</v>
      </c>
    </row>
    <row r="25" spans="1:15" ht="15.75" x14ac:dyDescent="0.25">
      <c r="A25" s="27">
        <v>650</v>
      </c>
      <c r="B25" s="27">
        <v>720</v>
      </c>
      <c r="C25" s="27">
        <v>3800</v>
      </c>
      <c r="D25" s="29">
        <v>750</v>
      </c>
      <c r="I25" s="81" t="s">
        <v>1614</v>
      </c>
      <c r="J25" s="81" t="s">
        <v>1615</v>
      </c>
      <c r="L25" s="153" t="s">
        <v>1668</v>
      </c>
      <c r="M25">
        <f>J18/J21</f>
        <v>0.2713593893782647</v>
      </c>
    </row>
    <row r="26" spans="1:15" x14ac:dyDescent="0.2">
      <c r="A26" s="25">
        <v>600</v>
      </c>
      <c r="B26" s="25">
        <v>1200</v>
      </c>
      <c r="C26" s="25">
        <v>2300</v>
      </c>
      <c r="D26" s="25">
        <v>1800</v>
      </c>
      <c r="I26" s="79" t="s">
        <v>1607</v>
      </c>
      <c r="J26" s="79">
        <v>1309.04</v>
      </c>
    </row>
    <row r="27" spans="1:15" x14ac:dyDescent="0.2">
      <c r="A27" s="27">
        <v>700</v>
      </c>
      <c r="B27" s="27">
        <v>7000</v>
      </c>
      <c r="C27" s="27">
        <v>8200</v>
      </c>
      <c r="D27" s="27">
        <v>900</v>
      </c>
      <c r="I27" s="79" t="s">
        <v>1608</v>
      </c>
      <c r="J27" s="79">
        <v>2049.0495049504952</v>
      </c>
      <c r="L27" s="19" t="s">
        <v>1669</v>
      </c>
    </row>
    <row r="28" spans="1:15" x14ac:dyDescent="0.2">
      <c r="A28" s="25">
        <v>700</v>
      </c>
      <c r="B28" s="25">
        <v>600</v>
      </c>
      <c r="C28" s="25">
        <v>2400</v>
      </c>
      <c r="D28" s="25">
        <v>7000</v>
      </c>
      <c r="I28" s="79" t="s">
        <v>1609</v>
      </c>
      <c r="J28" s="79">
        <v>3577.6847290640394</v>
      </c>
    </row>
    <row r="29" spans="1:15" x14ac:dyDescent="0.2">
      <c r="A29" s="27">
        <v>3000</v>
      </c>
      <c r="B29" s="27">
        <v>5800</v>
      </c>
      <c r="C29" s="27">
        <v>4300</v>
      </c>
      <c r="D29" s="27">
        <v>3200</v>
      </c>
      <c r="I29" s="79" t="s">
        <v>1610</v>
      </c>
      <c r="J29" s="79">
        <v>4925.908163265306</v>
      </c>
    </row>
    <row r="30" spans="1:15" x14ac:dyDescent="0.2">
      <c r="A30" s="25">
        <v>580</v>
      </c>
      <c r="B30" s="25">
        <v>8500</v>
      </c>
      <c r="C30" s="25">
        <v>3400</v>
      </c>
      <c r="D30" s="25">
        <v>8500</v>
      </c>
      <c r="I30" s="79" t="s">
        <v>1612</v>
      </c>
      <c r="J30" s="79">
        <v>6133.478260869565</v>
      </c>
    </row>
    <row r="31" spans="1:15" ht="13.5" thickBot="1" x14ac:dyDescent="0.25">
      <c r="A31" s="27">
        <v>500</v>
      </c>
      <c r="B31" s="27">
        <v>650</v>
      </c>
      <c r="C31" s="27">
        <v>4800</v>
      </c>
      <c r="D31" s="27">
        <v>3600</v>
      </c>
      <c r="I31" s="80" t="s">
        <v>1611</v>
      </c>
      <c r="J31" s="80">
        <v>10064.705882352941</v>
      </c>
    </row>
    <row r="32" spans="1:15" x14ac:dyDescent="0.2">
      <c r="A32" s="25">
        <v>720</v>
      </c>
      <c r="B32" s="25">
        <v>650</v>
      </c>
      <c r="C32" s="25">
        <v>750</v>
      </c>
      <c r="D32" s="25">
        <v>1200</v>
      </c>
    </row>
    <row r="33" spans="1:4" x14ac:dyDescent="0.2">
      <c r="A33" s="27">
        <v>850</v>
      </c>
      <c r="B33" s="27">
        <v>600</v>
      </c>
      <c r="C33" s="27">
        <v>1100</v>
      </c>
      <c r="D33" s="27">
        <v>9000</v>
      </c>
    </row>
    <row r="34" spans="1:4" x14ac:dyDescent="0.2">
      <c r="A34" s="25">
        <v>720</v>
      </c>
      <c r="B34" s="25">
        <v>750</v>
      </c>
      <c r="C34" s="25">
        <v>2500</v>
      </c>
      <c r="D34" s="25">
        <v>10200</v>
      </c>
    </row>
    <row r="35" spans="1:4" x14ac:dyDescent="0.2">
      <c r="A35" s="27">
        <v>650</v>
      </c>
      <c r="B35" s="27">
        <v>20000</v>
      </c>
      <c r="C35" s="27">
        <v>1400</v>
      </c>
      <c r="D35" s="27">
        <v>10800</v>
      </c>
    </row>
    <row r="36" spans="1:4" x14ac:dyDescent="0.2">
      <c r="A36" s="25">
        <v>700</v>
      </c>
      <c r="B36" s="28">
        <v>950</v>
      </c>
      <c r="C36" s="25">
        <v>5600</v>
      </c>
      <c r="D36" s="25">
        <v>3609</v>
      </c>
    </row>
    <row r="37" spans="1:4" x14ac:dyDescent="0.2">
      <c r="A37" s="27">
        <v>600</v>
      </c>
      <c r="B37" s="27">
        <v>650</v>
      </c>
      <c r="C37" s="27">
        <v>780</v>
      </c>
      <c r="D37" s="27">
        <v>1900</v>
      </c>
    </row>
    <row r="38" spans="1:4" x14ac:dyDescent="0.2">
      <c r="A38" s="25">
        <v>600</v>
      </c>
      <c r="B38" s="25">
        <v>5200</v>
      </c>
      <c r="C38" s="25">
        <v>4800</v>
      </c>
      <c r="D38" s="25">
        <v>9700</v>
      </c>
    </row>
    <row r="39" spans="1:4" x14ac:dyDescent="0.2">
      <c r="A39" s="27">
        <v>500</v>
      </c>
      <c r="B39" s="27">
        <v>900</v>
      </c>
      <c r="C39" s="27">
        <v>6400</v>
      </c>
      <c r="D39" s="27">
        <v>3700</v>
      </c>
    </row>
    <row r="40" spans="1:4" x14ac:dyDescent="0.2">
      <c r="A40" s="25">
        <v>1000</v>
      </c>
      <c r="B40" s="25">
        <v>800</v>
      </c>
      <c r="C40" s="25">
        <v>990</v>
      </c>
      <c r="D40" s="25">
        <v>4200</v>
      </c>
    </row>
    <row r="41" spans="1:4" x14ac:dyDescent="0.2">
      <c r="A41" s="27">
        <v>900</v>
      </c>
      <c r="B41" s="27">
        <v>600</v>
      </c>
      <c r="C41" s="27">
        <v>5000</v>
      </c>
      <c r="D41" s="27">
        <v>12000</v>
      </c>
    </row>
    <row r="42" spans="1:4" x14ac:dyDescent="0.2">
      <c r="A42" s="25">
        <v>850</v>
      </c>
      <c r="B42" s="25">
        <v>1000</v>
      </c>
      <c r="C42" s="25">
        <v>4200</v>
      </c>
      <c r="D42" s="25">
        <v>4200</v>
      </c>
    </row>
    <row r="43" spans="1:4" x14ac:dyDescent="0.2">
      <c r="A43" s="27">
        <v>550</v>
      </c>
      <c r="B43" s="27">
        <v>1000</v>
      </c>
      <c r="C43" s="27">
        <v>9500</v>
      </c>
      <c r="D43" s="27">
        <v>12800</v>
      </c>
    </row>
    <row r="44" spans="1:4" x14ac:dyDescent="0.2">
      <c r="A44" s="25">
        <v>600</v>
      </c>
      <c r="B44" s="25">
        <v>15000</v>
      </c>
      <c r="C44" s="25">
        <v>1700</v>
      </c>
      <c r="D44" s="25">
        <v>4000</v>
      </c>
    </row>
    <row r="45" spans="1:4" x14ac:dyDescent="0.2">
      <c r="A45" s="27">
        <v>500</v>
      </c>
      <c r="B45" s="27">
        <v>4200</v>
      </c>
      <c r="C45" s="27">
        <v>3800</v>
      </c>
      <c r="D45" s="27">
        <v>4500</v>
      </c>
    </row>
    <row r="46" spans="1:4" x14ac:dyDescent="0.2">
      <c r="A46" s="25">
        <v>850</v>
      </c>
      <c r="B46" s="25">
        <v>650</v>
      </c>
      <c r="C46" s="25">
        <v>8700</v>
      </c>
      <c r="D46" s="25">
        <v>10800</v>
      </c>
    </row>
    <row r="47" spans="1:4" x14ac:dyDescent="0.2">
      <c r="A47" s="27">
        <v>450</v>
      </c>
      <c r="B47" s="27">
        <v>4200</v>
      </c>
      <c r="C47" s="27">
        <v>4800</v>
      </c>
      <c r="D47" s="27">
        <v>4000</v>
      </c>
    </row>
    <row r="48" spans="1:4" x14ac:dyDescent="0.2">
      <c r="A48" s="25">
        <v>1500</v>
      </c>
      <c r="B48" s="25">
        <v>1500</v>
      </c>
      <c r="C48" s="25">
        <v>3500</v>
      </c>
      <c r="D48" s="25">
        <v>4300</v>
      </c>
    </row>
    <row r="49" spans="1:4" x14ac:dyDescent="0.2">
      <c r="A49" s="27">
        <v>3000</v>
      </c>
      <c r="B49" s="27">
        <v>14000</v>
      </c>
      <c r="C49" s="27">
        <v>4000</v>
      </c>
      <c r="D49" s="27">
        <v>3000</v>
      </c>
    </row>
    <row r="50" spans="1:4" x14ac:dyDescent="0.2">
      <c r="A50" s="25">
        <v>20000</v>
      </c>
      <c r="B50" s="25">
        <v>750</v>
      </c>
      <c r="C50" s="25">
        <v>1600</v>
      </c>
      <c r="D50" s="25">
        <v>11800</v>
      </c>
    </row>
    <row r="51" spans="1:4" x14ac:dyDescent="0.2">
      <c r="A51" s="29">
        <v>850</v>
      </c>
      <c r="B51" s="27">
        <v>500</v>
      </c>
      <c r="C51" s="27">
        <v>550</v>
      </c>
      <c r="D51" s="27">
        <v>8300</v>
      </c>
    </row>
    <row r="52" spans="1:4" x14ac:dyDescent="0.2">
      <c r="A52" s="25">
        <v>1000</v>
      </c>
      <c r="B52" s="28">
        <v>1000</v>
      </c>
      <c r="C52" s="25">
        <v>1600</v>
      </c>
      <c r="D52" s="25">
        <v>330</v>
      </c>
    </row>
    <row r="53" spans="1:4" x14ac:dyDescent="0.2">
      <c r="A53" s="27">
        <v>5500</v>
      </c>
      <c r="B53" s="27">
        <v>2000</v>
      </c>
      <c r="C53" s="27">
        <v>9000</v>
      </c>
      <c r="D53" s="27">
        <v>3200</v>
      </c>
    </row>
    <row r="54" spans="1:4" x14ac:dyDescent="0.2">
      <c r="A54" s="25">
        <v>400</v>
      </c>
      <c r="B54" s="25">
        <v>4000</v>
      </c>
      <c r="C54" s="25">
        <v>8200</v>
      </c>
      <c r="D54" s="25">
        <v>10600</v>
      </c>
    </row>
    <row r="55" spans="1:4" x14ac:dyDescent="0.2">
      <c r="A55" s="27">
        <v>7000</v>
      </c>
      <c r="B55" s="29">
        <v>1500</v>
      </c>
      <c r="C55" s="29">
        <v>1000</v>
      </c>
      <c r="D55" s="27">
        <v>2900</v>
      </c>
    </row>
    <row r="56" spans="1:4" x14ac:dyDescent="0.2">
      <c r="A56" s="28">
        <v>850</v>
      </c>
      <c r="B56" s="28">
        <v>550</v>
      </c>
      <c r="C56" s="28">
        <v>1000</v>
      </c>
      <c r="D56" s="25">
        <v>2000</v>
      </c>
    </row>
    <row r="57" spans="1:4" x14ac:dyDescent="0.2">
      <c r="A57" s="27">
        <v>7500</v>
      </c>
      <c r="B57" s="27">
        <v>3000</v>
      </c>
      <c r="C57" s="29">
        <v>950</v>
      </c>
      <c r="D57" s="27">
        <v>2200</v>
      </c>
    </row>
    <row r="58" spans="1:4" x14ac:dyDescent="0.2">
      <c r="A58" s="25">
        <v>5000</v>
      </c>
      <c r="B58" s="25">
        <v>500</v>
      </c>
      <c r="C58" s="25">
        <v>6000</v>
      </c>
      <c r="D58" s="25">
        <v>11000</v>
      </c>
    </row>
    <row r="59" spans="1:4" x14ac:dyDescent="0.2">
      <c r="A59" s="27">
        <v>1000</v>
      </c>
      <c r="B59" s="27">
        <v>400</v>
      </c>
      <c r="C59" s="27">
        <v>4500</v>
      </c>
      <c r="D59" s="27">
        <v>3900</v>
      </c>
    </row>
    <row r="60" spans="1:4" x14ac:dyDescent="0.2">
      <c r="A60" s="28">
        <v>1000</v>
      </c>
      <c r="B60" s="25">
        <v>500</v>
      </c>
      <c r="C60" s="25">
        <v>4500</v>
      </c>
      <c r="D60" s="25">
        <v>1300</v>
      </c>
    </row>
    <row r="61" spans="1:4" x14ac:dyDescent="0.2">
      <c r="A61" s="29">
        <v>1500</v>
      </c>
      <c r="B61" s="27">
        <v>4400</v>
      </c>
      <c r="C61" s="27">
        <v>1200</v>
      </c>
      <c r="D61" s="27">
        <v>4500</v>
      </c>
    </row>
    <row r="62" spans="1:4" x14ac:dyDescent="0.2">
      <c r="A62" s="28">
        <v>550</v>
      </c>
      <c r="B62" s="25">
        <v>400</v>
      </c>
      <c r="C62" s="25">
        <v>8000</v>
      </c>
      <c r="D62" s="25">
        <v>9200</v>
      </c>
    </row>
    <row r="63" spans="1:4" x14ac:dyDescent="0.2">
      <c r="A63" s="29">
        <v>1000</v>
      </c>
      <c r="B63" s="27">
        <v>520</v>
      </c>
      <c r="C63" s="27">
        <v>1400</v>
      </c>
      <c r="D63" s="27">
        <v>3900</v>
      </c>
    </row>
    <row r="64" spans="1:4" x14ac:dyDescent="0.2">
      <c r="A64" s="25">
        <v>400</v>
      </c>
      <c r="B64" s="25">
        <v>520</v>
      </c>
      <c r="C64" s="25">
        <v>7800</v>
      </c>
      <c r="D64" s="25">
        <v>4000</v>
      </c>
    </row>
    <row r="65" spans="1:4" x14ac:dyDescent="0.2">
      <c r="A65" s="27">
        <v>750</v>
      </c>
      <c r="B65" s="27">
        <v>420</v>
      </c>
      <c r="C65" s="27">
        <v>3800</v>
      </c>
      <c r="D65" s="27">
        <v>3700</v>
      </c>
    </row>
    <row r="66" spans="1:4" x14ac:dyDescent="0.2">
      <c r="A66" s="25">
        <v>900</v>
      </c>
      <c r="B66" s="25">
        <v>1000</v>
      </c>
      <c r="C66" s="25">
        <v>6700</v>
      </c>
      <c r="D66" s="25">
        <v>780</v>
      </c>
    </row>
    <row r="67" spans="1:4" x14ac:dyDescent="0.2">
      <c r="A67" s="27">
        <v>600</v>
      </c>
      <c r="B67" s="27">
        <v>3000</v>
      </c>
      <c r="C67" s="27">
        <v>4600</v>
      </c>
      <c r="D67" s="27">
        <v>3600</v>
      </c>
    </row>
    <row r="68" spans="1:4" x14ac:dyDescent="0.2">
      <c r="A68" s="25">
        <v>850</v>
      </c>
      <c r="B68" s="25">
        <v>300</v>
      </c>
      <c r="C68" s="25">
        <v>1300</v>
      </c>
      <c r="D68" s="25">
        <v>2080</v>
      </c>
    </row>
    <row r="69" spans="1:4" x14ac:dyDescent="0.2">
      <c r="A69" s="27">
        <v>1000</v>
      </c>
      <c r="B69" s="27">
        <v>1000</v>
      </c>
      <c r="C69" s="27">
        <v>750</v>
      </c>
      <c r="D69" s="27">
        <v>4160</v>
      </c>
    </row>
    <row r="70" spans="1:4" x14ac:dyDescent="0.2">
      <c r="A70" s="25">
        <v>1100</v>
      </c>
      <c r="B70" s="25">
        <v>520</v>
      </c>
      <c r="C70" s="25">
        <v>1600</v>
      </c>
      <c r="D70" s="25">
        <v>1430</v>
      </c>
    </row>
    <row r="71" spans="1:4" x14ac:dyDescent="0.2">
      <c r="A71" s="27">
        <v>1250</v>
      </c>
      <c r="B71" s="27">
        <v>1300</v>
      </c>
      <c r="C71" s="27">
        <v>3900</v>
      </c>
      <c r="D71" s="27">
        <v>7200</v>
      </c>
    </row>
    <row r="72" spans="1:4" x14ac:dyDescent="0.2">
      <c r="A72" s="25">
        <v>520</v>
      </c>
      <c r="B72" s="25">
        <v>350</v>
      </c>
      <c r="C72" s="25">
        <v>1450</v>
      </c>
      <c r="D72" s="25">
        <v>780</v>
      </c>
    </row>
    <row r="73" spans="1:4" x14ac:dyDescent="0.2">
      <c r="A73" s="27">
        <v>1000</v>
      </c>
      <c r="B73" s="27">
        <v>390</v>
      </c>
      <c r="C73" s="27">
        <v>4500</v>
      </c>
      <c r="D73" s="27">
        <v>3640</v>
      </c>
    </row>
    <row r="74" spans="1:4" x14ac:dyDescent="0.2">
      <c r="A74" s="25">
        <v>1300</v>
      </c>
      <c r="B74" s="25">
        <v>390</v>
      </c>
      <c r="C74" s="25">
        <v>500</v>
      </c>
      <c r="D74" s="25">
        <v>1820</v>
      </c>
    </row>
    <row r="75" spans="1:4" x14ac:dyDescent="0.2">
      <c r="A75" s="27">
        <v>1100</v>
      </c>
      <c r="B75" s="27">
        <v>260</v>
      </c>
      <c r="C75" s="27">
        <v>4200</v>
      </c>
      <c r="D75" s="27">
        <v>3510</v>
      </c>
    </row>
    <row r="76" spans="1:4" x14ac:dyDescent="0.2">
      <c r="A76" s="25">
        <v>1000</v>
      </c>
      <c r="B76" s="25">
        <v>390</v>
      </c>
      <c r="C76" s="25">
        <v>650</v>
      </c>
      <c r="D76" s="25">
        <v>2080</v>
      </c>
    </row>
    <row r="77" spans="1:4" x14ac:dyDescent="0.2">
      <c r="A77" s="27">
        <v>780</v>
      </c>
      <c r="B77" s="27">
        <v>390</v>
      </c>
      <c r="C77" s="27">
        <v>1150</v>
      </c>
      <c r="D77" s="27">
        <v>3380</v>
      </c>
    </row>
    <row r="78" spans="1:4" x14ac:dyDescent="0.2">
      <c r="A78" s="25">
        <v>1100</v>
      </c>
      <c r="B78" s="25">
        <v>1820</v>
      </c>
      <c r="C78" s="25">
        <v>650</v>
      </c>
      <c r="D78" s="25">
        <v>1950</v>
      </c>
    </row>
    <row r="79" spans="1:4" x14ac:dyDescent="0.2">
      <c r="A79" s="27">
        <v>650</v>
      </c>
      <c r="B79" s="27">
        <v>260</v>
      </c>
      <c r="C79" s="27">
        <v>3800</v>
      </c>
      <c r="D79" s="27">
        <v>5400</v>
      </c>
    </row>
    <row r="80" spans="1:4" x14ac:dyDescent="0.2">
      <c r="A80" s="25">
        <v>650</v>
      </c>
      <c r="B80" s="25">
        <v>390</v>
      </c>
      <c r="C80" s="25">
        <v>1000</v>
      </c>
      <c r="D80" s="25">
        <v>2000</v>
      </c>
    </row>
    <row r="81" spans="1:4" x14ac:dyDescent="0.2">
      <c r="A81" s="27">
        <v>390</v>
      </c>
      <c r="B81" s="27">
        <v>390</v>
      </c>
      <c r="C81" s="27">
        <v>650</v>
      </c>
      <c r="D81" s="27">
        <v>2800</v>
      </c>
    </row>
    <row r="82" spans="1:4" x14ac:dyDescent="0.2">
      <c r="A82" s="25">
        <v>850</v>
      </c>
      <c r="B82" s="25">
        <v>520</v>
      </c>
      <c r="C82" s="25">
        <v>1800</v>
      </c>
      <c r="D82" s="25">
        <v>7800</v>
      </c>
    </row>
    <row r="83" spans="1:4" x14ac:dyDescent="0.2">
      <c r="A83" s="27">
        <v>650</v>
      </c>
      <c r="B83" s="27">
        <v>520</v>
      </c>
      <c r="C83" s="27">
        <v>9200</v>
      </c>
      <c r="D83" s="27">
        <v>3500</v>
      </c>
    </row>
    <row r="84" spans="1:4" x14ac:dyDescent="0.2">
      <c r="A84" s="25">
        <v>850</v>
      </c>
      <c r="B84" s="25">
        <v>910</v>
      </c>
      <c r="C84" s="25">
        <v>3700</v>
      </c>
      <c r="D84" s="25">
        <v>2100</v>
      </c>
    </row>
    <row r="85" spans="1:4" x14ac:dyDescent="0.2">
      <c r="A85" s="27">
        <v>390</v>
      </c>
      <c r="B85" s="27">
        <v>1300</v>
      </c>
      <c r="C85" s="27">
        <v>900</v>
      </c>
      <c r="D85" s="27">
        <v>3200</v>
      </c>
    </row>
    <row r="86" spans="1:4" x14ac:dyDescent="0.2">
      <c r="A86" s="25">
        <v>520</v>
      </c>
      <c r="B86" s="25">
        <v>390</v>
      </c>
      <c r="C86" s="25">
        <v>650</v>
      </c>
      <c r="D86" s="25">
        <v>9300</v>
      </c>
    </row>
    <row r="87" spans="1:4" x14ac:dyDescent="0.2">
      <c r="A87" s="27">
        <v>520</v>
      </c>
      <c r="B87" s="27">
        <v>520</v>
      </c>
      <c r="C87" s="27">
        <v>3900</v>
      </c>
      <c r="D87" s="27">
        <v>7500</v>
      </c>
    </row>
    <row r="88" spans="1:4" x14ac:dyDescent="0.2">
      <c r="A88" s="25">
        <v>910</v>
      </c>
      <c r="B88" s="25">
        <v>390</v>
      </c>
      <c r="C88" s="25">
        <v>550</v>
      </c>
      <c r="D88" s="25">
        <v>1200</v>
      </c>
    </row>
    <row r="89" spans="1:4" x14ac:dyDescent="0.2">
      <c r="A89" s="27">
        <v>900</v>
      </c>
      <c r="B89" s="27">
        <v>390</v>
      </c>
      <c r="C89" s="27">
        <v>11000</v>
      </c>
      <c r="D89" s="27">
        <v>3000</v>
      </c>
    </row>
    <row r="90" spans="1:4" x14ac:dyDescent="0.2">
      <c r="A90" s="25">
        <v>1300</v>
      </c>
      <c r="B90" s="25">
        <v>390</v>
      </c>
      <c r="C90" s="25">
        <v>4000</v>
      </c>
      <c r="D90" s="25">
        <v>1900</v>
      </c>
    </row>
    <row r="91" spans="1:4" x14ac:dyDescent="0.2">
      <c r="A91" s="27">
        <v>900</v>
      </c>
      <c r="B91" s="27">
        <v>390</v>
      </c>
      <c r="C91" s="27">
        <v>1550</v>
      </c>
      <c r="D91" s="27">
        <v>3000</v>
      </c>
    </row>
    <row r="92" spans="1:4" x14ac:dyDescent="0.2">
      <c r="A92" s="25">
        <v>520</v>
      </c>
      <c r="B92" s="25">
        <v>650</v>
      </c>
      <c r="C92" s="25">
        <v>11500</v>
      </c>
      <c r="D92" s="25">
        <v>3600</v>
      </c>
    </row>
    <row r="93" spans="1:4" x14ac:dyDescent="0.2">
      <c r="A93" s="27">
        <v>1560</v>
      </c>
      <c r="B93" s="27">
        <v>390</v>
      </c>
      <c r="C93" s="27">
        <v>4000</v>
      </c>
      <c r="D93" s="27">
        <v>2300</v>
      </c>
    </row>
    <row r="94" spans="1:4" x14ac:dyDescent="0.2">
      <c r="A94" s="25">
        <v>1430</v>
      </c>
      <c r="B94" s="25">
        <v>780</v>
      </c>
      <c r="C94" s="25">
        <v>4700</v>
      </c>
      <c r="D94" s="25">
        <v>3900</v>
      </c>
    </row>
    <row r="95" spans="1:4" x14ac:dyDescent="0.2">
      <c r="A95" s="27">
        <v>520</v>
      </c>
      <c r="B95" s="27">
        <v>430</v>
      </c>
      <c r="C95" s="27">
        <v>1450</v>
      </c>
      <c r="D95" s="27">
        <v>1180</v>
      </c>
    </row>
    <row r="96" spans="1:4" x14ac:dyDescent="0.2">
      <c r="A96" s="25">
        <v>1690</v>
      </c>
      <c r="B96" s="25">
        <v>630</v>
      </c>
      <c r="C96" s="25">
        <v>4000</v>
      </c>
      <c r="D96" s="25">
        <v>8100</v>
      </c>
    </row>
    <row r="97" spans="1:4" x14ac:dyDescent="0.2">
      <c r="A97" s="27">
        <v>520</v>
      </c>
      <c r="B97" s="27">
        <v>1049</v>
      </c>
      <c r="C97" s="27">
        <v>650</v>
      </c>
      <c r="D97" s="27">
        <v>3510</v>
      </c>
    </row>
    <row r="98" spans="1:4" x14ac:dyDescent="0.2">
      <c r="A98" s="25">
        <v>1180</v>
      </c>
      <c r="B98" s="25">
        <v>530</v>
      </c>
      <c r="C98" s="25">
        <v>11800</v>
      </c>
      <c r="D98" s="25">
        <v>7200</v>
      </c>
    </row>
    <row r="99" spans="1:4" x14ac:dyDescent="0.2">
      <c r="A99" s="27">
        <v>520</v>
      </c>
      <c r="B99" s="29">
        <v>555</v>
      </c>
      <c r="C99" s="27">
        <v>4400</v>
      </c>
      <c r="D99" s="27">
        <v>2000</v>
      </c>
    </row>
    <row r="100" spans="1:4" x14ac:dyDescent="0.2">
      <c r="A100" s="25">
        <v>1560</v>
      </c>
      <c r="B100" s="28">
        <v>1000</v>
      </c>
      <c r="C100" s="25">
        <v>1300</v>
      </c>
    </row>
    <row r="101" spans="1:4" x14ac:dyDescent="0.2">
      <c r="A101" s="27">
        <v>520</v>
      </c>
      <c r="B101" s="27">
        <v>520</v>
      </c>
      <c r="C101" s="27">
        <v>3600</v>
      </c>
    </row>
    <row r="102" spans="1:4" x14ac:dyDescent="0.2">
      <c r="A102" s="25">
        <v>390</v>
      </c>
      <c r="B102" s="25">
        <v>520</v>
      </c>
      <c r="C102" s="25">
        <v>11000</v>
      </c>
    </row>
    <row r="103" spans="1:4" x14ac:dyDescent="0.2">
      <c r="A103" s="27">
        <v>1170</v>
      </c>
      <c r="C103" s="27">
        <v>1000</v>
      </c>
    </row>
    <row r="104" spans="1:4" x14ac:dyDescent="0.2">
      <c r="A104" s="25">
        <v>1430</v>
      </c>
      <c r="C104" s="25">
        <v>4000</v>
      </c>
    </row>
    <row r="105" spans="1:4" x14ac:dyDescent="0.2">
      <c r="A105" s="27">
        <v>1170</v>
      </c>
      <c r="C105" s="27">
        <v>1300</v>
      </c>
    </row>
    <row r="106" spans="1:4" x14ac:dyDescent="0.2">
      <c r="A106" s="25">
        <v>1560</v>
      </c>
      <c r="C106" s="25">
        <v>11600</v>
      </c>
    </row>
    <row r="107" spans="1:4" x14ac:dyDescent="0.2">
      <c r="A107" s="27">
        <v>520</v>
      </c>
      <c r="C107" s="27">
        <v>650</v>
      </c>
    </row>
    <row r="108" spans="1:4" x14ac:dyDescent="0.2">
      <c r="A108" s="25">
        <v>1170</v>
      </c>
      <c r="C108" s="25">
        <v>3000</v>
      </c>
    </row>
    <row r="109" spans="1:4" x14ac:dyDescent="0.2">
      <c r="A109" s="27">
        <v>900</v>
      </c>
      <c r="C109" s="27">
        <v>2800</v>
      </c>
    </row>
    <row r="110" spans="1:4" x14ac:dyDescent="0.2">
      <c r="A110" s="25">
        <v>520</v>
      </c>
      <c r="C110" s="25">
        <v>900</v>
      </c>
    </row>
    <row r="111" spans="1:4" x14ac:dyDescent="0.2">
      <c r="A111" s="27">
        <v>420</v>
      </c>
      <c r="C111" s="27">
        <v>4000</v>
      </c>
    </row>
    <row r="112" spans="1:4" x14ac:dyDescent="0.2">
      <c r="A112" s="25">
        <v>1000</v>
      </c>
      <c r="C112" s="25">
        <v>12000</v>
      </c>
    </row>
    <row r="113" spans="1:3" x14ac:dyDescent="0.2">
      <c r="A113" s="27">
        <v>1000</v>
      </c>
      <c r="C113" s="27">
        <v>3000</v>
      </c>
    </row>
    <row r="114" spans="1:3" x14ac:dyDescent="0.2">
      <c r="A114" s="25">
        <v>1170</v>
      </c>
      <c r="C114" s="25">
        <v>4000</v>
      </c>
    </row>
    <row r="115" spans="1:3" x14ac:dyDescent="0.2">
      <c r="A115" s="27">
        <v>780</v>
      </c>
      <c r="C115" s="27">
        <v>650</v>
      </c>
    </row>
    <row r="116" spans="1:3" x14ac:dyDescent="0.2">
      <c r="A116" s="25">
        <v>900</v>
      </c>
      <c r="C116" s="25">
        <v>780</v>
      </c>
    </row>
    <row r="117" spans="1:3" x14ac:dyDescent="0.2">
      <c r="A117" s="27">
        <v>980</v>
      </c>
      <c r="C117" s="27">
        <v>4000</v>
      </c>
    </row>
    <row r="118" spans="1:3" x14ac:dyDescent="0.2">
      <c r="A118" s="25">
        <v>780</v>
      </c>
      <c r="C118" s="25">
        <v>1500</v>
      </c>
    </row>
    <row r="119" spans="1:3" x14ac:dyDescent="0.2">
      <c r="A119" s="27">
        <v>3000</v>
      </c>
      <c r="C119" s="27">
        <v>9000</v>
      </c>
    </row>
    <row r="120" spans="1:3" x14ac:dyDescent="0.2">
      <c r="A120" s="28">
        <v>650</v>
      </c>
      <c r="C120" s="25">
        <v>2200</v>
      </c>
    </row>
    <row r="121" spans="1:3" x14ac:dyDescent="0.2">
      <c r="A121" s="29">
        <v>750</v>
      </c>
      <c r="C121" s="27">
        <v>3900</v>
      </c>
    </row>
    <row r="122" spans="1:3" x14ac:dyDescent="0.2">
      <c r="A122" s="28">
        <v>950</v>
      </c>
      <c r="C122" s="25">
        <v>3700</v>
      </c>
    </row>
    <row r="123" spans="1:3" x14ac:dyDescent="0.2">
      <c r="A123" s="27">
        <v>3000</v>
      </c>
      <c r="C123" s="27">
        <v>1300</v>
      </c>
    </row>
    <row r="124" spans="1:3" x14ac:dyDescent="0.2">
      <c r="A124" s="28">
        <v>1000</v>
      </c>
      <c r="C124" s="25">
        <v>1000</v>
      </c>
    </row>
    <row r="125" spans="1:3" x14ac:dyDescent="0.2">
      <c r="A125" s="29">
        <v>750</v>
      </c>
      <c r="C125" s="27">
        <v>780</v>
      </c>
    </row>
    <row r="126" spans="1:3" x14ac:dyDescent="0.2">
      <c r="A126" s="28">
        <v>950</v>
      </c>
      <c r="C126" s="25">
        <v>3800</v>
      </c>
    </row>
    <row r="127" spans="1:3" x14ac:dyDescent="0.2">
      <c r="C127" s="27">
        <v>520</v>
      </c>
    </row>
    <row r="128" spans="1:3" x14ac:dyDescent="0.2">
      <c r="C128" s="25">
        <v>9900</v>
      </c>
    </row>
    <row r="129" spans="3:3" x14ac:dyDescent="0.2">
      <c r="C129" s="27">
        <v>11430</v>
      </c>
    </row>
    <row r="130" spans="3:3" x14ac:dyDescent="0.2">
      <c r="C130" s="25">
        <v>390</v>
      </c>
    </row>
    <row r="131" spans="3:3" x14ac:dyDescent="0.2">
      <c r="C131" s="27">
        <v>4000</v>
      </c>
    </row>
    <row r="132" spans="3:3" x14ac:dyDescent="0.2">
      <c r="C132" s="25">
        <v>1070</v>
      </c>
    </row>
    <row r="133" spans="3:3" x14ac:dyDescent="0.2">
      <c r="C133" s="27">
        <v>2400</v>
      </c>
    </row>
    <row r="134" spans="3:3" x14ac:dyDescent="0.2">
      <c r="C134" s="25">
        <v>1700</v>
      </c>
    </row>
    <row r="135" spans="3:3" x14ac:dyDescent="0.2">
      <c r="C135" s="27">
        <v>6500</v>
      </c>
    </row>
    <row r="136" spans="3:3" x14ac:dyDescent="0.2">
      <c r="C136" s="25">
        <v>2600</v>
      </c>
    </row>
    <row r="137" spans="3:3" x14ac:dyDescent="0.2">
      <c r="C137" s="27">
        <v>3800</v>
      </c>
    </row>
    <row r="138" spans="3:3" x14ac:dyDescent="0.2">
      <c r="C138" s="25">
        <v>1000</v>
      </c>
    </row>
    <row r="139" spans="3:3" x14ac:dyDescent="0.2">
      <c r="C139" s="27">
        <v>9400</v>
      </c>
    </row>
    <row r="140" spans="3:3" x14ac:dyDescent="0.2">
      <c r="C140" s="25">
        <v>6800</v>
      </c>
    </row>
    <row r="141" spans="3:3" x14ac:dyDescent="0.2">
      <c r="C141" s="27">
        <v>4000</v>
      </c>
    </row>
    <row r="142" spans="3:3" x14ac:dyDescent="0.2">
      <c r="C142" s="25">
        <v>1070</v>
      </c>
    </row>
    <row r="143" spans="3:3" x14ac:dyDescent="0.2">
      <c r="C143" s="27">
        <v>1300</v>
      </c>
    </row>
    <row r="144" spans="3:3" x14ac:dyDescent="0.2">
      <c r="C144" s="25">
        <v>650</v>
      </c>
    </row>
    <row r="145" spans="3:3" x14ac:dyDescent="0.2">
      <c r="C145" s="27">
        <v>520</v>
      </c>
    </row>
    <row r="146" spans="3:3" x14ac:dyDescent="0.2">
      <c r="C146" s="25">
        <v>1430</v>
      </c>
    </row>
    <row r="147" spans="3:3" x14ac:dyDescent="0.2">
      <c r="C147" s="27">
        <v>1690</v>
      </c>
    </row>
    <row r="148" spans="3:3" x14ac:dyDescent="0.2">
      <c r="C148" s="25">
        <v>3600</v>
      </c>
    </row>
    <row r="149" spans="3:3" x14ac:dyDescent="0.2">
      <c r="C149" s="27">
        <v>650</v>
      </c>
    </row>
    <row r="150" spans="3:3" x14ac:dyDescent="0.2">
      <c r="C150" s="25">
        <v>1560</v>
      </c>
    </row>
    <row r="151" spans="3:3" x14ac:dyDescent="0.2">
      <c r="C151" s="27">
        <v>11000</v>
      </c>
    </row>
    <row r="152" spans="3:3" x14ac:dyDescent="0.2">
      <c r="C152" s="25">
        <v>650</v>
      </c>
    </row>
    <row r="153" spans="3:3" x14ac:dyDescent="0.2">
      <c r="C153" s="27">
        <v>1430</v>
      </c>
    </row>
    <row r="154" spans="3:3" x14ac:dyDescent="0.2">
      <c r="C154" s="25">
        <v>9400</v>
      </c>
    </row>
    <row r="155" spans="3:3" x14ac:dyDescent="0.2">
      <c r="C155" s="27">
        <v>8800</v>
      </c>
    </row>
    <row r="156" spans="3:3" x14ac:dyDescent="0.2">
      <c r="C156" s="25">
        <v>9200</v>
      </c>
    </row>
    <row r="157" spans="3:3" x14ac:dyDescent="0.2">
      <c r="C157" s="27">
        <v>780</v>
      </c>
    </row>
    <row r="158" spans="3:3" x14ac:dyDescent="0.2">
      <c r="C158" s="25">
        <v>390</v>
      </c>
    </row>
    <row r="159" spans="3:3" x14ac:dyDescent="0.2">
      <c r="C159" s="27">
        <v>4350</v>
      </c>
    </row>
    <row r="160" spans="3:3" x14ac:dyDescent="0.2">
      <c r="C160" s="25">
        <v>11430</v>
      </c>
    </row>
    <row r="161" spans="3:3" x14ac:dyDescent="0.2">
      <c r="C161" s="27">
        <v>900</v>
      </c>
    </row>
    <row r="162" spans="3:3" x14ac:dyDescent="0.2">
      <c r="C162" s="25">
        <v>910</v>
      </c>
    </row>
    <row r="163" spans="3:3" x14ac:dyDescent="0.2">
      <c r="C163" s="27">
        <v>1560</v>
      </c>
    </row>
    <row r="164" spans="3:3" x14ac:dyDescent="0.2">
      <c r="C164" s="25">
        <v>4550</v>
      </c>
    </row>
    <row r="165" spans="3:3" x14ac:dyDescent="0.2">
      <c r="C165" s="27">
        <v>650</v>
      </c>
    </row>
    <row r="166" spans="3:3" x14ac:dyDescent="0.2">
      <c r="C166" s="25">
        <v>1040</v>
      </c>
    </row>
    <row r="167" spans="3:3" x14ac:dyDescent="0.2">
      <c r="C167" s="27">
        <v>780</v>
      </c>
    </row>
    <row r="168" spans="3:3" x14ac:dyDescent="0.2">
      <c r="C168" s="25">
        <v>4550</v>
      </c>
    </row>
    <row r="169" spans="3:3" x14ac:dyDescent="0.2">
      <c r="C169" s="27">
        <v>910</v>
      </c>
    </row>
    <row r="170" spans="3:3" x14ac:dyDescent="0.2">
      <c r="C170" s="25">
        <v>780</v>
      </c>
    </row>
    <row r="171" spans="3:3" x14ac:dyDescent="0.2">
      <c r="C171" s="27">
        <v>910</v>
      </c>
    </row>
    <row r="172" spans="3:3" x14ac:dyDescent="0.2">
      <c r="C172" s="25">
        <v>650</v>
      </c>
    </row>
    <row r="173" spans="3:3" x14ac:dyDescent="0.2">
      <c r="C173" s="27">
        <v>1430</v>
      </c>
    </row>
    <row r="174" spans="3:3" x14ac:dyDescent="0.2">
      <c r="C174" s="25">
        <v>910</v>
      </c>
    </row>
    <row r="175" spans="3:3" x14ac:dyDescent="0.2">
      <c r="C175" s="27">
        <v>650</v>
      </c>
    </row>
    <row r="176" spans="3:3" x14ac:dyDescent="0.2">
      <c r="C176" s="25">
        <v>1560</v>
      </c>
    </row>
    <row r="177" spans="3:3" x14ac:dyDescent="0.2">
      <c r="C177" s="27">
        <v>3840</v>
      </c>
    </row>
    <row r="178" spans="3:3" x14ac:dyDescent="0.2">
      <c r="C178" s="25">
        <v>880</v>
      </c>
    </row>
    <row r="179" spans="3:3" x14ac:dyDescent="0.2">
      <c r="C179" s="27">
        <v>2300</v>
      </c>
    </row>
    <row r="180" spans="3:3" x14ac:dyDescent="0.2">
      <c r="C180" s="25">
        <v>580</v>
      </c>
    </row>
    <row r="181" spans="3:3" x14ac:dyDescent="0.2">
      <c r="C181" s="27">
        <v>1430</v>
      </c>
    </row>
    <row r="182" spans="3:3" x14ac:dyDescent="0.2">
      <c r="C182" s="25">
        <v>1430</v>
      </c>
    </row>
    <row r="183" spans="3:3" x14ac:dyDescent="0.2">
      <c r="C183" s="27">
        <v>3600</v>
      </c>
    </row>
    <row r="184" spans="3:3" x14ac:dyDescent="0.2">
      <c r="C184" s="25">
        <v>3600</v>
      </c>
    </row>
    <row r="185" spans="3:3" x14ac:dyDescent="0.2">
      <c r="C185" s="27">
        <v>1000</v>
      </c>
    </row>
    <row r="186" spans="3:3" x14ac:dyDescent="0.2">
      <c r="C186" s="25">
        <v>1100</v>
      </c>
    </row>
    <row r="187" spans="3:3" x14ac:dyDescent="0.2">
      <c r="C187" s="27">
        <v>650</v>
      </c>
    </row>
    <row r="188" spans="3:3" x14ac:dyDescent="0.2">
      <c r="C188" s="25">
        <v>8700</v>
      </c>
    </row>
    <row r="189" spans="3:3" x14ac:dyDescent="0.2">
      <c r="C189" s="27">
        <v>600</v>
      </c>
    </row>
    <row r="190" spans="3:3" x14ac:dyDescent="0.2">
      <c r="C190" s="25">
        <v>1300</v>
      </c>
    </row>
    <row r="191" spans="3:3" x14ac:dyDescent="0.2">
      <c r="C191" s="27">
        <v>910</v>
      </c>
    </row>
    <row r="192" spans="3:3" x14ac:dyDescent="0.2">
      <c r="C192" s="25">
        <v>2300</v>
      </c>
    </row>
    <row r="193" spans="3:3" x14ac:dyDescent="0.2">
      <c r="C193" s="27">
        <v>1820</v>
      </c>
    </row>
    <row r="194" spans="3:3" x14ac:dyDescent="0.2">
      <c r="C194" s="25">
        <v>780</v>
      </c>
    </row>
    <row r="195" spans="3:3" x14ac:dyDescent="0.2">
      <c r="C195" s="27">
        <v>3200</v>
      </c>
    </row>
    <row r="196" spans="3:3" x14ac:dyDescent="0.2">
      <c r="C196" s="25">
        <v>6700</v>
      </c>
    </row>
    <row r="197" spans="3:3" x14ac:dyDescent="0.2">
      <c r="C197" s="27">
        <v>2600</v>
      </c>
    </row>
    <row r="198" spans="3:3" x14ac:dyDescent="0.2">
      <c r="C198" s="25">
        <v>8100</v>
      </c>
    </row>
    <row r="199" spans="3:3" x14ac:dyDescent="0.2">
      <c r="C199" s="27">
        <v>1170</v>
      </c>
    </row>
    <row r="200" spans="3:3" x14ac:dyDescent="0.2">
      <c r="C200" s="25">
        <v>4480</v>
      </c>
    </row>
    <row r="201" spans="3:3" x14ac:dyDescent="0.2">
      <c r="C201" s="27">
        <v>1560</v>
      </c>
    </row>
    <row r="202" spans="3:3" x14ac:dyDescent="0.2">
      <c r="C202" s="25">
        <v>1180</v>
      </c>
    </row>
    <row r="203" spans="3:3" x14ac:dyDescent="0.2">
      <c r="C203" s="27">
        <v>6600</v>
      </c>
    </row>
    <row r="204" spans="3:3" x14ac:dyDescent="0.2">
      <c r="C204" s="25">
        <v>680</v>
      </c>
    </row>
  </sheetData>
  <conditionalFormatting sqref="A2:A126">
    <cfRule type="containsBlanks" dxfId="22" priority="6">
      <formula>LEN(TRIM(A2))=0</formula>
    </cfRule>
  </conditionalFormatting>
  <conditionalFormatting sqref="B2:B102">
    <cfRule type="containsBlanks" dxfId="21" priority="5">
      <formula>LEN(TRIM(B2))=0</formula>
    </cfRule>
  </conditionalFormatting>
  <conditionalFormatting sqref="C2:C204">
    <cfRule type="containsBlanks" dxfId="20" priority="4">
      <formula>LEN(TRIM(C2))=0</formula>
    </cfRule>
  </conditionalFormatting>
  <conditionalFormatting sqref="D2:D99">
    <cfRule type="containsBlanks" dxfId="19" priority="3">
      <formula>LEN(TRIM(D2))=0</formula>
    </cfRule>
  </conditionalFormatting>
  <conditionalFormatting sqref="E2:E24">
    <cfRule type="containsBlanks" dxfId="18" priority="2">
      <formula>LEN(TRIM(E2))=0</formula>
    </cfRule>
  </conditionalFormatting>
  <conditionalFormatting sqref="F2:F18">
    <cfRule type="containsBlanks" dxfId="17" priority="1">
      <formula>LEN(TRIM(F2))=0</formula>
    </cfRule>
  </conditionalFormatting>
  <pageMargins left="0.7" right="0.7" top="0.75" bottom="0.75" header="0.3" footer="0.3"/>
  <pageSetup paperSize="9" orientation="portrait"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N35"/>
  <sheetViews>
    <sheetView workbookViewId="0">
      <selection activeCell="J33" sqref="J33"/>
    </sheetView>
  </sheetViews>
  <sheetFormatPr defaultRowHeight="12.75" x14ac:dyDescent="0.2"/>
  <cols>
    <col min="1" max="1" width="12.140625" style="126" customWidth="1"/>
    <col min="2" max="2" width="11.28515625" style="126" customWidth="1"/>
    <col min="3" max="3" width="12.42578125" style="126" customWidth="1"/>
    <col min="4" max="4" width="13.5703125" style="126" customWidth="1"/>
    <col min="5" max="5" width="10.140625" style="126" customWidth="1"/>
    <col min="6" max="7" width="9.140625" style="126"/>
    <col min="8" max="8" width="10.28515625" style="126" customWidth="1"/>
    <col min="9" max="9" width="9.140625" style="126"/>
    <col min="10" max="10" width="15.140625" style="126" customWidth="1"/>
    <col min="11" max="16384" width="9.140625" style="126"/>
  </cols>
  <sheetData>
    <row r="1" spans="1:14" ht="22.5" x14ac:dyDescent="0.3">
      <c r="A1" s="209" t="s">
        <v>1791</v>
      </c>
      <c r="B1" s="209"/>
      <c r="C1" s="209"/>
      <c r="D1" s="209"/>
      <c r="E1" s="209"/>
      <c r="F1" s="209"/>
      <c r="G1" s="209"/>
      <c r="H1" s="209"/>
      <c r="I1" s="209"/>
      <c r="J1" s="209"/>
      <c r="K1" s="209"/>
      <c r="L1" s="209"/>
      <c r="M1" s="209"/>
      <c r="N1" s="209"/>
    </row>
    <row r="2" spans="1:14" ht="15" x14ac:dyDescent="0.25">
      <c r="A2" s="210" t="s">
        <v>1792</v>
      </c>
      <c r="B2" s="210"/>
      <c r="C2" s="210"/>
      <c r="D2" s="210"/>
      <c r="E2" s="210"/>
      <c r="F2" s="210"/>
      <c r="G2" s="210"/>
      <c r="H2" s="210"/>
      <c r="I2" s="210"/>
      <c r="J2" s="210"/>
      <c r="K2" s="210"/>
      <c r="L2" s="210"/>
      <c r="M2" s="210"/>
      <c r="N2" s="210"/>
    </row>
    <row r="4" spans="1:14" ht="18.75" x14ac:dyDescent="0.3">
      <c r="A4" s="142" t="s">
        <v>1793</v>
      </c>
      <c r="B4" s="142"/>
    </row>
    <row r="6" spans="1:14" ht="28.5" x14ac:dyDescent="0.2">
      <c r="A6" s="195"/>
      <c r="B6" s="196" t="s">
        <v>1794</v>
      </c>
      <c r="C6" s="196" t="s">
        <v>1795</v>
      </c>
      <c r="D6" s="196" t="s">
        <v>1846</v>
      </c>
      <c r="E6" s="196" t="s">
        <v>1847</v>
      </c>
      <c r="F6" s="196" t="s">
        <v>1797</v>
      </c>
      <c r="G6" s="196" t="s">
        <v>1748</v>
      </c>
      <c r="H6" s="196" t="s">
        <v>1798</v>
      </c>
      <c r="I6" s="196" t="s">
        <v>1578</v>
      </c>
      <c r="J6" s="196" t="s">
        <v>1799</v>
      </c>
    </row>
    <row r="7" spans="1:14" ht="51" x14ac:dyDescent="0.2">
      <c r="A7" s="197" t="s">
        <v>1796</v>
      </c>
      <c r="B7" s="198" t="s">
        <v>1800</v>
      </c>
      <c r="C7" s="198" t="s">
        <v>1801</v>
      </c>
      <c r="D7" s="198" t="s">
        <v>1802</v>
      </c>
      <c r="E7" s="198" t="s">
        <v>1803</v>
      </c>
      <c r="F7" s="198" t="s">
        <v>1810</v>
      </c>
      <c r="G7" s="200">
        <v>5.2783151166921497E-30</v>
      </c>
      <c r="H7" s="198" t="s">
        <v>1819</v>
      </c>
      <c r="I7" s="198" t="s">
        <v>1820</v>
      </c>
      <c r="J7" s="198" t="s">
        <v>1821</v>
      </c>
    </row>
    <row r="8" spans="1:14" ht="76.5" x14ac:dyDescent="0.2">
      <c r="A8" s="197" t="s">
        <v>1822</v>
      </c>
      <c r="B8" s="199" t="s">
        <v>1823</v>
      </c>
      <c r="C8" s="199" t="s">
        <v>1824</v>
      </c>
      <c r="D8" s="199" t="s">
        <v>1825</v>
      </c>
      <c r="E8" s="199" t="s">
        <v>1826</v>
      </c>
      <c r="F8" s="199" t="s">
        <v>1827</v>
      </c>
      <c r="G8" s="201">
        <v>1.3889176534322496E-36</v>
      </c>
      <c r="H8" s="199" t="s">
        <v>1828</v>
      </c>
      <c r="I8" s="199" t="s">
        <v>1820</v>
      </c>
      <c r="J8" s="199" t="s">
        <v>1829</v>
      </c>
    </row>
    <row r="9" spans="1:14" ht="63.75" x14ac:dyDescent="0.2">
      <c r="A9" s="197" t="s">
        <v>1830</v>
      </c>
      <c r="B9" s="198" t="s">
        <v>1823</v>
      </c>
      <c r="C9" s="198" t="s">
        <v>1831</v>
      </c>
      <c r="D9" s="198" t="s">
        <v>1832</v>
      </c>
      <c r="E9" s="198" t="s">
        <v>1833</v>
      </c>
      <c r="F9" s="198" t="s">
        <v>1834</v>
      </c>
      <c r="G9" s="200">
        <v>9.9800411990857098E-72</v>
      </c>
      <c r="H9" s="198" t="s">
        <v>1835</v>
      </c>
      <c r="I9" s="198" t="s">
        <v>1820</v>
      </c>
      <c r="J9" s="198" t="s">
        <v>1836</v>
      </c>
    </row>
    <row r="10" spans="1:14" ht="63.75" x14ac:dyDescent="0.2">
      <c r="A10" s="197" t="s">
        <v>1837</v>
      </c>
      <c r="B10" s="199" t="s">
        <v>1838</v>
      </c>
      <c r="C10" s="199" t="s">
        <v>1839</v>
      </c>
      <c r="D10" s="199" t="s">
        <v>1840</v>
      </c>
      <c r="E10" s="199" t="s">
        <v>1841</v>
      </c>
      <c r="F10" s="199" t="s">
        <v>1842</v>
      </c>
      <c r="G10" s="201" t="s">
        <v>1843</v>
      </c>
      <c r="H10" s="199" t="s">
        <v>1844</v>
      </c>
      <c r="I10" s="199" t="s">
        <v>1820</v>
      </c>
      <c r="J10" s="199" t="s">
        <v>1845</v>
      </c>
    </row>
    <row r="13" spans="1:14" ht="18.75" x14ac:dyDescent="0.3">
      <c r="A13" s="142" t="s">
        <v>1848</v>
      </c>
    </row>
    <row r="15" spans="1:14" ht="31.5" x14ac:dyDescent="0.2">
      <c r="A15" s="202" t="s">
        <v>1849</v>
      </c>
      <c r="B15" s="202" t="s">
        <v>1675</v>
      </c>
      <c r="C15" s="202" t="s">
        <v>1850</v>
      </c>
      <c r="D15" s="202" t="s">
        <v>1851</v>
      </c>
    </row>
    <row r="16" spans="1:14" ht="25.5" x14ac:dyDescent="0.2">
      <c r="A16" s="162" t="s">
        <v>1852</v>
      </c>
      <c r="B16" s="162">
        <v>0.52100000000000002</v>
      </c>
      <c r="C16" s="162" t="s">
        <v>1853</v>
      </c>
      <c r="D16" s="162" t="s">
        <v>1854</v>
      </c>
    </row>
    <row r="17" spans="1:5" ht="25.5" x14ac:dyDescent="0.2">
      <c r="A17" s="162" t="s">
        <v>1855</v>
      </c>
      <c r="B17" s="162">
        <v>0.27100000000000002</v>
      </c>
      <c r="C17" s="162" t="s">
        <v>1853</v>
      </c>
      <c r="D17" s="162" t="s">
        <v>1854</v>
      </c>
    </row>
    <row r="18" spans="1:5" ht="28.5" x14ac:dyDescent="0.2">
      <c r="A18" s="162" t="s">
        <v>1856</v>
      </c>
      <c r="B18" s="162">
        <v>0.26800000000000002</v>
      </c>
      <c r="C18" s="162" t="s">
        <v>1857</v>
      </c>
      <c r="D18" s="162" t="s">
        <v>1858</v>
      </c>
    </row>
    <row r="19" spans="1:5" ht="28.5" x14ac:dyDescent="0.2">
      <c r="A19" s="162" t="s">
        <v>1861</v>
      </c>
      <c r="B19" s="162">
        <v>0.51759999999999995</v>
      </c>
      <c r="C19" s="162" t="s">
        <v>1859</v>
      </c>
      <c r="D19" s="162" t="s">
        <v>1860</v>
      </c>
    </row>
    <row r="22" spans="1:5" ht="18.75" x14ac:dyDescent="0.3">
      <c r="A22" s="142" t="s">
        <v>1862</v>
      </c>
    </row>
    <row r="24" spans="1:5" ht="12.75" customHeight="1" x14ac:dyDescent="0.2">
      <c r="A24" s="224" t="s">
        <v>1863</v>
      </c>
      <c r="B24" s="224"/>
      <c r="C24" s="224"/>
      <c r="D24" s="224"/>
      <c r="E24" s="224"/>
    </row>
    <row r="25" spans="1:5" ht="12.75" customHeight="1" x14ac:dyDescent="0.2">
      <c r="A25" s="224"/>
      <c r="B25" s="224"/>
      <c r="C25" s="224"/>
      <c r="D25" s="224"/>
      <c r="E25" s="224"/>
    </row>
    <row r="26" spans="1:5" ht="12.75" customHeight="1" x14ac:dyDescent="0.2">
      <c r="A26" s="224"/>
      <c r="B26" s="224"/>
      <c r="C26" s="224"/>
      <c r="D26" s="224"/>
      <c r="E26" s="224"/>
    </row>
    <row r="27" spans="1:5" ht="12.75" customHeight="1" x14ac:dyDescent="0.2">
      <c r="A27" s="224"/>
      <c r="B27" s="224"/>
      <c r="C27" s="224"/>
      <c r="D27" s="224"/>
      <c r="E27" s="224"/>
    </row>
    <row r="28" spans="1:5" ht="12.75" customHeight="1" x14ac:dyDescent="0.2">
      <c r="A28" s="224"/>
      <c r="B28" s="224"/>
      <c r="C28" s="224"/>
      <c r="D28" s="224"/>
      <c r="E28" s="224"/>
    </row>
    <row r="29" spans="1:5" ht="12.75" customHeight="1" x14ac:dyDescent="0.2">
      <c r="A29" s="224"/>
      <c r="B29" s="224"/>
      <c r="C29" s="224"/>
      <c r="D29" s="224"/>
      <c r="E29" s="224"/>
    </row>
    <row r="30" spans="1:5" ht="12.75" customHeight="1" x14ac:dyDescent="0.2">
      <c r="A30" s="224"/>
      <c r="B30" s="224"/>
      <c r="C30" s="224"/>
      <c r="D30" s="224"/>
      <c r="E30" s="224"/>
    </row>
    <row r="31" spans="1:5" ht="12.75" customHeight="1" x14ac:dyDescent="0.2">
      <c r="A31" s="224"/>
      <c r="B31" s="224"/>
      <c r="C31" s="224"/>
      <c r="D31" s="224"/>
      <c r="E31" s="224"/>
    </row>
    <row r="32" spans="1:5" ht="12.75" customHeight="1" x14ac:dyDescent="0.2">
      <c r="A32" s="224"/>
      <c r="B32" s="224"/>
      <c r="C32" s="224"/>
      <c r="D32" s="224"/>
      <c r="E32" s="224"/>
    </row>
    <row r="33" spans="1:5" ht="12.75" customHeight="1" x14ac:dyDescent="0.2">
      <c r="A33" s="224"/>
      <c r="B33" s="224"/>
      <c r="C33" s="224"/>
      <c r="D33" s="224"/>
      <c r="E33" s="224"/>
    </row>
    <row r="34" spans="1:5" ht="12.75" customHeight="1" x14ac:dyDescent="0.2">
      <c r="A34" s="224"/>
      <c r="B34" s="224"/>
      <c r="C34" s="224"/>
      <c r="D34" s="224"/>
      <c r="E34" s="224"/>
    </row>
    <row r="35" spans="1:5" ht="12.75" customHeight="1" x14ac:dyDescent="0.2">
      <c r="A35" s="224"/>
      <c r="B35" s="224"/>
      <c r="C35" s="224"/>
      <c r="D35" s="224"/>
      <c r="E35" s="224"/>
    </row>
  </sheetData>
  <mergeCells count="3">
    <mergeCell ref="A1:N1"/>
    <mergeCell ref="A2:N2"/>
    <mergeCell ref="A24:E35"/>
  </mergeCells>
  <conditionalFormatting sqref="I6:I10">
    <cfRule type="containsText" dxfId="16" priority="5" operator="containsText" text="Reject H0 ">
      <formula>NOT(ISERROR(SEARCH("Reject H0 ",I6)))</formula>
    </cfRule>
  </conditionalFormatting>
  <conditionalFormatting sqref="H7:H10">
    <cfRule type="cellIs" dxfId="15" priority="2" stopIfTrue="1" operator="lessThan">
      <formula>0.06</formula>
    </cfRule>
    <cfRule type="cellIs" dxfId="14" priority="3" stopIfTrue="1" operator="between">
      <formula>0.06</formula>
      <formula>0.139</formula>
    </cfRule>
    <cfRule type="cellIs" dxfId="13" priority="4" stopIfTrue="1" operator="greaterThanOrEqual">
      <formula>"0.14"</formula>
    </cfRule>
  </conditionalFormatting>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321"/>
  <sheetViews>
    <sheetView workbookViewId="0">
      <selection activeCell="I15" sqref="I15"/>
    </sheetView>
  </sheetViews>
  <sheetFormatPr defaultRowHeight="12.75" x14ac:dyDescent="0.2"/>
  <cols>
    <col min="1" max="1" width="17.42578125" customWidth="1"/>
    <col min="2" max="2" width="18.5703125" customWidth="1"/>
    <col min="4" max="4" width="17.42578125" customWidth="1"/>
    <col min="5" max="5" width="28.85546875" customWidth="1"/>
    <col min="6" max="6" width="20.28515625" customWidth="1"/>
    <col min="7" max="7" width="12.140625" customWidth="1"/>
    <col min="8" max="8" width="17.5703125" customWidth="1"/>
  </cols>
  <sheetData>
    <row r="1" spans="1:9" ht="28.5" customHeight="1" x14ac:dyDescent="0.25">
      <c r="A1" s="94" t="s">
        <v>1573</v>
      </c>
      <c r="B1" s="94" t="s">
        <v>1572</v>
      </c>
      <c r="D1" s="159" t="s">
        <v>1670</v>
      </c>
      <c r="E1" s="159"/>
    </row>
    <row r="2" spans="1:9" x14ac:dyDescent="0.2">
      <c r="A2" s="51">
        <v>3000</v>
      </c>
      <c r="B2" s="51">
        <v>9200</v>
      </c>
      <c r="D2" s="19" t="s">
        <v>1576</v>
      </c>
      <c r="E2">
        <f>_xlfn.T.TEST(B2:B321,A2:A248,2,2)</f>
        <v>5.2783151166921518E-30</v>
      </c>
    </row>
    <row r="3" spans="1:9" x14ac:dyDescent="0.2">
      <c r="A3" s="65">
        <v>1000</v>
      </c>
      <c r="B3" s="65">
        <v>1000</v>
      </c>
    </row>
    <row r="4" spans="1:9" x14ac:dyDescent="0.2">
      <c r="A4" s="51">
        <v>1200</v>
      </c>
      <c r="B4" s="51">
        <v>10000</v>
      </c>
    </row>
    <row r="5" spans="1:9" x14ac:dyDescent="0.2">
      <c r="A5" s="65">
        <v>1000</v>
      </c>
      <c r="B5" s="65">
        <v>3000</v>
      </c>
      <c r="E5" s="19" t="s">
        <v>1574</v>
      </c>
      <c r="F5" s="100">
        <f>AVERAGE(B2:B321)</f>
        <v>4730.6187499999996</v>
      </c>
      <c r="H5" s="19" t="s">
        <v>1811</v>
      </c>
      <c r="I5">
        <f>_xlfn.VAR.S(B2:B321)</f>
        <v>13748144.449804075</v>
      </c>
    </row>
    <row r="6" spans="1:9" x14ac:dyDescent="0.2">
      <c r="A6" s="51">
        <v>1500</v>
      </c>
      <c r="B6" s="51">
        <v>9500</v>
      </c>
      <c r="E6" s="19" t="s">
        <v>1575</v>
      </c>
      <c r="F6" s="100">
        <f>AVERAGE(A2:A248)</f>
        <v>1530.2226720647773</v>
      </c>
      <c r="H6" s="19" t="s">
        <v>1812</v>
      </c>
      <c r="I6">
        <f>_xlfn.VAR.S(A2:A248)</f>
        <v>4682424.035581449</v>
      </c>
    </row>
    <row r="7" spans="1:9" x14ac:dyDescent="0.2">
      <c r="A7" s="65">
        <v>6800</v>
      </c>
      <c r="B7" s="65">
        <v>1500</v>
      </c>
      <c r="E7" s="19" t="s">
        <v>1577</v>
      </c>
      <c r="F7" s="194">
        <v>5.2783151166921497E-30</v>
      </c>
    </row>
    <row r="8" spans="1:9" ht="14.25" x14ac:dyDescent="0.25">
      <c r="A8" s="51">
        <v>900</v>
      </c>
      <c r="B8" s="51">
        <v>8000</v>
      </c>
      <c r="E8" s="19" t="s">
        <v>1578</v>
      </c>
      <c r="F8" t="str">
        <f>IF(F7&lt;0.5,"Reject H0 - Significant","Fail to reject H0")</f>
        <v>Reject H0 - Significant</v>
      </c>
      <c r="H8" s="53" t="s">
        <v>1813</v>
      </c>
      <c r="I8" s="53"/>
    </row>
    <row r="9" spans="1:9" x14ac:dyDescent="0.2">
      <c r="A9" s="65">
        <v>1200</v>
      </c>
      <c r="B9" s="65">
        <v>9000</v>
      </c>
      <c r="E9" s="19"/>
    </row>
    <row r="10" spans="1:9" x14ac:dyDescent="0.2">
      <c r="A10" s="51">
        <v>6000</v>
      </c>
      <c r="B10" s="51">
        <v>9000</v>
      </c>
      <c r="E10" s="19"/>
      <c r="H10" s="19" t="s">
        <v>1816</v>
      </c>
      <c r="I10">
        <f>SQRT(((319*E15)+(246*F15))/(319+247-2))</f>
        <v>3133.4203979832337</v>
      </c>
    </row>
    <row r="11" spans="1:9" x14ac:dyDescent="0.2">
      <c r="A11" s="65">
        <v>3000</v>
      </c>
      <c r="B11" s="65">
        <v>2000</v>
      </c>
      <c r="D11" s="53" t="s">
        <v>1809</v>
      </c>
      <c r="E11" s="53"/>
    </row>
    <row r="12" spans="1:9" ht="13.5" thickBot="1" x14ac:dyDescent="0.25">
      <c r="A12" s="51">
        <v>5200</v>
      </c>
      <c r="B12" s="51">
        <v>2300</v>
      </c>
      <c r="H12" s="53" t="s">
        <v>1814</v>
      </c>
    </row>
    <row r="13" spans="1:9" x14ac:dyDescent="0.2">
      <c r="A13" s="65">
        <v>8200</v>
      </c>
      <c r="B13" s="65">
        <v>11100</v>
      </c>
      <c r="D13" s="81"/>
      <c r="E13" s="81" t="s">
        <v>1572</v>
      </c>
      <c r="F13" s="81" t="s">
        <v>1573</v>
      </c>
    </row>
    <row r="14" spans="1:9" x14ac:dyDescent="0.2">
      <c r="A14" s="51">
        <v>5200</v>
      </c>
      <c r="B14" s="51">
        <v>8800</v>
      </c>
      <c r="D14" s="79" t="s">
        <v>1662</v>
      </c>
      <c r="E14" s="79">
        <v>4730.6187499999996</v>
      </c>
      <c r="F14" s="79">
        <v>1530.2226720647773</v>
      </c>
      <c r="H14" s="19" t="s">
        <v>1815</v>
      </c>
      <c r="I14">
        <f>(E14-F14)/I10</f>
        <v>1.0213746230780576</v>
      </c>
    </row>
    <row r="15" spans="1:9" x14ac:dyDescent="0.2">
      <c r="A15" s="65">
        <v>900</v>
      </c>
      <c r="B15" s="65">
        <v>2700</v>
      </c>
      <c r="D15" s="79" t="s">
        <v>1559</v>
      </c>
      <c r="E15" s="79">
        <v>13748144.449804075</v>
      </c>
      <c r="F15" s="79">
        <v>4682424.035581449</v>
      </c>
    </row>
    <row r="16" spans="1:9" x14ac:dyDescent="0.2">
      <c r="A16" s="51">
        <v>650</v>
      </c>
      <c r="B16" s="51">
        <v>9700</v>
      </c>
      <c r="D16" s="79" t="s">
        <v>1588</v>
      </c>
      <c r="E16" s="79">
        <v>320</v>
      </c>
      <c r="F16" s="79">
        <v>247</v>
      </c>
      <c r="H16" s="53" t="s">
        <v>1817</v>
      </c>
    </row>
    <row r="17" spans="1:9" x14ac:dyDescent="0.2">
      <c r="A17" s="65">
        <v>2400</v>
      </c>
      <c r="B17" s="65">
        <v>2400</v>
      </c>
      <c r="D17" s="79" t="s">
        <v>1804</v>
      </c>
      <c r="E17" s="79">
        <v>0</v>
      </c>
      <c r="F17" s="79"/>
    </row>
    <row r="18" spans="1:9" x14ac:dyDescent="0.2">
      <c r="A18" s="51">
        <v>500</v>
      </c>
      <c r="B18" s="51">
        <v>2900</v>
      </c>
      <c r="D18" s="79" t="s">
        <v>1563</v>
      </c>
      <c r="E18" s="79">
        <v>529</v>
      </c>
      <c r="F18" s="79"/>
      <c r="H18" s="19" t="s">
        <v>1818</v>
      </c>
      <c r="I18">
        <f>(E14-F14)/(SQRT((E15/320)+(F15/247)))</f>
        <v>12.86138641660259</v>
      </c>
    </row>
    <row r="19" spans="1:9" x14ac:dyDescent="0.2">
      <c r="A19" s="65">
        <v>850</v>
      </c>
      <c r="B19" s="65">
        <v>9500</v>
      </c>
      <c r="D19" s="79" t="s">
        <v>1594</v>
      </c>
      <c r="E19" s="79">
        <v>12.861386416602601</v>
      </c>
      <c r="F19" s="79"/>
    </row>
    <row r="20" spans="1:9" x14ac:dyDescent="0.2">
      <c r="A20" s="51">
        <v>3200</v>
      </c>
      <c r="B20" s="51">
        <v>8500</v>
      </c>
      <c r="D20" s="79" t="s">
        <v>1805</v>
      </c>
      <c r="E20" s="79">
        <v>1.9663158172835881E-33</v>
      </c>
      <c r="F20" s="79"/>
    </row>
    <row r="21" spans="1:9" x14ac:dyDescent="0.2">
      <c r="A21" s="65">
        <v>700</v>
      </c>
      <c r="B21" s="65">
        <v>7000</v>
      </c>
      <c r="D21" s="79" t="s">
        <v>1806</v>
      </c>
      <c r="E21" s="79">
        <v>1.6477391796111058</v>
      </c>
      <c r="F21" s="79"/>
    </row>
    <row r="22" spans="1:9" x14ac:dyDescent="0.2">
      <c r="A22" s="51">
        <v>850</v>
      </c>
      <c r="B22" s="51">
        <v>5500</v>
      </c>
      <c r="D22" s="79" t="s">
        <v>1807</v>
      </c>
      <c r="E22" s="79">
        <v>3.9326316345671761E-33</v>
      </c>
      <c r="F22" s="79"/>
    </row>
    <row r="23" spans="1:9" ht="13.5" thickBot="1" x14ac:dyDescent="0.25">
      <c r="A23" s="65">
        <v>200</v>
      </c>
      <c r="B23" s="65">
        <v>5200</v>
      </c>
      <c r="D23" s="80" t="s">
        <v>1808</v>
      </c>
      <c r="E23" s="80">
        <v>1.9644585325748385</v>
      </c>
      <c r="F23" s="80"/>
    </row>
    <row r="24" spans="1:9" x14ac:dyDescent="0.2">
      <c r="A24" s="51">
        <v>2700</v>
      </c>
      <c r="B24" s="51">
        <v>12000</v>
      </c>
    </row>
    <row r="25" spans="1:9" x14ac:dyDescent="0.2">
      <c r="A25" s="65">
        <v>750</v>
      </c>
      <c r="B25" s="65">
        <v>1500</v>
      </c>
    </row>
    <row r="26" spans="1:9" x14ac:dyDescent="0.2">
      <c r="A26" s="51">
        <v>650</v>
      </c>
      <c r="B26" s="51">
        <v>5800</v>
      </c>
    </row>
    <row r="27" spans="1:9" x14ac:dyDescent="0.2">
      <c r="A27" s="65">
        <v>650</v>
      </c>
      <c r="B27" s="65">
        <v>1400</v>
      </c>
    </row>
    <row r="28" spans="1:9" x14ac:dyDescent="0.2">
      <c r="A28" s="51">
        <v>650</v>
      </c>
      <c r="B28" s="51">
        <v>6800</v>
      </c>
    </row>
    <row r="29" spans="1:9" x14ac:dyDescent="0.2">
      <c r="A29" s="65">
        <v>900</v>
      </c>
      <c r="B29" s="65">
        <v>11000</v>
      </c>
    </row>
    <row r="30" spans="1:9" x14ac:dyDescent="0.2">
      <c r="A30" s="51">
        <v>700</v>
      </c>
      <c r="B30" s="51">
        <v>4500</v>
      </c>
    </row>
    <row r="31" spans="1:9" x14ac:dyDescent="0.2">
      <c r="A31" s="65">
        <v>3200</v>
      </c>
      <c r="B31" s="65">
        <v>5000</v>
      </c>
    </row>
    <row r="32" spans="1:9" x14ac:dyDescent="0.2">
      <c r="A32" s="51">
        <v>750</v>
      </c>
      <c r="B32" s="51">
        <v>4000</v>
      </c>
    </row>
    <row r="33" spans="1:2" x14ac:dyDescent="0.2">
      <c r="A33" s="65">
        <v>2300</v>
      </c>
      <c r="B33" s="65">
        <v>650</v>
      </c>
    </row>
    <row r="34" spans="1:2" x14ac:dyDescent="0.2">
      <c r="A34" s="51">
        <v>1000</v>
      </c>
      <c r="B34" s="51">
        <v>1000</v>
      </c>
    </row>
    <row r="35" spans="1:2" x14ac:dyDescent="0.2">
      <c r="A35" s="65">
        <v>4800</v>
      </c>
      <c r="B35" s="65">
        <v>1000</v>
      </c>
    </row>
    <row r="36" spans="1:2" x14ac:dyDescent="0.2">
      <c r="A36" s="51">
        <v>1500</v>
      </c>
      <c r="B36" s="51">
        <v>7500</v>
      </c>
    </row>
    <row r="37" spans="1:2" x14ac:dyDescent="0.2">
      <c r="A37" s="65">
        <v>900</v>
      </c>
      <c r="B37" s="65">
        <v>5500</v>
      </c>
    </row>
    <row r="38" spans="1:2" x14ac:dyDescent="0.2">
      <c r="A38" s="51">
        <v>650</v>
      </c>
      <c r="B38" s="51">
        <v>1200</v>
      </c>
    </row>
    <row r="39" spans="1:2" x14ac:dyDescent="0.2">
      <c r="A39" s="65">
        <v>2600</v>
      </c>
      <c r="B39" s="65">
        <v>4800</v>
      </c>
    </row>
    <row r="40" spans="1:2" x14ac:dyDescent="0.2">
      <c r="A40" s="51">
        <v>650</v>
      </c>
      <c r="B40" s="51">
        <v>10000</v>
      </c>
    </row>
    <row r="41" spans="1:2" x14ac:dyDescent="0.2">
      <c r="A41" s="65">
        <v>650</v>
      </c>
      <c r="B41" s="65">
        <v>2000</v>
      </c>
    </row>
    <row r="42" spans="1:2" x14ac:dyDescent="0.2">
      <c r="A42" s="51">
        <v>720</v>
      </c>
      <c r="B42" s="51">
        <v>5000</v>
      </c>
    </row>
    <row r="43" spans="1:2" x14ac:dyDescent="0.2">
      <c r="A43" s="65">
        <v>2300</v>
      </c>
      <c r="B43" s="65">
        <v>9500</v>
      </c>
    </row>
    <row r="44" spans="1:2" x14ac:dyDescent="0.2">
      <c r="A44" s="51">
        <v>600</v>
      </c>
      <c r="B44" s="51">
        <v>14000</v>
      </c>
    </row>
    <row r="45" spans="1:2" x14ac:dyDescent="0.2">
      <c r="A45" s="65">
        <v>2400</v>
      </c>
      <c r="B45" s="65">
        <v>2000</v>
      </c>
    </row>
    <row r="46" spans="1:2" x14ac:dyDescent="0.2">
      <c r="A46" s="51">
        <v>700</v>
      </c>
      <c r="B46" s="51">
        <v>1200</v>
      </c>
    </row>
    <row r="47" spans="1:2" x14ac:dyDescent="0.2">
      <c r="A47" s="65">
        <v>600</v>
      </c>
      <c r="B47" s="65">
        <v>3200</v>
      </c>
    </row>
    <row r="48" spans="1:2" x14ac:dyDescent="0.2">
      <c r="A48" s="51">
        <v>750</v>
      </c>
      <c r="B48" s="51">
        <v>12000</v>
      </c>
    </row>
    <row r="49" spans="1:2" x14ac:dyDescent="0.2">
      <c r="A49" s="65">
        <v>1100</v>
      </c>
      <c r="B49" s="65">
        <v>4200</v>
      </c>
    </row>
    <row r="50" spans="1:2" x14ac:dyDescent="0.2">
      <c r="A50" s="51">
        <v>2500</v>
      </c>
      <c r="B50" s="51">
        <v>1100</v>
      </c>
    </row>
    <row r="51" spans="1:2" x14ac:dyDescent="0.2">
      <c r="A51" s="65">
        <v>700</v>
      </c>
      <c r="B51" s="65">
        <v>3600</v>
      </c>
    </row>
    <row r="52" spans="1:2" x14ac:dyDescent="0.2">
      <c r="A52" s="51">
        <v>650</v>
      </c>
      <c r="B52" s="51">
        <v>1300</v>
      </c>
    </row>
    <row r="53" spans="1:2" x14ac:dyDescent="0.2">
      <c r="A53" s="65">
        <v>650</v>
      </c>
      <c r="B53" s="65">
        <v>3800</v>
      </c>
    </row>
    <row r="54" spans="1:2" x14ac:dyDescent="0.2">
      <c r="A54" s="51">
        <v>600</v>
      </c>
      <c r="B54" s="51">
        <v>1200</v>
      </c>
    </row>
    <row r="55" spans="1:2" x14ac:dyDescent="0.2">
      <c r="A55" s="65">
        <v>750</v>
      </c>
      <c r="B55" s="65">
        <v>8200</v>
      </c>
    </row>
    <row r="56" spans="1:2" x14ac:dyDescent="0.2">
      <c r="A56" s="51">
        <v>580</v>
      </c>
      <c r="B56" s="51">
        <v>9000</v>
      </c>
    </row>
    <row r="57" spans="1:2" x14ac:dyDescent="0.2">
      <c r="A57" s="65">
        <v>650</v>
      </c>
      <c r="B57" s="65">
        <v>7000</v>
      </c>
    </row>
    <row r="58" spans="1:2" x14ac:dyDescent="0.2">
      <c r="A58" s="51">
        <v>500</v>
      </c>
      <c r="B58" s="51">
        <v>4300</v>
      </c>
    </row>
    <row r="59" spans="1:2" x14ac:dyDescent="0.2">
      <c r="A59" s="65">
        <v>720</v>
      </c>
      <c r="B59" s="65">
        <v>3400</v>
      </c>
    </row>
    <row r="60" spans="1:2" x14ac:dyDescent="0.2">
      <c r="A60" s="51">
        <v>780</v>
      </c>
      <c r="B60" s="51">
        <v>4800</v>
      </c>
    </row>
    <row r="61" spans="1:2" x14ac:dyDescent="0.2">
      <c r="A61" s="65">
        <v>850</v>
      </c>
      <c r="B61" s="65">
        <v>5800</v>
      </c>
    </row>
    <row r="62" spans="1:2" x14ac:dyDescent="0.2">
      <c r="A62" s="51">
        <v>800</v>
      </c>
      <c r="B62" s="51">
        <v>8500</v>
      </c>
    </row>
    <row r="63" spans="1:2" x14ac:dyDescent="0.2">
      <c r="A63" s="65">
        <v>720</v>
      </c>
      <c r="B63" s="65">
        <v>9500</v>
      </c>
    </row>
    <row r="64" spans="1:2" x14ac:dyDescent="0.2">
      <c r="A64" s="51">
        <v>650</v>
      </c>
      <c r="B64" s="51">
        <v>5500</v>
      </c>
    </row>
    <row r="65" spans="1:2" x14ac:dyDescent="0.2">
      <c r="A65" s="65">
        <v>600</v>
      </c>
      <c r="B65" s="65">
        <v>5200</v>
      </c>
    </row>
    <row r="66" spans="1:2" x14ac:dyDescent="0.2">
      <c r="A66" s="51">
        <v>5000</v>
      </c>
      <c r="B66" s="51">
        <v>8200</v>
      </c>
    </row>
    <row r="67" spans="1:2" x14ac:dyDescent="0.2">
      <c r="A67" s="65">
        <v>1000</v>
      </c>
      <c r="B67" s="65">
        <v>1400</v>
      </c>
    </row>
    <row r="68" spans="1:2" x14ac:dyDescent="0.2">
      <c r="A68" s="51">
        <v>1000</v>
      </c>
      <c r="B68" s="51">
        <v>20000</v>
      </c>
    </row>
    <row r="69" spans="1:2" x14ac:dyDescent="0.2">
      <c r="A69" s="65">
        <v>15000</v>
      </c>
      <c r="B69" s="65">
        <v>3000</v>
      </c>
    </row>
    <row r="70" spans="1:2" x14ac:dyDescent="0.2">
      <c r="A70" s="51">
        <v>700</v>
      </c>
      <c r="B70" s="89">
        <v>950</v>
      </c>
    </row>
    <row r="71" spans="1:2" x14ac:dyDescent="0.2">
      <c r="A71" s="65">
        <v>600</v>
      </c>
      <c r="B71" s="65">
        <v>5600</v>
      </c>
    </row>
    <row r="72" spans="1:2" x14ac:dyDescent="0.2">
      <c r="A72" s="51">
        <v>600</v>
      </c>
      <c r="B72" s="51">
        <v>7100</v>
      </c>
    </row>
    <row r="73" spans="1:2" x14ac:dyDescent="0.2">
      <c r="A73" s="65">
        <v>3800</v>
      </c>
      <c r="B73" s="65">
        <v>5200</v>
      </c>
    </row>
    <row r="74" spans="1:2" x14ac:dyDescent="0.2">
      <c r="A74" s="51">
        <v>500</v>
      </c>
      <c r="B74" s="51">
        <v>10200</v>
      </c>
    </row>
    <row r="75" spans="1:2" x14ac:dyDescent="0.2">
      <c r="A75" s="65">
        <v>1000</v>
      </c>
      <c r="B75" s="65">
        <v>900</v>
      </c>
    </row>
    <row r="76" spans="1:2" x14ac:dyDescent="0.2">
      <c r="A76" s="51">
        <v>900</v>
      </c>
      <c r="B76" s="51">
        <v>4800</v>
      </c>
    </row>
    <row r="77" spans="1:2" x14ac:dyDescent="0.2">
      <c r="A77" s="65">
        <v>3500</v>
      </c>
      <c r="B77" s="65">
        <v>6400</v>
      </c>
    </row>
    <row r="78" spans="1:2" x14ac:dyDescent="0.2">
      <c r="A78" s="51">
        <v>1600</v>
      </c>
      <c r="B78" s="51">
        <v>4900</v>
      </c>
    </row>
    <row r="79" spans="1:2" x14ac:dyDescent="0.2">
      <c r="A79" s="65">
        <v>850</v>
      </c>
      <c r="B79" s="65">
        <v>9900</v>
      </c>
    </row>
    <row r="80" spans="1:2" x14ac:dyDescent="0.2">
      <c r="A80" s="51">
        <v>550</v>
      </c>
      <c r="B80" s="51">
        <v>990</v>
      </c>
    </row>
    <row r="81" spans="1:2" x14ac:dyDescent="0.2">
      <c r="A81" s="65">
        <v>5000</v>
      </c>
      <c r="B81" s="65">
        <v>4200</v>
      </c>
    </row>
    <row r="82" spans="1:2" x14ac:dyDescent="0.2">
      <c r="A82" s="51">
        <v>550</v>
      </c>
      <c r="B82" s="51">
        <v>4200</v>
      </c>
    </row>
    <row r="83" spans="1:2" x14ac:dyDescent="0.2">
      <c r="A83" s="65">
        <v>600</v>
      </c>
      <c r="B83" s="65">
        <v>5200</v>
      </c>
    </row>
    <row r="84" spans="1:2" x14ac:dyDescent="0.2">
      <c r="A84" s="51">
        <v>5200</v>
      </c>
      <c r="B84" s="51">
        <v>9500</v>
      </c>
    </row>
    <row r="85" spans="1:2" x14ac:dyDescent="0.2">
      <c r="A85" s="65">
        <v>500</v>
      </c>
      <c r="B85" s="65">
        <v>4900</v>
      </c>
    </row>
    <row r="86" spans="1:2" x14ac:dyDescent="0.2">
      <c r="A86" s="51">
        <v>450</v>
      </c>
      <c r="B86" s="51">
        <v>650</v>
      </c>
    </row>
    <row r="87" spans="1:2" x14ac:dyDescent="0.2">
      <c r="A87" s="65">
        <v>750</v>
      </c>
      <c r="B87" s="65">
        <v>1700</v>
      </c>
    </row>
    <row r="88" spans="1:2" x14ac:dyDescent="0.2">
      <c r="A88" s="51">
        <v>1500</v>
      </c>
      <c r="B88" s="51">
        <v>8700</v>
      </c>
    </row>
    <row r="89" spans="1:2" x14ac:dyDescent="0.2">
      <c r="A89" s="65">
        <v>500</v>
      </c>
      <c r="B89" s="65">
        <v>4200</v>
      </c>
    </row>
    <row r="90" spans="1:2" x14ac:dyDescent="0.2">
      <c r="A90" s="51">
        <v>20000</v>
      </c>
      <c r="B90" s="51">
        <v>4800</v>
      </c>
    </row>
    <row r="91" spans="1:2" x14ac:dyDescent="0.2">
      <c r="A91" s="90">
        <v>850</v>
      </c>
      <c r="B91" s="65">
        <v>9200</v>
      </c>
    </row>
    <row r="92" spans="1:2" x14ac:dyDescent="0.2">
      <c r="A92" s="89">
        <v>1000</v>
      </c>
      <c r="B92" s="51">
        <v>4000</v>
      </c>
    </row>
    <row r="93" spans="1:2" x14ac:dyDescent="0.2">
      <c r="A93" s="65">
        <v>10000</v>
      </c>
      <c r="B93" s="65">
        <v>12000</v>
      </c>
    </row>
    <row r="94" spans="1:2" x14ac:dyDescent="0.2">
      <c r="A94" s="51">
        <v>1000</v>
      </c>
      <c r="B94" s="51">
        <v>6000</v>
      </c>
    </row>
    <row r="95" spans="1:2" x14ac:dyDescent="0.2">
      <c r="A95" s="65">
        <v>400</v>
      </c>
      <c r="B95" s="65">
        <v>9000</v>
      </c>
    </row>
    <row r="96" spans="1:2" x14ac:dyDescent="0.2">
      <c r="A96" s="51">
        <v>7000</v>
      </c>
      <c r="B96" s="51">
        <v>1500</v>
      </c>
    </row>
    <row r="97" spans="1:2" x14ac:dyDescent="0.2">
      <c r="A97" s="90">
        <v>850</v>
      </c>
      <c r="B97" s="65">
        <v>7000</v>
      </c>
    </row>
    <row r="98" spans="1:2" x14ac:dyDescent="0.2">
      <c r="A98" s="51">
        <v>2000</v>
      </c>
      <c r="B98" s="51">
        <v>1600</v>
      </c>
    </row>
    <row r="99" spans="1:2" x14ac:dyDescent="0.2">
      <c r="A99" s="65">
        <v>4000</v>
      </c>
      <c r="B99" s="65">
        <v>9000</v>
      </c>
    </row>
    <row r="100" spans="1:2" x14ac:dyDescent="0.2">
      <c r="A100" s="89">
        <v>1000</v>
      </c>
      <c r="B100" s="51">
        <v>1800</v>
      </c>
    </row>
    <row r="101" spans="1:2" x14ac:dyDescent="0.2">
      <c r="A101" s="90">
        <v>1000</v>
      </c>
      <c r="B101" s="65">
        <v>14000</v>
      </c>
    </row>
    <row r="102" spans="1:2" x14ac:dyDescent="0.2">
      <c r="A102" s="89">
        <v>1500</v>
      </c>
      <c r="B102" s="51">
        <v>850</v>
      </c>
    </row>
    <row r="103" spans="1:2" x14ac:dyDescent="0.2">
      <c r="A103" s="65">
        <v>5000</v>
      </c>
      <c r="B103" s="65">
        <v>8200</v>
      </c>
    </row>
    <row r="104" spans="1:2" x14ac:dyDescent="0.2">
      <c r="A104" s="51">
        <v>1000</v>
      </c>
      <c r="B104" s="51">
        <v>3000</v>
      </c>
    </row>
    <row r="105" spans="1:2" x14ac:dyDescent="0.2">
      <c r="A105" s="90">
        <v>1000</v>
      </c>
      <c r="B105" s="65">
        <v>5500</v>
      </c>
    </row>
    <row r="106" spans="1:2" x14ac:dyDescent="0.2">
      <c r="A106" s="89">
        <v>1500</v>
      </c>
      <c r="B106" s="51">
        <v>7500</v>
      </c>
    </row>
    <row r="107" spans="1:2" x14ac:dyDescent="0.2">
      <c r="A107" s="90">
        <v>550</v>
      </c>
      <c r="B107" s="90">
        <v>750</v>
      </c>
    </row>
    <row r="108" spans="1:2" x14ac:dyDescent="0.2">
      <c r="A108" s="89">
        <v>950</v>
      </c>
      <c r="B108" s="89">
        <v>1000</v>
      </c>
    </row>
    <row r="109" spans="1:2" x14ac:dyDescent="0.2">
      <c r="A109" s="90">
        <v>550</v>
      </c>
      <c r="B109" s="90">
        <v>1000</v>
      </c>
    </row>
    <row r="110" spans="1:2" x14ac:dyDescent="0.2">
      <c r="A110" s="51">
        <v>1800</v>
      </c>
      <c r="B110" s="51">
        <v>6000</v>
      </c>
    </row>
    <row r="111" spans="1:2" x14ac:dyDescent="0.2">
      <c r="A111" s="65">
        <v>4500</v>
      </c>
      <c r="B111" s="65">
        <v>400</v>
      </c>
    </row>
    <row r="112" spans="1:2" x14ac:dyDescent="0.2">
      <c r="A112" s="51">
        <v>900</v>
      </c>
      <c r="B112" s="51">
        <v>4500</v>
      </c>
    </row>
    <row r="113" spans="1:2" x14ac:dyDescent="0.2">
      <c r="A113" s="65">
        <v>750</v>
      </c>
      <c r="B113" s="65">
        <v>14000</v>
      </c>
    </row>
    <row r="114" spans="1:2" x14ac:dyDescent="0.2">
      <c r="A114" s="51">
        <v>1200</v>
      </c>
      <c r="B114" s="51">
        <v>7000</v>
      </c>
    </row>
    <row r="115" spans="1:2" x14ac:dyDescent="0.2">
      <c r="A115" s="65">
        <v>3000</v>
      </c>
      <c r="B115" s="65">
        <v>12500</v>
      </c>
    </row>
    <row r="116" spans="1:2" x14ac:dyDescent="0.2">
      <c r="A116" s="51">
        <v>900</v>
      </c>
      <c r="B116" s="51">
        <v>8000</v>
      </c>
    </row>
    <row r="117" spans="1:2" x14ac:dyDescent="0.2">
      <c r="A117" s="65">
        <v>600</v>
      </c>
      <c r="B117" s="65">
        <v>1400</v>
      </c>
    </row>
    <row r="118" spans="1:2" x14ac:dyDescent="0.2">
      <c r="A118" s="51">
        <v>3200</v>
      </c>
      <c r="B118" s="51">
        <v>7800</v>
      </c>
    </row>
    <row r="119" spans="1:2" x14ac:dyDescent="0.2">
      <c r="A119" s="65">
        <v>500</v>
      </c>
      <c r="B119" s="65">
        <v>13200</v>
      </c>
    </row>
    <row r="120" spans="1:2" x14ac:dyDescent="0.2">
      <c r="A120" s="51">
        <v>850</v>
      </c>
      <c r="B120" s="51">
        <v>3800</v>
      </c>
    </row>
    <row r="121" spans="1:2" x14ac:dyDescent="0.2">
      <c r="A121" s="65">
        <v>750</v>
      </c>
      <c r="B121" s="65">
        <v>6700</v>
      </c>
    </row>
    <row r="122" spans="1:2" x14ac:dyDescent="0.2">
      <c r="A122" s="51">
        <v>1000</v>
      </c>
      <c r="B122" s="51">
        <v>4600</v>
      </c>
    </row>
    <row r="123" spans="1:2" x14ac:dyDescent="0.2">
      <c r="A123" s="65">
        <v>400</v>
      </c>
      <c r="B123" s="65">
        <v>1300</v>
      </c>
    </row>
    <row r="124" spans="1:2" x14ac:dyDescent="0.2">
      <c r="A124" s="51">
        <v>3900</v>
      </c>
      <c r="B124" s="51">
        <v>3900</v>
      </c>
    </row>
    <row r="125" spans="1:2" x14ac:dyDescent="0.2">
      <c r="A125" s="65">
        <v>500</v>
      </c>
      <c r="B125" s="65">
        <v>8500</v>
      </c>
    </row>
    <row r="126" spans="1:2" x14ac:dyDescent="0.2">
      <c r="A126" s="51">
        <v>500</v>
      </c>
      <c r="B126" s="51">
        <v>3600</v>
      </c>
    </row>
    <row r="127" spans="1:2" x14ac:dyDescent="0.2">
      <c r="A127" s="65">
        <v>650</v>
      </c>
      <c r="B127" s="65">
        <v>1600</v>
      </c>
    </row>
    <row r="128" spans="1:2" x14ac:dyDescent="0.2">
      <c r="A128" s="51">
        <v>1100</v>
      </c>
      <c r="B128" s="51">
        <v>1200</v>
      </c>
    </row>
    <row r="129" spans="1:2" x14ac:dyDescent="0.2">
      <c r="A129" s="65">
        <v>650</v>
      </c>
      <c r="B129" s="65">
        <v>1450</v>
      </c>
    </row>
    <row r="130" spans="1:2" x14ac:dyDescent="0.2">
      <c r="A130" s="51">
        <v>3800</v>
      </c>
      <c r="B130" s="51">
        <v>9000</v>
      </c>
    </row>
    <row r="131" spans="1:2" x14ac:dyDescent="0.2">
      <c r="A131" s="65">
        <v>1250</v>
      </c>
      <c r="B131" s="65">
        <v>4500</v>
      </c>
    </row>
    <row r="132" spans="1:2" x14ac:dyDescent="0.2">
      <c r="A132" s="51">
        <v>650</v>
      </c>
      <c r="B132" s="51">
        <v>4200</v>
      </c>
    </row>
    <row r="133" spans="1:2" x14ac:dyDescent="0.2">
      <c r="A133" s="65">
        <v>4400</v>
      </c>
      <c r="B133" s="65">
        <v>13800</v>
      </c>
    </row>
    <row r="134" spans="1:2" x14ac:dyDescent="0.2">
      <c r="A134" s="51">
        <v>520</v>
      </c>
      <c r="B134" s="51">
        <v>10200</v>
      </c>
    </row>
    <row r="135" spans="1:2" x14ac:dyDescent="0.2">
      <c r="A135" s="65">
        <v>3700</v>
      </c>
      <c r="B135" s="65">
        <v>1150</v>
      </c>
    </row>
    <row r="136" spans="1:2" x14ac:dyDescent="0.2">
      <c r="A136" s="51">
        <v>650</v>
      </c>
      <c r="B136" s="51">
        <v>14500</v>
      </c>
    </row>
    <row r="137" spans="1:2" x14ac:dyDescent="0.2">
      <c r="A137" s="65">
        <v>1000</v>
      </c>
      <c r="B137" s="65">
        <v>1000</v>
      </c>
    </row>
    <row r="138" spans="1:2" x14ac:dyDescent="0.2">
      <c r="A138" s="51">
        <v>400</v>
      </c>
      <c r="B138" s="51">
        <v>10800</v>
      </c>
    </row>
    <row r="139" spans="1:2" x14ac:dyDescent="0.2">
      <c r="A139" s="65">
        <v>1100</v>
      </c>
      <c r="B139" s="65">
        <v>15600</v>
      </c>
    </row>
    <row r="140" spans="1:2" x14ac:dyDescent="0.2">
      <c r="A140" s="51">
        <v>550</v>
      </c>
      <c r="B140" s="51">
        <v>1800</v>
      </c>
    </row>
    <row r="141" spans="1:2" x14ac:dyDescent="0.2">
      <c r="A141" s="65">
        <v>1000</v>
      </c>
      <c r="B141" s="65">
        <v>3609</v>
      </c>
    </row>
    <row r="142" spans="1:2" x14ac:dyDescent="0.2">
      <c r="A142" s="51">
        <v>780</v>
      </c>
      <c r="B142" s="51">
        <v>9200</v>
      </c>
    </row>
    <row r="143" spans="1:2" x14ac:dyDescent="0.2">
      <c r="A143" s="65">
        <v>4000</v>
      </c>
      <c r="B143" s="65">
        <v>900</v>
      </c>
    </row>
    <row r="144" spans="1:2" x14ac:dyDescent="0.2">
      <c r="A144" s="51">
        <v>1100</v>
      </c>
      <c r="B144" s="51">
        <v>14800</v>
      </c>
    </row>
    <row r="145" spans="1:2" x14ac:dyDescent="0.2">
      <c r="A145" s="65">
        <v>520</v>
      </c>
      <c r="B145" s="65">
        <v>1900</v>
      </c>
    </row>
    <row r="146" spans="1:2" x14ac:dyDescent="0.2">
      <c r="A146" s="51">
        <v>650</v>
      </c>
      <c r="B146" s="51">
        <v>1300</v>
      </c>
    </row>
    <row r="147" spans="1:2" x14ac:dyDescent="0.2">
      <c r="A147" s="65">
        <v>4000</v>
      </c>
      <c r="B147" s="65">
        <v>9700</v>
      </c>
    </row>
    <row r="148" spans="1:2" x14ac:dyDescent="0.2">
      <c r="A148" s="51">
        <v>650</v>
      </c>
      <c r="B148" s="51">
        <v>3900</v>
      </c>
    </row>
    <row r="149" spans="1:2" x14ac:dyDescent="0.2">
      <c r="A149" s="65">
        <v>520</v>
      </c>
      <c r="B149" s="65">
        <v>3700</v>
      </c>
    </row>
    <row r="150" spans="1:2" x14ac:dyDescent="0.2">
      <c r="A150" s="51">
        <v>650</v>
      </c>
      <c r="B150" s="51">
        <v>11000</v>
      </c>
    </row>
    <row r="151" spans="1:2" x14ac:dyDescent="0.2">
      <c r="A151" s="65">
        <v>420</v>
      </c>
      <c r="B151" s="65">
        <v>4000</v>
      </c>
    </row>
    <row r="152" spans="1:2" x14ac:dyDescent="0.2">
      <c r="A152" s="51">
        <v>1000</v>
      </c>
      <c r="B152" s="51">
        <v>1550</v>
      </c>
    </row>
    <row r="153" spans="1:2" x14ac:dyDescent="0.2">
      <c r="A153" s="65">
        <v>390</v>
      </c>
      <c r="B153" s="65">
        <v>11500</v>
      </c>
    </row>
    <row r="154" spans="1:2" x14ac:dyDescent="0.2">
      <c r="A154" s="51">
        <v>3000</v>
      </c>
      <c r="B154" s="51">
        <v>4200</v>
      </c>
    </row>
    <row r="155" spans="1:2" x14ac:dyDescent="0.2">
      <c r="A155" s="65">
        <v>650</v>
      </c>
      <c r="B155" s="65">
        <v>12000</v>
      </c>
    </row>
    <row r="156" spans="1:2" x14ac:dyDescent="0.2">
      <c r="A156" s="51">
        <v>850</v>
      </c>
      <c r="B156" s="51">
        <v>4700</v>
      </c>
    </row>
    <row r="157" spans="1:2" x14ac:dyDescent="0.2">
      <c r="A157" s="65">
        <v>300</v>
      </c>
      <c r="B157" s="65">
        <v>4200</v>
      </c>
    </row>
    <row r="158" spans="1:2" x14ac:dyDescent="0.2">
      <c r="A158" s="51">
        <v>900</v>
      </c>
      <c r="B158" s="51">
        <v>1450</v>
      </c>
    </row>
    <row r="159" spans="1:2" x14ac:dyDescent="0.2">
      <c r="A159" s="65">
        <v>650</v>
      </c>
      <c r="B159" s="65">
        <v>12800</v>
      </c>
    </row>
    <row r="160" spans="1:2" x14ac:dyDescent="0.2">
      <c r="A160" s="51">
        <v>12000</v>
      </c>
      <c r="B160" s="51">
        <v>4000</v>
      </c>
    </row>
    <row r="161" spans="1:2" x14ac:dyDescent="0.2">
      <c r="A161" s="65">
        <v>1000</v>
      </c>
      <c r="B161" s="65">
        <v>11800</v>
      </c>
    </row>
    <row r="162" spans="1:2" x14ac:dyDescent="0.2">
      <c r="A162" s="51">
        <v>850</v>
      </c>
      <c r="B162" s="51">
        <v>4400</v>
      </c>
    </row>
    <row r="163" spans="1:2" x14ac:dyDescent="0.2">
      <c r="A163" s="65">
        <v>390</v>
      </c>
      <c r="B163" s="65">
        <v>4500</v>
      </c>
    </row>
    <row r="164" spans="1:2" x14ac:dyDescent="0.2">
      <c r="A164" s="51">
        <v>780</v>
      </c>
      <c r="B164" s="51">
        <v>1300</v>
      </c>
    </row>
    <row r="165" spans="1:2" x14ac:dyDescent="0.2">
      <c r="A165" s="65">
        <v>520</v>
      </c>
      <c r="B165" s="65">
        <v>3600</v>
      </c>
    </row>
    <row r="166" spans="1:2" x14ac:dyDescent="0.2">
      <c r="A166" s="51">
        <v>520</v>
      </c>
      <c r="B166" s="51">
        <v>11000</v>
      </c>
    </row>
    <row r="167" spans="1:2" x14ac:dyDescent="0.2">
      <c r="A167" s="65">
        <v>520</v>
      </c>
      <c r="B167" s="65">
        <v>1000</v>
      </c>
    </row>
    <row r="168" spans="1:2" x14ac:dyDescent="0.2">
      <c r="A168" s="51">
        <v>910</v>
      </c>
      <c r="B168" s="51">
        <v>10800</v>
      </c>
    </row>
    <row r="169" spans="1:2" x14ac:dyDescent="0.2">
      <c r="A169" s="65">
        <v>350</v>
      </c>
      <c r="B169" s="65">
        <v>4000</v>
      </c>
    </row>
    <row r="170" spans="1:2" x14ac:dyDescent="0.2">
      <c r="A170" s="51">
        <v>1300</v>
      </c>
      <c r="B170" s="51">
        <v>4000</v>
      </c>
    </row>
    <row r="171" spans="1:2" x14ac:dyDescent="0.2">
      <c r="A171" s="65">
        <v>780</v>
      </c>
      <c r="B171" s="65">
        <v>1300</v>
      </c>
    </row>
    <row r="172" spans="1:2" x14ac:dyDescent="0.2">
      <c r="A172" s="51">
        <v>900</v>
      </c>
      <c r="B172" s="51">
        <v>11600</v>
      </c>
    </row>
    <row r="173" spans="1:2" x14ac:dyDescent="0.2">
      <c r="A173" s="65">
        <v>390</v>
      </c>
      <c r="B173" s="65">
        <v>4300</v>
      </c>
    </row>
    <row r="174" spans="1:2" x14ac:dyDescent="0.2">
      <c r="A174" s="51">
        <v>1070</v>
      </c>
      <c r="B174" s="51">
        <v>3000</v>
      </c>
    </row>
    <row r="175" spans="1:2" x14ac:dyDescent="0.2">
      <c r="A175" s="65">
        <v>1300</v>
      </c>
      <c r="B175" s="65">
        <v>2800</v>
      </c>
    </row>
    <row r="176" spans="1:2" x14ac:dyDescent="0.2">
      <c r="A176" s="51">
        <v>900</v>
      </c>
      <c r="B176" s="51">
        <v>4000</v>
      </c>
    </row>
    <row r="177" spans="1:2" x14ac:dyDescent="0.2">
      <c r="A177" s="65">
        <v>520</v>
      </c>
      <c r="B177" s="65">
        <v>3000</v>
      </c>
    </row>
    <row r="178" spans="1:2" x14ac:dyDescent="0.2">
      <c r="A178" s="51">
        <v>1000</v>
      </c>
      <c r="B178" s="51">
        <v>11800</v>
      </c>
    </row>
    <row r="179" spans="1:2" x14ac:dyDescent="0.2">
      <c r="A179" s="65">
        <v>1070</v>
      </c>
      <c r="B179" s="65">
        <v>3000</v>
      </c>
    </row>
    <row r="180" spans="1:2" x14ac:dyDescent="0.2">
      <c r="A180" s="51">
        <v>650</v>
      </c>
      <c r="B180" s="51">
        <v>4000</v>
      </c>
    </row>
    <row r="181" spans="1:2" x14ac:dyDescent="0.2">
      <c r="A181" s="65">
        <v>390</v>
      </c>
      <c r="B181" s="65">
        <v>650</v>
      </c>
    </row>
    <row r="182" spans="1:2" x14ac:dyDescent="0.2">
      <c r="A182" s="51">
        <v>1430</v>
      </c>
      <c r="B182" s="51">
        <v>8300</v>
      </c>
    </row>
    <row r="183" spans="1:2" x14ac:dyDescent="0.2">
      <c r="A183" s="65">
        <v>260</v>
      </c>
      <c r="B183" s="65">
        <v>4000</v>
      </c>
    </row>
    <row r="184" spans="1:2" x14ac:dyDescent="0.2">
      <c r="A184" s="51">
        <v>390</v>
      </c>
      <c r="B184" s="51">
        <v>1500</v>
      </c>
    </row>
    <row r="185" spans="1:2" x14ac:dyDescent="0.2">
      <c r="A185" s="65">
        <v>650</v>
      </c>
      <c r="B185" s="65">
        <v>330</v>
      </c>
    </row>
    <row r="186" spans="1:2" x14ac:dyDescent="0.2">
      <c r="A186" s="51">
        <v>1430</v>
      </c>
      <c r="B186" s="51">
        <v>9000</v>
      </c>
    </row>
    <row r="187" spans="1:2" x14ac:dyDescent="0.2">
      <c r="A187" s="65">
        <v>520</v>
      </c>
      <c r="B187" s="65">
        <v>2200</v>
      </c>
    </row>
    <row r="188" spans="1:2" x14ac:dyDescent="0.2">
      <c r="A188" s="51">
        <v>390</v>
      </c>
      <c r="B188" s="51">
        <v>1300</v>
      </c>
    </row>
    <row r="189" spans="1:2" x14ac:dyDescent="0.2">
      <c r="A189" s="65">
        <v>260</v>
      </c>
      <c r="B189" s="65">
        <v>3200</v>
      </c>
    </row>
    <row r="190" spans="1:2" x14ac:dyDescent="0.2">
      <c r="A190" s="51">
        <v>390</v>
      </c>
      <c r="B190" s="51">
        <v>10600</v>
      </c>
    </row>
    <row r="191" spans="1:2" x14ac:dyDescent="0.2">
      <c r="A191" s="65">
        <v>650</v>
      </c>
      <c r="B191" s="65">
        <v>3900</v>
      </c>
    </row>
    <row r="192" spans="1:2" x14ac:dyDescent="0.2">
      <c r="A192" s="51">
        <v>390</v>
      </c>
      <c r="B192" s="51">
        <v>3700</v>
      </c>
    </row>
    <row r="193" spans="1:2" x14ac:dyDescent="0.2">
      <c r="A193" s="65">
        <v>1430</v>
      </c>
      <c r="B193" s="65">
        <v>1000</v>
      </c>
    </row>
    <row r="194" spans="1:2" x14ac:dyDescent="0.2">
      <c r="A194" s="51">
        <v>520</v>
      </c>
      <c r="B194" s="51">
        <v>3800</v>
      </c>
    </row>
    <row r="195" spans="1:2" x14ac:dyDescent="0.2">
      <c r="A195" s="65">
        <v>780</v>
      </c>
      <c r="B195" s="65">
        <v>520</v>
      </c>
    </row>
    <row r="196" spans="1:2" x14ac:dyDescent="0.2">
      <c r="A196" s="51">
        <v>520</v>
      </c>
      <c r="B196" s="51">
        <v>9900</v>
      </c>
    </row>
    <row r="197" spans="1:2" x14ac:dyDescent="0.2">
      <c r="A197" s="65">
        <v>390</v>
      </c>
      <c r="B197" s="65">
        <v>11430</v>
      </c>
    </row>
    <row r="198" spans="1:2" x14ac:dyDescent="0.2">
      <c r="A198" s="51">
        <v>520</v>
      </c>
      <c r="B198" s="51">
        <v>4000</v>
      </c>
    </row>
    <row r="199" spans="1:2" x14ac:dyDescent="0.2">
      <c r="A199" s="65">
        <v>390</v>
      </c>
      <c r="B199" s="65">
        <v>2900</v>
      </c>
    </row>
    <row r="200" spans="1:2" x14ac:dyDescent="0.2">
      <c r="A200" s="51">
        <v>650</v>
      </c>
      <c r="B200" s="51">
        <v>2400</v>
      </c>
    </row>
    <row r="201" spans="1:2" x14ac:dyDescent="0.2">
      <c r="A201" s="65">
        <v>780</v>
      </c>
      <c r="B201" s="65">
        <v>1700</v>
      </c>
    </row>
    <row r="202" spans="1:2" x14ac:dyDescent="0.2">
      <c r="A202" s="51">
        <v>1170</v>
      </c>
      <c r="B202" s="51">
        <v>6500</v>
      </c>
    </row>
    <row r="203" spans="1:2" x14ac:dyDescent="0.2">
      <c r="A203" s="65">
        <v>520</v>
      </c>
      <c r="B203" s="65">
        <v>2000</v>
      </c>
    </row>
    <row r="204" spans="1:2" x14ac:dyDescent="0.2">
      <c r="A204" s="51">
        <v>910</v>
      </c>
      <c r="B204" s="51">
        <v>2600</v>
      </c>
    </row>
    <row r="205" spans="1:2" x14ac:dyDescent="0.2">
      <c r="A205" s="65">
        <v>390</v>
      </c>
      <c r="B205" s="65">
        <v>2200</v>
      </c>
    </row>
    <row r="206" spans="1:2" x14ac:dyDescent="0.2">
      <c r="A206" s="51">
        <v>520</v>
      </c>
      <c r="B206" s="51">
        <v>3800</v>
      </c>
    </row>
    <row r="207" spans="1:2" x14ac:dyDescent="0.2">
      <c r="A207" s="65">
        <v>780</v>
      </c>
      <c r="B207" s="65">
        <v>11000</v>
      </c>
    </row>
    <row r="208" spans="1:2" x14ac:dyDescent="0.2">
      <c r="A208" s="51">
        <v>650</v>
      </c>
      <c r="B208" s="51">
        <v>9400</v>
      </c>
    </row>
    <row r="209" spans="1:2" x14ac:dyDescent="0.2">
      <c r="A209" s="65">
        <v>390</v>
      </c>
      <c r="B209" s="65">
        <v>6800</v>
      </c>
    </row>
    <row r="210" spans="1:2" x14ac:dyDescent="0.2">
      <c r="A210" s="51">
        <v>390</v>
      </c>
      <c r="B210" s="51">
        <v>4000</v>
      </c>
    </row>
    <row r="211" spans="1:2" x14ac:dyDescent="0.2">
      <c r="A211" s="65">
        <v>650</v>
      </c>
      <c r="B211" s="65">
        <v>390</v>
      </c>
    </row>
    <row r="212" spans="1:2" x14ac:dyDescent="0.2">
      <c r="A212" s="51">
        <v>390</v>
      </c>
      <c r="B212" s="51">
        <v>3900</v>
      </c>
    </row>
    <row r="213" spans="1:2" x14ac:dyDescent="0.2">
      <c r="A213" s="65">
        <v>390</v>
      </c>
      <c r="B213" s="65">
        <v>1300</v>
      </c>
    </row>
    <row r="214" spans="1:2" x14ac:dyDescent="0.2">
      <c r="A214" s="51">
        <v>420</v>
      </c>
      <c r="B214" s="51">
        <v>1300</v>
      </c>
    </row>
    <row r="215" spans="1:2" x14ac:dyDescent="0.2">
      <c r="A215" s="65">
        <v>880</v>
      </c>
      <c r="B215" s="65">
        <v>520</v>
      </c>
    </row>
    <row r="216" spans="1:2" x14ac:dyDescent="0.2">
      <c r="A216" s="51">
        <v>2800</v>
      </c>
      <c r="B216" s="51">
        <v>4500</v>
      </c>
    </row>
    <row r="217" spans="1:2" x14ac:dyDescent="0.2">
      <c r="A217" s="65">
        <v>650</v>
      </c>
      <c r="B217" s="65">
        <v>1560</v>
      </c>
    </row>
    <row r="218" spans="1:2" x14ac:dyDescent="0.2">
      <c r="A218" s="51">
        <v>390</v>
      </c>
      <c r="B218" s="51">
        <v>1690</v>
      </c>
    </row>
    <row r="219" spans="1:2" x14ac:dyDescent="0.2">
      <c r="A219" s="65">
        <v>3200</v>
      </c>
      <c r="B219" s="65">
        <v>3600</v>
      </c>
    </row>
    <row r="220" spans="1:2" x14ac:dyDescent="0.2">
      <c r="A220" s="51">
        <v>1430</v>
      </c>
      <c r="B220" s="51">
        <v>9600</v>
      </c>
    </row>
    <row r="221" spans="1:2" x14ac:dyDescent="0.2">
      <c r="A221" s="65">
        <v>780</v>
      </c>
      <c r="B221" s="65">
        <v>9200</v>
      </c>
    </row>
    <row r="222" spans="1:2" x14ac:dyDescent="0.2">
      <c r="A222" s="51">
        <v>3600</v>
      </c>
      <c r="B222" s="51">
        <v>1560</v>
      </c>
    </row>
    <row r="223" spans="1:2" x14ac:dyDescent="0.2">
      <c r="A223" s="65">
        <v>430</v>
      </c>
      <c r="B223" s="65">
        <v>1820</v>
      </c>
    </row>
    <row r="224" spans="1:2" x14ac:dyDescent="0.2">
      <c r="A224" s="51">
        <v>900</v>
      </c>
      <c r="B224" s="51">
        <v>3900</v>
      </c>
    </row>
    <row r="225" spans="1:2" x14ac:dyDescent="0.2">
      <c r="A225" s="65">
        <v>1900</v>
      </c>
      <c r="B225" s="65">
        <v>1690</v>
      </c>
    </row>
    <row r="226" spans="1:2" x14ac:dyDescent="0.2">
      <c r="A226" s="51">
        <v>650</v>
      </c>
      <c r="B226" s="51">
        <v>11000</v>
      </c>
    </row>
    <row r="227" spans="1:2" x14ac:dyDescent="0.2">
      <c r="A227" s="65">
        <v>3000</v>
      </c>
      <c r="B227" s="65">
        <v>4400</v>
      </c>
    </row>
    <row r="228" spans="1:2" x14ac:dyDescent="0.2">
      <c r="A228" s="51">
        <v>600</v>
      </c>
      <c r="B228" s="51">
        <v>4000</v>
      </c>
    </row>
    <row r="229" spans="1:2" x14ac:dyDescent="0.2">
      <c r="A229" s="65">
        <v>2300</v>
      </c>
      <c r="B229" s="65">
        <v>9400</v>
      </c>
    </row>
    <row r="230" spans="1:2" x14ac:dyDescent="0.2">
      <c r="A230" s="51">
        <v>630</v>
      </c>
      <c r="B230" s="51">
        <v>8800</v>
      </c>
    </row>
    <row r="231" spans="1:2" x14ac:dyDescent="0.2">
      <c r="A231" s="65">
        <v>780</v>
      </c>
      <c r="B231" s="65">
        <v>3700</v>
      </c>
    </row>
    <row r="232" spans="1:2" x14ac:dyDescent="0.2">
      <c r="A232" s="51">
        <v>780</v>
      </c>
      <c r="B232" s="51">
        <v>9200</v>
      </c>
    </row>
    <row r="233" spans="1:2" x14ac:dyDescent="0.2">
      <c r="A233" s="65">
        <v>3520</v>
      </c>
      <c r="B233" s="65">
        <v>780</v>
      </c>
    </row>
    <row r="234" spans="1:2" x14ac:dyDescent="0.2">
      <c r="A234" s="51">
        <v>530</v>
      </c>
      <c r="B234" s="51">
        <v>1180</v>
      </c>
    </row>
    <row r="235" spans="1:2" x14ac:dyDescent="0.2">
      <c r="A235" s="65">
        <v>1180</v>
      </c>
      <c r="B235" s="65">
        <v>3600</v>
      </c>
    </row>
    <row r="236" spans="1:2" x14ac:dyDescent="0.2">
      <c r="A236" s="51">
        <v>3000</v>
      </c>
      <c r="B236" s="51">
        <v>2080</v>
      </c>
    </row>
    <row r="237" spans="1:2" x14ac:dyDescent="0.2">
      <c r="A237" s="90">
        <v>555</v>
      </c>
      <c r="B237" s="65">
        <v>4350</v>
      </c>
    </row>
    <row r="238" spans="1:2" x14ac:dyDescent="0.2">
      <c r="A238" s="89">
        <v>650</v>
      </c>
      <c r="B238" s="51">
        <v>520</v>
      </c>
    </row>
    <row r="239" spans="1:2" x14ac:dyDescent="0.2">
      <c r="A239" s="90">
        <v>750</v>
      </c>
      <c r="B239" s="65">
        <v>11430</v>
      </c>
    </row>
    <row r="240" spans="1:2" x14ac:dyDescent="0.2">
      <c r="A240" s="89">
        <v>950</v>
      </c>
      <c r="B240" s="51">
        <v>900</v>
      </c>
    </row>
    <row r="241" spans="1:2" x14ac:dyDescent="0.2">
      <c r="A241" s="90">
        <v>1000</v>
      </c>
      <c r="B241" s="65">
        <v>910</v>
      </c>
    </row>
    <row r="242" spans="1:2" x14ac:dyDescent="0.2">
      <c r="A242" s="51">
        <v>3000</v>
      </c>
      <c r="B242" s="51">
        <v>1560</v>
      </c>
    </row>
    <row r="243" spans="1:2" x14ac:dyDescent="0.2">
      <c r="A243" s="90">
        <v>1000</v>
      </c>
      <c r="B243" s="65">
        <v>4160</v>
      </c>
    </row>
    <row r="244" spans="1:2" x14ac:dyDescent="0.2">
      <c r="A244" s="51">
        <v>1170</v>
      </c>
      <c r="B244" s="51">
        <v>1560</v>
      </c>
    </row>
    <row r="245" spans="1:2" x14ac:dyDescent="0.2">
      <c r="A245" s="65">
        <v>520</v>
      </c>
      <c r="B245" s="65">
        <v>4550</v>
      </c>
    </row>
    <row r="246" spans="1:2" x14ac:dyDescent="0.2">
      <c r="A246" s="51">
        <v>520</v>
      </c>
      <c r="B246" s="51">
        <v>1430</v>
      </c>
    </row>
    <row r="247" spans="1:2" x14ac:dyDescent="0.2">
      <c r="A247" s="65">
        <v>680</v>
      </c>
      <c r="B247" s="65">
        <v>1040</v>
      </c>
    </row>
    <row r="248" spans="1:2" x14ac:dyDescent="0.2">
      <c r="A248" s="51">
        <v>2000</v>
      </c>
      <c r="B248" s="51">
        <v>7200</v>
      </c>
    </row>
    <row r="249" spans="1:2" x14ac:dyDescent="0.2">
      <c r="B249" s="65">
        <v>3250</v>
      </c>
    </row>
    <row r="250" spans="1:2" x14ac:dyDescent="0.2">
      <c r="B250" s="51">
        <v>4550</v>
      </c>
    </row>
    <row r="251" spans="1:2" x14ac:dyDescent="0.2">
      <c r="B251" s="65">
        <v>1430</v>
      </c>
    </row>
    <row r="252" spans="1:2" x14ac:dyDescent="0.2">
      <c r="B252" s="51">
        <v>780</v>
      </c>
    </row>
    <row r="253" spans="1:2" x14ac:dyDescent="0.2">
      <c r="B253" s="65">
        <v>4100</v>
      </c>
    </row>
    <row r="254" spans="1:2" x14ac:dyDescent="0.2">
      <c r="B254" s="51">
        <v>910</v>
      </c>
    </row>
    <row r="255" spans="1:2" x14ac:dyDescent="0.2">
      <c r="B255" s="65">
        <v>1300</v>
      </c>
    </row>
    <row r="256" spans="1:2" x14ac:dyDescent="0.2">
      <c r="B256" s="51">
        <v>3640</v>
      </c>
    </row>
    <row r="257" spans="2:2" x14ac:dyDescent="0.2">
      <c r="B257" s="65">
        <v>1820</v>
      </c>
    </row>
    <row r="258" spans="2:2" x14ac:dyDescent="0.2">
      <c r="B258" s="51">
        <v>3900</v>
      </c>
    </row>
    <row r="259" spans="2:2" x14ac:dyDescent="0.2">
      <c r="B259" s="65">
        <v>1170</v>
      </c>
    </row>
    <row r="260" spans="2:2" x14ac:dyDescent="0.2">
      <c r="B260" s="51">
        <v>910</v>
      </c>
    </row>
    <row r="261" spans="2:2" x14ac:dyDescent="0.2">
      <c r="B261" s="65">
        <v>1560</v>
      </c>
    </row>
    <row r="262" spans="2:2" x14ac:dyDescent="0.2">
      <c r="B262" s="51">
        <v>3510</v>
      </c>
    </row>
    <row r="263" spans="2:2" x14ac:dyDescent="0.2">
      <c r="B263" s="65">
        <v>2080</v>
      </c>
    </row>
    <row r="264" spans="2:2" x14ac:dyDescent="0.2">
      <c r="B264" s="51">
        <v>4160</v>
      </c>
    </row>
    <row r="265" spans="2:2" x14ac:dyDescent="0.2">
      <c r="B265" s="65">
        <v>520</v>
      </c>
    </row>
    <row r="266" spans="2:2" x14ac:dyDescent="0.2">
      <c r="B266" s="51">
        <v>1430</v>
      </c>
    </row>
    <row r="267" spans="2:2" x14ac:dyDescent="0.2">
      <c r="B267" s="65">
        <v>910</v>
      </c>
    </row>
    <row r="268" spans="2:2" x14ac:dyDescent="0.2">
      <c r="B268" s="51">
        <v>1170</v>
      </c>
    </row>
    <row r="269" spans="2:2" x14ac:dyDescent="0.2">
      <c r="B269" s="65">
        <v>900</v>
      </c>
    </row>
    <row r="270" spans="2:2" x14ac:dyDescent="0.2">
      <c r="B270" s="51">
        <v>3380</v>
      </c>
    </row>
    <row r="271" spans="2:2" x14ac:dyDescent="0.2">
      <c r="B271" s="65">
        <v>1950</v>
      </c>
    </row>
    <row r="272" spans="2:2" x14ac:dyDescent="0.2">
      <c r="B272" s="51">
        <v>4350</v>
      </c>
    </row>
    <row r="273" spans="2:2" x14ac:dyDescent="0.2">
      <c r="B273" s="65">
        <v>520</v>
      </c>
    </row>
    <row r="274" spans="2:2" x14ac:dyDescent="0.2">
      <c r="B274" s="51">
        <v>1560</v>
      </c>
    </row>
    <row r="275" spans="2:2" x14ac:dyDescent="0.2">
      <c r="B275" s="65">
        <v>3840</v>
      </c>
    </row>
    <row r="276" spans="2:2" x14ac:dyDescent="0.2">
      <c r="B276" s="51">
        <v>5400</v>
      </c>
    </row>
    <row r="277" spans="2:2" x14ac:dyDescent="0.2">
      <c r="B277" s="65">
        <v>2000</v>
      </c>
    </row>
    <row r="278" spans="2:2" x14ac:dyDescent="0.2">
      <c r="B278" s="51">
        <v>2300</v>
      </c>
    </row>
    <row r="279" spans="2:2" x14ac:dyDescent="0.2">
      <c r="B279" s="65">
        <v>1000</v>
      </c>
    </row>
    <row r="280" spans="2:2" x14ac:dyDescent="0.2">
      <c r="B280" s="51">
        <v>580</v>
      </c>
    </row>
    <row r="281" spans="2:2" x14ac:dyDescent="0.2">
      <c r="B281" s="65">
        <v>1430</v>
      </c>
    </row>
    <row r="282" spans="2:2" x14ac:dyDescent="0.2">
      <c r="B282" s="51">
        <v>7800</v>
      </c>
    </row>
    <row r="283" spans="2:2" x14ac:dyDescent="0.2">
      <c r="B283" s="65">
        <v>4800</v>
      </c>
    </row>
    <row r="284" spans="2:2" x14ac:dyDescent="0.2">
      <c r="B284" s="51">
        <v>3500</v>
      </c>
    </row>
    <row r="285" spans="2:2" x14ac:dyDescent="0.2">
      <c r="B285" s="65">
        <v>1000</v>
      </c>
    </row>
    <row r="286" spans="2:2" x14ac:dyDescent="0.2">
      <c r="B286" s="51">
        <v>2100</v>
      </c>
    </row>
    <row r="287" spans="2:2" x14ac:dyDescent="0.2">
      <c r="B287" s="65">
        <v>1170</v>
      </c>
    </row>
    <row r="288" spans="2:2" x14ac:dyDescent="0.2">
      <c r="B288" s="51">
        <v>9300</v>
      </c>
    </row>
    <row r="289" spans="2:2" x14ac:dyDescent="0.2">
      <c r="B289" s="65">
        <v>780</v>
      </c>
    </row>
    <row r="290" spans="2:2" x14ac:dyDescent="0.2">
      <c r="B290" s="51">
        <v>3600</v>
      </c>
    </row>
    <row r="291" spans="2:2" x14ac:dyDescent="0.2">
      <c r="B291" s="65">
        <v>7500</v>
      </c>
    </row>
    <row r="292" spans="2:2" x14ac:dyDescent="0.2">
      <c r="B292" s="51">
        <v>1200</v>
      </c>
    </row>
    <row r="293" spans="2:2" x14ac:dyDescent="0.2">
      <c r="B293" s="65">
        <v>1000</v>
      </c>
    </row>
    <row r="294" spans="2:2" x14ac:dyDescent="0.2">
      <c r="B294" s="51">
        <v>1100</v>
      </c>
    </row>
    <row r="295" spans="2:2" x14ac:dyDescent="0.2">
      <c r="B295" s="65">
        <v>3000</v>
      </c>
    </row>
    <row r="296" spans="2:2" x14ac:dyDescent="0.2">
      <c r="B296" s="51">
        <v>8700</v>
      </c>
    </row>
    <row r="297" spans="2:2" x14ac:dyDescent="0.2">
      <c r="B297" s="65">
        <v>3600</v>
      </c>
    </row>
    <row r="298" spans="2:2" x14ac:dyDescent="0.2">
      <c r="B298" s="51">
        <v>1300</v>
      </c>
    </row>
    <row r="299" spans="2:2" x14ac:dyDescent="0.2">
      <c r="B299" s="65">
        <v>3000</v>
      </c>
    </row>
    <row r="300" spans="2:2" x14ac:dyDescent="0.2">
      <c r="B300" s="51">
        <v>980</v>
      </c>
    </row>
    <row r="301" spans="2:2" x14ac:dyDescent="0.2">
      <c r="B301" s="65">
        <v>910</v>
      </c>
    </row>
    <row r="302" spans="2:2" x14ac:dyDescent="0.2">
      <c r="B302" s="51">
        <v>2300</v>
      </c>
    </row>
    <row r="303" spans="2:2" x14ac:dyDescent="0.2">
      <c r="B303" s="65">
        <v>1820</v>
      </c>
    </row>
    <row r="304" spans="2:2" x14ac:dyDescent="0.2">
      <c r="B304" s="51">
        <v>3900</v>
      </c>
    </row>
    <row r="305" spans="2:2" x14ac:dyDescent="0.2">
      <c r="B305" s="65">
        <v>3200</v>
      </c>
    </row>
    <row r="306" spans="2:2" x14ac:dyDescent="0.2">
      <c r="B306" s="51">
        <v>6700</v>
      </c>
    </row>
    <row r="307" spans="2:2" x14ac:dyDescent="0.2">
      <c r="B307" s="65">
        <v>3900</v>
      </c>
    </row>
    <row r="308" spans="2:2" x14ac:dyDescent="0.2">
      <c r="B308" s="51">
        <v>1049</v>
      </c>
    </row>
    <row r="309" spans="2:2" x14ac:dyDescent="0.2">
      <c r="B309" s="65">
        <v>4890</v>
      </c>
    </row>
    <row r="310" spans="2:2" x14ac:dyDescent="0.2">
      <c r="B310" s="51">
        <v>8100</v>
      </c>
    </row>
    <row r="311" spans="2:2" x14ac:dyDescent="0.2">
      <c r="B311" s="65">
        <v>2600</v>
      </c>
    </row>
    <row r="312" spans="2:2" x14ac:dyDescent="0.2">
      <c r="B312" s="89">
        <v>750</v>
      </c>
    </row>
    <row r="313" spans="2:2" x14ac:dyDescent="0.2">
      <c r="B313" s="90">
        <v>950</v>
      </c>
    </row>
    <row r="314" spans="2:2" x14ac:dyDescent="0.2">
      <c r="B314" s="51">
        <v>2600</v>
      </c>
    </row>
    <row r="315" spans="2:2" x14ac:dyDescent="0.2">
      <c r="B315" s="65">
        <v>8100</v>
      </c>
    </row>
    <row r="316" spans="2:2" x14ac:dyDescent="0.2">
      <c r="B316" s="51">
        <v>4480</v>
      </c>
    </row>
    <row r="317" spans="2:2" x14ac:dyDescent="0.2">
      <c r="B317" s="65">
        <v>3510</v>
      </c>
    </row>
    <row r="318" spans="2:2" x14ac:dyDescent="0.2">
      <c r="B318" s="51">
        <v>7200</v>
      </c>
    </row>
    <row r="319" spans="2:2" x14ac:dyDescent="0.2">
      <c r="B319" s="65">
        <v>1560</v>
      </c>
    </row>
    <row r="320" spans="2:2" x14ac:dyDescent="0.2">
      <c r="B320" s="51">
        <v>1180</v>
      </c>
    </row>
    <row r="321" spans="2:2" x14ac:dyDescent="0.2">
      <c r="B321" s="65">
        <v>6600</v>
      </c>
    </row>
  </sheetData>
  <conditionalFormatting sqref="A2:A248">
    <cfRule type="containsBlanks" dxfId="12" priority="2">
      <formula>LEN(TRIM(A2))=0</formula>
    </cfRule>
  </conditionalFormatting>
  <conditionalFormatting sqref="B2:B321">
    <cfRule type="containsBlanks" dxfId="11" priority="1">
      <formula>LEN(TRIM(B2))=0</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594"/>
  <sheetViews>
    <sheetView topLeftCell="B1" workbookViewId="0">
      <selection activeCell="H28" sqref="H28"/>
    </sheetView>
  </sheetViews>
  <sheetFormatPr defaultRowHeight="12.75" x14ac:dyDescent="0.2"/>
  <cols>
    <col min="1" max="1" width="14.5703125" customWidth="1"/>
    <col min="2" max="2" width="16.28515625" customWidth="1"/>
    <col min="3" max="3" width="15.85546875" customWidth="1"/>
    <col min="4" max="4" width="11.85546875" customWidth="1"/>
    <col min="5" max="5" width="11.42578125" customWidth="1"/>
    <col min="7" max="7" width="27.140625" customWidth="1"/>
    <col min="8" max="8" width="14" customWidth="1"/>
    <col min="9" max="9" width="16.5703125" customWidth="1"/>
    <col min="10" max="10" width="14.42578125" customWidth="1"/>
    <col min="11" max="11" width="14.140625" customWidth="1"/>
    <col min="12" max="12" width="15.5703125" customWidth="1"/>
    <col min="13" max="13" width="16.28515625" customWidth="1"/>
    <col min="14" max="14" width="12.7109375" customWidth="1"/>
    <col min="15" max="15" width="14.7109375" customWidth="1"/>
    <col min="17" max="17" width="17.85546875" customWidth="1"/>
    <col min="18" max="18" width="15.42578125" customWidth="1"/>
    <col min="19" max="19" width="14.85546875" customWidth="1"/>
  </cols>
  <sheetData>
    <row r="1" spans="1:19" ht="39" thickBot="1" x14ac:dyDescent="0.3">
      <c r="A1" s="17" t="s">
        <v>1477</v>
      </c>
      <c r="B1" s="11" t="s">
        <v>1543</v>
      </c>
      <c r="C1" s="17" t="s">
        <v>1463</v>
      </c>
      <c r="D1" s="66" t="s">
        <v>1462</v>
      </c>
      <c r="E1" s="17" t="s">
        <v>1479</v>
      </c>
      <c r="G1" s="154" t="s">
        <v>1582</v>
      </c>
      <c r="Q1" s="19" t="s">
        <v>1599</v>
      </c>
    </row>
    <row r="2" spans="1:19" ht="14.25" thickTop="1" thickBot="1" x14ac:dyDescent="0.25">
      <c r="A2" s="51">
        <v>3000</v>
      </c>
      <c r="B2">
        <v>5000</v>
      </c>
      <c r="C2" s="25">
        <v>1</v>
      </c>
      <c r="D2" s="51">
        <v>4</v>
      </c>
      <c r="E2" s="25">
        <v>11</v>
      </c>
    </row>
    <row r="3" spans="1:19" ht="14.25" customHeight="1" x14ac:dyDescent="0.2">
      <c r="A3" s="65">
        <v>9200</v>
      </c>
      <c r="B3">
        <v>20000</v>
      </c>
      <c r="C3" s="27">
        <v>2</v>
      </c>
      <c r="D3" s="65">
        <v>4</v>
      </c>
      <c r="E3" s="27">
        <v>11</v>
      </c>
      <c r="G3" s="101" t="s">
        <v>1583</v>
      </c>
      <c r="H3" s="101"/>
      <c r="Q3" s="81" t="s">
        <v>1600</v>
      </c>
      <c r="R3" s="102" t="s">
        <v>1601</v>
      </c>
      <c r="S3" s="81" t="s">
        <v>1602</v>
      </c>
    </row>
    <row r="4" spans="1:19" x14ac:dyDescent="0.2">
      <c r="A4" s="51">
        <v>1000</v>
      </c>
      <c r="B4">
        <v>20000</v>
      </c>
      <c r="C4" s="25">
        <v>1</v>
      </c>
      <c r="D4" s="51">
        <v>6</v>
      </c>
      <c r="E4" s="25">
        <v>14</v>
      </c>
      <c r="G4" s="79" t="s">
        <v>1584</v>
      </c>
      <c r="H4" s="79">
        <v>0.72179933463664192</v>
      </c>
      <c r="Q4" s="79">
        <v>1</v>
      </c>
      <c r="R4" s="79">
        <v>1135.6478791825175</v>
      </c>
      <c r="S4" s="79">
        <v>1864.3521208174825</v>
      </c>
    </row>
    <row r="5" spans="1:19" x14ac:dyDescent="0.2">
      <c r="A5" s="65">
        <v>1000</v>
      </c>
      <c r="B5">
        <v>20000</v>
      </c>
      <c r="C5" s="27">
        <v>1</v>
      </c>
      <c r="D5" s="65">
        <v>5</v>
      </c>
      <c r="E5" s="27">
        <v>10</v>
      </c>
      <c r="G5" s="79" t="s">
        <v>1585</v>
      </c>
      <c r="H5" s="79">
        <v>0.52099427948189903</v>
      </c>
      <c r="Q5" s="79">
        <v>2</v>
      </c>
      <c r="R5" s="79">
        <v>4357.1854019988086</v>
      </c>
      <c r="S5" s="79">
        <v>4842.8145980011914</v>
      </c>
    </row>
    <row r="6" spans="1:19" x14ac:dyDescent="0.2">
      <c r="A6" s="51">
        <v>10000</v>
      </c>
      <c r="B6">
        <v>40000</v>
      </c>
      <c r="C6" s="25">
        <v>3</v>
      </c>
      <c r="D6" s="51">
        <v>5</v>
      </c>
      <c r="E6" s="25">
        <v>15</v>
      </c>
      <c r="G6" s="79" t="s">
        <v>1586</v>
      </c>
      <c r="H6" s="79">
        <v>0.51758498609742898</v>
      </c>
      <c r="Q6" s="79">
        <v>3</v>
      </c>
      <c r="R6" s="79">
        <v>2654.9503703988689</v>
      </c>
      <c r="S6" s="79">
        <v>-1654.9503703988689</v>
      </c>
    </row>
    <row r="7" spans="1:19" x14ac:dyDescent="0.2">
      <c r="A7" s="65">
        <v>1200</v>
      </c>
      <c r="B7">
        <v>5000</v>
      </c>
      <c r="C7" s="27">
        <v>1</v>
      </c>
      <c r="D7" s="65">
        <v>3</v>
      </c>
      <c r="E7" s="27">
        <v>6</v>
      </c>
      <c r="G7" s="79" t="s">
        <v>1587</v>
      </c>
      <c r="H7" s="79">
        <v>2436.5402102006965</v>
      </c>
      <c r="Q7" s="79">
        <v>4</v>
      </c>
      <c r="R7" s="79">
        <v>1928.4945702124089</v>
      </c>
      <c r="S7" s="79">
        <v>-928.49457021240892</v>
      </c>
    </row>
    <row r="8" spans="1:19" ht="13.5" thickBot="1" x14ac:dyDescent="0.25">
      <c r="A8" s="51">
        <v>1000</v>
      </c>
      <c r="B8">
        <v>40000</v>
      </c>
      <c r="C8" s="25">
        <v>2</v>
      </c>
      <c r="D8" s="51">
        <v>2</v>
      </c>
      <c r="E8" s="25">
        <v>21</v>
      </c>
      <c r="G8" s="80" t="s">
        <v>1588</v>
      </c>
      <c r="H8" s="80">
        <v>567</v>
      </c>
      <c r="Q8" s="79">
        <v>5</v>
      </c>
      <c r="R8" s="79">
        <v>8473.7478139627983</v>
      </c>
      <c r="S8" s="79">
        <v>1526.2521860372017</v>
      </c>
    </row>
    <row r="9" spans="1:19" x14ac:dyDescent="0.2">
      <c r="A9" s="65">
        <v>3000</v>
      </c>
      <c r="B9">
        <v>20000</v>
      </c>
      <c r="C9" s="27">
        <v>1</v>
      </c>
      <c r="D9" s="65">
        <v>6</v>
      </c>
      <c r="E9" s="27">
        <v>18</v>
      </c>
      <c r="Q9" s="79">
        <v>6</v>
      </c>
      <c r="R9" s="79">
        <v>321.32880378800064</v>
      </c>
      <c r="S9" s="79">
        <v>878.67119621199936</v>
      </c>
    </row>
    <row r="10" spans="1:19" ht="13.5" thickBot="1" x14ac:dyDescent="0.25">
      <c r="A10" s="51">
        <v>1500</v>
      </c>
      <c r="B10">
        <v>40000</v>
      </c>
      <c r="C10" s="25">
        <v>1</v>
      </c>
      <c r="D10" s="51">
        <v>3</v>
      </c>
      <c r="E10" s="25">
        <v>7</v>
      </c>
      <c r="G10" t="s">
        <v>1560</v>
      </c>
      <c r="Q10" s="79">
        <v>7</v>
      </c>
      <c r="R10" s="79">
        <v>5160.0891112158497</v>
      </c>
      <c r="S10" s="79">
        <v>-4160.0891112158497</v>
      </c>
    </row>
    <row r="11" spans="1:19" x14ac:dyDescent="0.2">
      <c r="A11" s="65">
        <v>9500</v>
      </c>
      <c r="B11">
        <v>125000</v>
      </c>
      <c r="C11" s="27">
        <v>2</v>
      </c>
      <c r="D11" s="65">
        <v>4</v>
      </c>
      <c r="E11" s="27">
        <v>20</v>
      </c>
      <c r="G11" s="81"/>
      <c r="H11" s="81" t="s">
        <v>1563</v>
      </c>
      <c r="I11" s="81" t="s">
        <v>1562</v>
      </c>
      <c r="J11" s="81" t="s">
        <v>1564</v>
      </c>
      <c r="K11" s="81" t="s">
        <v>1565</v>
      </c>
      <c r="L11" s="81" t="s">
        <v>1592</v>
      </c>
      <c r="Q11" s="79">
        <v>8</v>
      </c>
      <c r="R11" s="79">
        <v>3006.403471231094</v>
      </c>
      <c r="S11" s="79">
        <v>-6.4034712310940449</v>
      </c>
    </row>
    <row r="12" spans="1:19" x14ac:dyDescent="0.2">
      <c r="A12" s="51">
        <v>1500</v>
      </c>
      <c r="B12">
        <v>5000</v>
      </c>
      <c r="C12" s="25">
        <v>1</v>
      </c>
      <c r="D12" s="51">
        <v>3</v>
      </c>
      <c r="E12" s="25">
        <v>5</v>
      </c>
      <c r="G12" s="79" t="s">
        <v>1589</v>
      </c>
      <c r="H12" s="79">
        <v>4</v>
      </c>
      <c r="I12" s="79">
        <v>3628906145.7773576</v>
      </c>
      <c r="J12" s="79">
        <v>907226536.44433939</v>
      </c>
      <c r="K12" s="79">
        <v>152.81591248645785</v>
      </c>
      <c r="L12" s="79">
        <v>2.20918656693793E-88</v>
      </c>
      <c r="Q12" s="79">
        <v>9</v>
      </c>
      <c r="R12" s="79">
        <v>1589.1757017247187</v>
      </c>
      <c r="S12" s="79">
        <v>-89.175701724718692</v>
      </c>
    </row>
    <row r="13" spans="1:19" x14ac:dyDescent="0.2">
      <c r="A13" s="65">
        <v>8000</v>
      </c>
      <c r="B13">
        <v>40000</v>
      </c>
      <c r="C13" s="27">
        <v>2</v>
      </c>
      <c r="D13" s="65">
        <v>5</v>
      </c>
      <c r="E13" s="27">
        <v>14</v>
      </c>
      <c r="G13" s="79" t="s">
        <v>1590</v>
      </c>
      <c r="H13" s="79">
        <v>562</v>
      </c>
      <c r="I13" s="79">
        <v>3336441246.1097684</v>
      </c>
      <c r="J13" s="79">
        <v>5936728.1959248548</v>
      </c>
      <c r="K13" s="79"/>
      <c r="L13" s="79"/>
      <c r="Q13" s="79">
        <v>10</v>
      </c>
      <c r="R13" s="79">
        <v>8687.9057470573007</v>
      </c>
      <c r="S13" s="79">
        <v>812.09425294269931</v>
      </c>
    </row>
    <row r="14" spans="1:19" ht="13.5" thickBot="1" x14ac:dyDescent="0.25">
      <c r="A14" s="51">
        <v>6800</v>
      </c>
      <c r="B14">
        <v>60000</v>
      </c>
      <c r="C14" s="25">
        <v>2</v>
      </c>
      <c r="D14" s="51">
        <v>4</v>
      </c>
      <c r="E14" s="25">
        <v>10</v>
      </c>
      <c r="G14" s="80" t="s">
        <v>1570</v>
      </c>
      <c r="H14" s="80">
        <v>566</v>
      </c>
      <c r="I14" s="80">
        <v>6965347391.887126</v>
      </c>
      <c r="J14" s="80"/>
      <c r="K14" s="80"/>
      <c r="L14" s="80"/>
      <c r="Q14" s="79">
        <v>11</v>
      </c>
      <c r="R14" s="79">
        <v>233.46552857994436</v>
      </c>
      <c r="S14" s="79">
        <v>1266.5344714200555</v>
      </c>
    </row>
    <row r="15" spans="1:19" ht="13.5" thickBot="1" x14ac:dyDescent="0.25">
      <c r="A15" s="65">
        <v>9000</v>
      </c>
      <c r="B15">
        <v>60000</v>
      </c>
      <c r="C15" s="27">
        <v>2</v>
      </c>
      <c r="D15" s="65">
        <v>4</v>
      </c>
      <c r="E15" s="27">
        <v>18</v>
      </c>
      <c r="Q15" s="79">
        <v>12</v>
      </c>
      <c r="R15" s="79">
        <v>5670.0542828221623</v>
      </c>
      <c r="S15" s="79">
        <v>2329.9457171778377</v>
      </c>
    </row>
    <row r="16" spans="1:19" x14ac:dyDescent="0.2">
      <c r="A16" s="51">
        <v>9000</v>
      </c>
      <c r="B16">
        <v>40000</v>
      </c>
      <c r="C16" s="25">
        <v>3</v>
      </c>
      <c r="D16" s="51">
        <v>5</v>
      </c>
      <c r="E16" s="25">
        <v>15</v>
      </c>
      <c r="G16" s="81"/>
      <c r="H16" s="81" t="s">
        <v>1593</v>
      </c>
      <c r="I16" s="81" t="s">
        <v>1587</v>
      </c>
      <c r="J16" s="81" t="s">
        <v>1594</v>
      </c>
      <c r="K16" s="81" t="s">
        <v>1566</v>
      </c>
      <c r="L16" s="81" t="s">
        <v>1595</v>
      </c>
      <c r="M16" s="81" t="s">
        <v>1596</v>
      </c>
      <c r="N16" s="81" t="s">
        <v>1597</v>
      </c>
      <c r="O16" s="81" t="s">
        <v>1598</v>
      </c>
      <c r="Q16" s="79">
        <v>13</v>
      </c>
      <c r="R16" s="79">
        <v>5617.8748384806513</v>
      </c>
      <c r="S16" s="79">
        <v>1182.1251615193487</v>
      </c>
    </row>
    <row r="17" spans="1:19" x14ac:dyDescent="0.2">
      <c r="A17" s="65">
        <v>900</v>
      </c>
      <c r="B17">
        <v>5000</v>
      </c>
      <c r="C17" s="27">
        <v>1</v>
      </c>
      <c r="D17" s="65">
        <v>4</v>
      </c>
      <c r="E17" s="27">
        <v>5</v>
      </c>
      <c r="G17" s="79" t="s">
        <v>1591</v>
      </c>
      <c r="H17" s="79">
        <v>-4215.2582904168594</v>
      </c>
      <c r="I17" s="79">
        <v>521.73238355780654</v>
      </c>
      <c r="J17" s="79">
        <v>-8.0793495348555844</v>
      </c>
      <c r="K17" s="79">
        <v>3.9983103318625969E-15</v>
      </c>
      <c r="L17" s="79">
        <v>-5240.041938333191</v>
      </c>
      <c r="M17" s="79">
        <v>-3190.4746425005278</v>
      </c>
      <c r="N17" s="79">
        <v>-5240.041938333191</v>
      </c>
      <c r="O17" s="79">
        <v>-3190.4746425005278</v>
      </c>
      <c r="Q17" s="79">
        <v>14</v>
      </c>
      <c r="R17" s="79">
        <v>6320.7810401451006</v>
      </c>
      <c r="S17" s="79">
        <v>2679.2189598548994</v>
      </c>
    </row>
    <row r="18" spans="1:19" x14ac:dyDescent="0.2">
      <c r="A18" s="51">
        <v>2000</v>
      </c>
      <c r="B18">
        <v>5000</v>
      </c>
      <c r="C18" s="25">
        <v>3</v>
      </c>
      <c r="D18" s="51">
        <v>5</v>
      </c>
      <c r="E18" s="25">
        <v>9</v>
      </c>
      <c r="G18" s="79" t="s">
        <v>1543</v>
      </c>
      <c r="H18" s="79">
        <v>3.3713817792247483E-2</v>
      </c>
      <c r="I18" s="79">
        <v>4.5861448826807292E-3</v>
      </c>
      <c r="J18" s="79">
        <v>7.351232604875932</v>
      </c>
      <c r="K18" s="79">
        <v>6.971572822418795E-13</v>
      </c>
      <c r="L18" s="79">
        <v>2.4705739262221468E-2</v>
      </c>
      <c r="M18" s="79">
        <v>4.2721896322273495E-2</v>
      </c>
      <c r="N18" s="79">
        <v>2.4705739262221468E-2</v>
      </c>
      <c r="O18" s="79">
        <v>4.2721896322273495E-2</v>
      </c>
      <c r="Q18" s="79">
        <v>15</v>
      </c>
      <c r="R18" s="79">
        <v>8473.7478139627983</v>
      </c>
      <c r="S18" s="79">
        <v>526.25218603720168</v>
      </c>
    </row>
    <row r="19" spans="1:19" x14ac:dyDescent="0.2">
      <c r="A19" s="65">
        <v>2300</v>
      </c>
      <c r="B19">
        <v>40000</v>
      </c>
      <c r="C19" s="27">
        <v>1</v>
      </c>
      <c r="D19" s="65">
        <v>3</v>
      </c>
      <c r="E19" s="27">
        <v>10</v>
      </c>
      <c r="G19" s="79" t="s">
        <v>1463</v>
      </c>
      <c r="H19" s="79">
        <v>2715.8302559325789</v>
      </c>
      <c r="I19" s="79">
        <v>196.11288174226354</v>
      </c>
      <c r="J19" s="79">
        <v>13.848301201864908</v>
      </c>
      <c r="K19" s="79">
        <v>9.8351637151242928E-38</v>
      </c>
      <c r="L19" s="79">
        <v>2330.6264988172152</v>
      </c>
      <c r="M19" s="79">
        <v>3101.0340130479426</v>
      </c>
      <c r="N19" s="79">
        <v>2330.6264988172152</v>
      </c>
      <c r="O19" s="79">
        <v>3101.0340130479426</v>
      </c>
      <c r="Q19" s="79">
        <v>16</v>
      </c>
      <c r="R19" s="79">
        <v>608.46822793417994</v>
      </c>
      <c r="S19" s="79">
        <v>291.53177206582006</v>
      </c>
    </row>
    <row r="20" spans="1:19" x14ac:dyDescent="0.2">
      <c r="A20" s="51">
        <v>1200</v>
      </c>
      <c r="B20">
        <v>5000</v>
      </c>
      <c r="C20" s="25">
        <v>1</v>
      </c>
      <c r="D20" s="51">
        <v>4</v>
      </c>
      <c r="E20" s="25">
        <v>6</v>
      </c>
      <c r="G20" s="79" t="s">
        <v>1462</v>
      </c>
      <c r="H20" s="79">
        <v>375.00269935423546</v>
      </c>
      <c r="I20" s="79">
        <v>108.20557262858236</v>
      </c>
      <c r="J20" s="79">
        <v>3.4656505228380352</v>
      </c>
      <c r="K20" s="79">
        <v>5.6934018229827467E-4</v>
      </c>
      <c r="L20" s="79">
        <v>162.46595649953741</v>
      </c>
      <c r="M20" s="79">
        <v>587.53944220893345</v>
      </c>
      <c r="N20" s="79">
        <v>162.46595649953741</v>
      </c>
      <c r="O20" s="79">
        <v>587.53944220893345</v>
      </c>
      <c r="Q20" s="79">
        <v>17</v>
      </c>
      <c r="R20" s="79">
        <v>6766.584539985799</v>
      </c>
      <c r="S20" s="79">
        <v>-4766.584539985799</v>
      </c>
    </row>
    <row r="21" spans="1:19" ht="13.5" thickBot="1" x14ac:dyDescent="0.25">
      <c r="A21" s="65">
        <v>11100</v>
      </c>
      <c r="B21">
        <v>40000</v>
      </c>
      <c r="C21" s="27">
        <v>3</v>
      </c>
      <c r="D21" s="65">
        <v>6</v>
      </c>
      <c r="E21" s="27">
        <v>12</v>
      </c>
      <c r="G21" s="80" t="s">
        <v>1479</v>
      </c>
      <c r="H21" s="80">
        <v>87.863275208056237</v>
      </c>
      <c r="I21" s="80">
        <v>23.03659886709281</v>
      </c>
      <c r="J21" s="80">
        <v>3.8140732368946471</v>
      </c>
      <c r="K21" s="80">
        <v>1.518342586787777E-4</v>
      </c>
      <c r="L21" s="80">
        <v>42.614924585041948</v>
      </c>
      <c r="M21" s="80">
        <v>133.11162583107051</v>
      </c>
      <c r="N21" s="80">
        <v>42.614924585041948</v>
      </c>
      <c r="O21" s="80">
        <v>133.11162583107051</v>
      </c>
      <c r="Q21" s="79">
        <v>18</v>
      </c>
      <c r="R21" s="79">
        <v>1852.7655273488874</v>
      </c>
      <c r="S21" s="79">
        <v>447.23447265111258</v>
      </c>
    </row>
    <row r="22" spans="1:19" x14ac:dyDescent="0.2">
      <c r="A22" s="51">
        <v>6000</v>
      </c>
      <c r="B22">
        <v>40000</v>
      </c>
      <c r="C22" s="25">
        <v>1</v>
      </c>
      <c r="D22" s="51">
        <v>3</v>
      </c>
      <c r="E22" s="25">
        <v>10</v>
      </c>
      <c r="Q22" s="79">
        <v>19</v>
      </c>
      <c r="R22" s="79">
        <v>696.33150314223622</v>
      </c>
      <c r="S22" s="79">
        <v>503.66849685776378</v>
      </c>
    </row>
    <row r="23" spans="1:19" x14ac:dyDescent="0.2">
      <c r="A23" s="65">
        <v>8800</v>
      </c>
      <c r="B23">
        <v>85000</v>
      </c>
      <c r="C23" s="27">
        <v>3</v>
      </c>
      <c r="D23" s="65">
        <v>5</v>
      </c>
      <c r="E23" s="27">
        <v>14</v>
      </c>
      <c r="Q23" s="79">
        <v>20</v>
      </c>
      <c r="R23" s="79">
        <v>8585.1606876928636</v>
      </c>
      <c r="S23" s="79">
        <v>2514.8393123071364</v>
      </c>
    </row>
    <row r="24" spans="1:19" ht="15" x14ac:dyDescent="0.25">
      <c r="A24" s="51">
        <v>2700</v>
      </c>
      <c r="B24">
        <v>5000</v>
      </c>
      <c r="C24" s="25">
        <v>1</v>
      </c>
      <c r="D24" s="51">
        <v>4</v>
      </c>
      <c r="E24" s="25">
        <v>14</v>
      </c>
      <c r="G24" s="154" t="s">
        <v>1747</v>
      </c>
      <c r="Q24" s="79">
        <v>21</v>
      </c>
      <c r="R24" s="79">
        <v>1852.7655273488874</v>
      </c>
      <c r="S24" s="79">
        <v>4147.2344726511128</v>
      </c>
    </row>
    <row r="25" spans="1:19" x14ac:dyDescent="0.2">
      <c r="A25" s="65">
        <v>3000</v>
      </c>
      <c r="B25">
        <v>20000</v>
      </c>
      <c r="C25" s="27">
        <v>2</v>
      </c>
      <c r="D25" s="65">
        <v>6</v>
      </c>
      <c r="E25" s="27">
        <v>4</v>
      </c>
      <c r="G25" s="170"/>
      <c r="H25" s="139"/>
      <c r="I25" s="139"/>
      <c r="K25" s="139"/>
      <c r="L25" s="139"/>
      <c r="Q25" s="79">
        <v>22</v>
      </c>
      <c r="R25" s="79">
        <v>9903.006339405878</v>
      </c>
      <c r="S25" s="79">
        <v>-1103.006339405878</v>
      </c>
    </row>
    <row r="26" spans="1:19" x14ac:dyDescent="0.2">
      <c r="A26" s="51">
        <v>5200</v>
      </c>
      <c r="B26">
        <v>20000</v>
      </c>
      <c r="C26" s="25">
        <v>2</v>
      </c>
      <c r="D26" s="51">
        <v>5</v>
      </c>
      <c r="E26" s="25">
        <v>8</v>
      </c>
      <c r="G26" s="155" t="s">
        <v>1657</v>
      </c>
      <c r="H26" s="155" t="s">
        <v>1752</v>
      </c>
      <c r="I26" s="155" t="s">
        <v>1748</v>
      </c>
      <c r="J26" s="172" t="s">
        <v>1749</v>
      </c>
      <c r="K26" s="172" t="s">
        <v>1750</v>
      </c>
      <c r="L26" s="172" t="s">
        <v>1751</v>
      </c>
      <c r="Q26" s="79">
        <v>23</v>
      </c>
      <c r="R26" s="79">
        <v>1399.237704806686</v>
      </c>
      <c r="S26" s="79">
        <v>1300.762295193314</v>
      </c>
    </row>
    <row r="27" spans="1:19" x14ac:dyDescent="0.2">
      <c r="A27" s="65">
        <v>9700</v>
      </c>
      <c r="B27">
        <v>60000</v>
      </c>
      <c r="C27" s="27">
        <v>2</v>
      </c>
      <c r="D27" s="65">
        <v>4</v>
      </c>
      <c r="E27" s="27">
        <v>15</v>
      </c>
      <c r="G27" s="173" t="s">
        <v>1591</v>
      </c>
      <c r="H27" s="174">
        <f>H17</f>
        <v>-4215.2582904168594</v>
      </c>
      <c r="I27" s="175">
        <f>K17</f>
        <v>3.9983103318625969E-15</v>
      </c>
      <c r="J27" s="176">
        <f>L17</f>
        <v>-5240.041938333191</v>
      </c>
      <c r="K27" s="177">
        <f>M17</f>
        <v>-3190.4746425005278</v>
      </c>
      <c r="L27" s="178" t="s">
        <v>221</v>
      </c>
      <c r="Q27" s="79">
        <v>24</v>
      </c>
      <c r="R27" s="79">
        <v>4492.1478742508853</v>
      </c>
      <c r="S27" s="79">
        <v>-1492.1478742508853</v>
      </c>
    </row>
    <row r="28" spans="1:19" ht="25.5" x14ac:dyDescent="0.2">
      <c r="A28" s="51">
        <v>8200</v>
      </c>
      <c r="B28">
        <v>40000</v>
      </c>
      <c r="C28" s="25">
        <v>2</v>
      </c>
      <c r="D28" s="51">
        <v>5</v>
      </c>
      <c r="E28" s="25">
        <v>8</v>
      </c>
      <c r="G28" s="179" t="s">
        <v>1658</v>
      </c>
      <c r="H28" s="180">
        <f>H19</f>
        <v>2715.8302559325789</v>
      </c>
      <c r="I28" s="181">
        <f>K19</f>
        <v>9.8351637151242928E-38</v>
      </c>
      <c r="J28" s="182">
        <f>L19</f>
        <v>2330.6264988172152</v>
      </c>
      <c r="K28" s="181">
        <f>M19</f>
        <v>3101.0340130479426</v>
      </c>
      <c r="L28" s="183" t="s">
        <v>1753</v>
      </c>
      <c r="Q28" s="79">
        <v>25</v>
      </c>
      <c r="R28" s="79">
        <v>4468.5982757288757</v>
      </c>
      <c r="S28" s="79">
        <v>731.40172427112429</v>
      </c>
    </row>
    <row r="29" spans="1:19" ht="25.5" x14ac:dyDescent="0.2">
      <c r="A29" s="65">
        <v>2400</v>
      </c>
      <c r="B29">
        <v>20000</v>
      </c>
      <c r="C29" s="27">
        <v>1</v>
      </c>
      <c r="D29" s="65">
        <v>3</v>
      </c>
      <c r="E29" s="27">
        <v>7</v>
      </c>
      <c r="G29" s="137" t="s">
        <v>1543</v>
      </c>
      <c r="H29" s="181">
        <f>H18</f>
        <v>3.3713817792247483E-2</v>
      </c>
      <c r="I29" s="181">
        <f>K18</f>
        <v>6.971572822418795E-13</v>
      </c>
      <c r="J29" s="182">
        <f>L18</f>
        <v>2.4705739262221468E-2</v>
      </c>
      <c r="K29" s="181">
        <f>M18</f>
        <v>4.2721896322273495E-2</v>
      </c>
      <c r="L29" s="183" t="s">
        <v>1755</v>
      </c>
      <c r="Q29" s="79">
        <v>26</v>
      </c>
      <c r="R29" s="79">
        <v>6057.1912145209326</v>
      </c>
      <c r="S29" s="79">
        <v>3642.8087854790674</v>
      </c>
    </row>
    <row r="30" spans="1:19" ht="25.5" x14ac:dyDescent="0.2">
      <c r="A30" s="51">
        <v>2900</v>
      </c>
      <c r="B30">
        <v>5000</v>
      </c>
      <c r="C30" s="25">
        <v>1</v>
      </c>
      <c r="D30" s="51">
        <v>4</v>
      </c>
      <c r="E30" s="25">
        <v>12</v>
      </c>
      <c r="G30" s="184" t="s">
        <v>1659</v>
      </c>
      <c r="H30" s="181">
        <f>H20</f>
        <v>375.00269935423546</v>
      </c>
      <c r="I30" s="181">
        <f t="shared" ref="I30:K31" si="0">K20</f>
        <v>5.6934018229827467E-4</v>
      </c>
      <c r="J30" s="182">
        <f t="shared" si="0"/>
        <v>162.46595649953741</v>
      </c>
      <c r="K30" s="181">
        <f t="shared" si="0"/>
        <v>587.53944220893345</v>
      </c>
      <c r="L30" s="183" t="s">
        <v>1756</v>
      </c>
      <c r="Q30" s="79">
        <v>27</v>
      </c>
      <c r="R30" s="79">
        <v>5142.8746315738254</v>
      </c>
      <c r="S30" s="79">
        <v>3057.1253684261746</v>
      </c>
    </row>
    <row r="31" spans="1:19" ht="25.5" x14ac:dyDescent="0.2">
      <c r="A31" s="65">
        <v>9500</v>
      </c>
      <c r="B31">
        <v>60000</v>
      </c>
      <c r="C31" s="27">
        <v>3</v>
      </c>
      <c r="D31" s="65">
        <v>6</v>
      </c>
      <c r="E31" s="27">
        <v>20</v>
      </c>
      <c r="G31" s="184" t="s">
        <v>1754</v>
      </c>
      <c r="H31" s="181">
        <f>H21</f>
        <v>87.863275208056237</v>
      </c>
      <c r="I31" s="181">
        <f t="shared" si="0"/>
        <v>1.518342586787777E-4</v>
      </c>
      <c r="J31" s="182">
        <f t="shared" si="0"/>
        <v>42.614924585041948</v>
      </c>
      <c r="K31" s="181">
        <f t="shared" si="0"/>
        <v>133.11162583107051</v>
      </c>
      <c r="L31" s="183" t="s">
        <v>1757</v>
      </c>
      <c r="Q31" s="79">
        <v>28</v>
      </c>
      <c r="R31" s="79">
        <v>914.89934587976904</v>
      </c>
      <c r="S31" s="79">
        <v>1485.100654120231</v>
      </c>
    </row>
    <row r="32" spans="1:19" x14ac:dyDescent="0.2">
      <c r="A32" s="51">
        <v>5200</v>
      </c>
      <c r="B32">
        <v>40000</v>
      </c>
      <c r="C32" s="25">
        <v>1</v>
      </c>
      <c r="D32" s="51">
        <v>3</v>
      </c>
      <c r="E32" s="25">
        <v>9</v>
      </c>
      <c r="G32" s="79"/>
      <c r="H32" s="79"/>
      <c r="I32" s="79"/>
      <c r="K32" s="79"/>
      <c r="L32" s="79"/>
      <c r="Q32" s="79">
        <v>29</v>
      </c>
      <c r="R32" s="79">
        <v>1223.5111543905737</v>
      </c>
      <c r="S32" s="79">
        <v>1676.4888456094263</v>
      </c>
    </row>
    <row r="33" spans="1:19" x14ac:dyDescent="0.2">
      <c r="A33" s="65">
        <v>8500</v>
      </c>
      <c r="B33">
        <v>85000</v>
      </c>
      <c r="C33" s="27">
        <v>2</v>
      </c>
      <c r="D33" s="65">
        <v>4</v>
      </c>
      <c r="E33" s="27">
        <v>18</v>
      </c>
      <c r="G33" s="171" t="s">
        <v>1758</v>
      </c>
      <c r="H33" s="79"/>
      <c r="I33" s="79"/>
      <c r="K33" s="79"/>
      <c r="L33" s="79"/>
      <c r="Q33" s="79">
        <v>30</v>
      </c>
      <c r="R33" s="79">
        <v>9962.3432452022644</v>
      </c>
      <c r="S33" s="79">
        <v>-462.34324520226437</v>
      </c>
    </row>
    <row r="34" spans="1:19" x14ac:dyDescent="0.2">
      <c r="A34" s="51">
        <v>7000</v>
      </c>
      <c r="B34">
        <v>20000</v>
      </c>
      <c r="C34" s="25">
        <v>2</v>
      </c>
      <c r="D34" s="51">
        <v>5</v>
      </c>
      <c r="E34" s="25">
        <v>10</v>
      </c>
      <c r="G34" s="79"/>
      <c r="H34" s="79"/>
      <c r="I34" s="79"/>
      <c r="K34" s="79"/>
      <c r="L34" s="79"/>
      <c r="Q34" s="79">
        <v>31</v>
      </c>
      <c r="R34" s="79">
        <v>1764.9022521408313</v>
      </c>
      <c r="S34" s="79">
        <v>3435.0977478591685</v>
      </c>
    </row>
    <row r="35" spans="1:19" x14ac:dyDescent="0.2">
      <c r="A35" s="65">
        <v>5500</v>
      </c>
      <c r="B35">
        <v>60000</v>
      </c>
      <c r="C35" s="27">
        <v>2</v>
      </c>
      <c r="D35" s="65">
        <v>5</v>
      </c>
      <c r="E35" s="27">
        <v>12</v>
      </c>
      <c r="G35" s="79"/>
      <c r="H35" s="79"/>
      <c r="I35" s="79"/>
      <c r="K35" s="79"/>
      <c r="L35" s="79"/>
      <c r="Q35" s="79">
        <v>32</v>
      </c>
      <c r="R35" s="79">
        <v>7163.6264849512881</v>
      </c>
      <c r="S35" s="79">
        <v>1336.3735150487119</v>
      </c>
    </row>
    <row r="36" spans="1:19" x14ac:dyDescent="0.2">
      <c r="A36" s="51">
        <v>900</v>
      </c>
      <c r="B36">
        <v>40000</v>
      </c>
      <c r="C36" s="25">
        <v>1</v>
      </c>
      <c r="D36" s="51">
        <v>3</v>
      </c>
      <c r="E36" s="25">
        <v>4</v>
      </c>
      <c r="G36" s="79"/>
      <c r="H36" s="79"/>
      <c r="I36" s="79"/>
      <c r="K36" s="79"/>
      <c r="L36" s="79"/>
      <c r="Q36" s="79">
        <v>33</v>
      </c>
      <c r="R36" s="79">
        <v>4644.324826144988</v>
      </c>
      <c r="S36" s="79">
        <v>2355.675173855012</v>
      </c>
    </row>
    <row r="37" spans="1:19" x14ac:dyDescent="0.2">
      <c r="A37" s="65">
        <v>5200</v>
      </c>
      <c r="B37">
        <v>20000</v>
      </c>
      <c r="C37" s="27">
        <v>2</v>
      </c>
      <c r="D37" s="65">
        <v>6</v>
      </c>
      <c r="E37" s="27">
        <v>10</v>
      </c>
      <c r="G37" s="79"/>
      <c r="H37" s="79"/>
      <c r="I37" s="79"/>
      <c r="K37" s="79"/>
      <c r="L37" s="79"/>
      <c r="Q37" s="79">
        <v>34</v>
      </c>
      <c r="R37" s="79">
        <v>6168.6040882509997</v>
      </c>
      <c r="S37" s="79">
        <v>-668.60408825099967</v>
      </c>
    </row>
    <row r="38" spans="1:19" x14ac:dyDescent="0.2">
      <c r="A38" s="51">
        <v>650</v>
      </c>
      <c r="B38">
        <v>5000</v>
      </c>
      <c r="C38" s="25">
        <v>1</v>
      </c>
      <c r="D38" s="51">
        <v>4</v>
      </c>
      <c r="E38" s="25">
        <v>5</v>
      </c>
      <c r="G38" s="79"/>
      <c r="H38" s="79"/>
      <c r="I38" s="79"/>
      <c r="K38" s="79"/>
      <c r="L38" s="79"/>
      <c r="Q38" s="79">
        <v>35</v>
      </c>
      <c r="R38" s="79">
        <v>1325.58587610055</v>
      </c>
      <c r="S38" s="79">
        <v>-425.58587610054997</v>
      </c>
    </row>
    <row r="39" spans="1:19" x14ac:dyDescent="0.2">
      <c r="A39" s="65">
        <v>12000</v>
      </c>
      <c r="B39">
        <v>85000</v>
      </c>
      <c r="C39" s="27">
        <v>3</v>
      </c>
      <c r="D39" s="65">
        <v>5</v>
      </c>
      <c r="E39" s="27">
        <v>15</v>
      </c>
      <c r="G39" s="79"/>
      <c r="H39" s="79"/>
      <c r="I39" s="79"/>
      <c r="K39" s="79"/>
      <c r="L39" s="79"/>
      <c r="Q39" s="79">
        <v>36</v>
      </c>
      <c r="R39" s="79">
        <v>5019.3275254992232</v>
      </c>
      <c r="S39" s="79">
        <v>180.67247450077684</v>
      </c>
    </row>
    <row r="40" spans="1:19" x14ac:dyDescent="0.2">
      <c r="A40" s="51">
        <v>2400</v>
      </c>
      <c r="B40">
        <v>60000</v>
      </c>
      <c r="C40" s="25">
        <v>1</v>
      </c>
      <c r="D40" s="51">
        <v>4</v>
      </c>
      <c r="E40" s="25">
        <v>6</v>
      </c>
      <c r="G40" s="79"/>
      <c r="H40" s="79"/>
      <c r="I40" s="79"/>
      <c r="K40" s="79"/>
      <c r="L40" s="79"/>
      <c r="Q40" s="79">
        <v>37</v>
      </c>
      <c r="R40" s="79">
        <v>608.46822793417994</v>
      </c>
      <c r="S40" s="79">
        <v>41.531772065820064</v>
      </c>
    </row>
    <row r="41" spans="1:19" x14ac:dyDescent="0.2">
      <c r="A41" s="65">
        <v>1500</v>
      </c>
      <c r="B41">
        <v>20000</v>
      </c>
      <c r="C41" s="27">
        <v>1</v>
      </c>
      <c r="D41" s="65">
        <v>3</v>
      </c>
      <c r="E41" s="27">
        <v>9</v>
      </c>
      <c r="G41" s="79"/>
      <c r="H41" s="79"/>
      <c r="I41" s="79"/>
      <c r="K41" s="79"/>
      <c r="L41" s="79"/>
      <c r="Q41" s="79">
        <v>38</v>
      </c>
      <c r="R41" s="79">
        <v>9990.8696146139337</v>
      </c>
      <c r="S41" s="79">
        <v>2009.1303853860663</v>
      </c>
    </row>
    <row r="42" spans="1:19" x14ac:dyDescent="0.2">
      <c r="A42" s="51">
        <v>500</v>
      </c>
      <c r="B42">
        <v>5000</v>
      </c>
      <c r="C42" s="25">
        <v>1</v>
      </c>
      <c r="D42" s="51">
        <v>4</v>
      </c>
      <c r="E42" s="25">
        <v>3</v>
      </c>
      <c r="G42" s="79"/>
      <c r="H42" s="79"/>
      <c r="I42" s="79"/>
      <c r="K42" s="79"/>
      <c r="L42" s="79"/>
      <c r="Q42" s="79">
        <v>39</v>
      </c>
      <c r="R42" s="79">
        <v>2550.5914817158477</v>
      </c>
      <c r="S42" s="79">
        <v>-150.59148171584775</v>
      </c>
    </row>
    <row r="43" spans="1:19" x14ac:dyDescent="0.2">
      <c r="A43" s="65">
        <v>5800</v>
      </c>
      <c r="B43">
        <v>125000</v>
      </c>
      <c r="C43" s="27">
        <v>2</v>
      </c>
      <c r="D43" s="65">
        <v>4</v>
      </c>
      <c r="E43" s="27">
        <v>10</v>
      </c>
      <c r="G43" s="79"/>
      <c r="H43" s="79"/>
      <c r="I43" s="79"/>
      <c r="K43" s="79"/>
      <c r="L43" s="79"/>
      <c r="Q43" s="79">
        <v>40</v>
      </c>
      <c r="R43" s="79">
        <v>1090.6258962958816</v>
      </c>
      <c r="S43" s="79">
        <v>409.3741037041184</v>
      </c>
    </row>
    <row r="44" spans="1:19" x14ac:dyDescent="0.2">
      <c r="A44" s="51">
        <v>850</v>
      </c>
      <c r="B44">
        <v>5000</v>
      </c>
      <c r="C44" s="25">
        <v>1</v>
      </c>
      <c r="D44" s="51">
        <v>5</v>
      </c>
      <c r="E44" s="25">
        <v>6</v>
      </c>
      <c r="G44" s="79"/>
      <c r="H44" s="79"/>
      <c r="I44" s="79"/>
      <c r="K44" s="79"/>
      <c r="L44" s="79"/>
      <c r="Q44" s="79">
        <v>41</v>
      </c>
      <c r="R44" s="79">
        <v>432.74167751806749</v>
      </c>
      <c r="S44" s="79">
        <v>67.25832248193251</v>
      </c>
    </row>
    <row r="45" spans="1:19" x14ac:dyDescent="0.2">
      <c r="A45" s="65">
        <v>1400</v>
      </c>
      <c r="B45">
        <v>20000</v>
      </c>
      <c r="C45" s="27">
        <v>1</v>
      </c>
      <c r="D45" s="65">
        <v>4</v>
      </c>
      <c r="E45" s="27">
        <v>9</v>
      </c>
      <c r="G45" s="79"/>
      <c r="H45" s="79"/>
      <c r="I45" s="79"/>
      <c r="K45" s="79"/>
      <c r="L45" s="79"/>
      <c r="Q45" s="79">
        <v>42</v>
      </c>
      <c r="R45" s="79">
        <v>7809.2729949767381</v>
      </c>
      <c r="S45" s="79">
        <v>-2009.2729949767381</v>
      </c>
    </row>
    <row r="46" spans="1:19" x14ac:dyDescent="0.2">
      <c r="A46" s="51">
        <v>3200</v>
      </c>
      <c r="B46">
        <v>40000</v>
      </c>
      <c r="C46" s="25">
        <v>2</v>
      </c>
      <c r="D46" s="51">
        <v>3</v>
      </c>
      <c r="E46" s="25">
        <v>7</v>
      </c>
      <c r="G46" s="79"/>
      <c r="H46" s="79"/>
      <c r="I46" s="79"/>
      <c r="K46" s="79"/>
      <c r="L46" s="79"/>
      <c r="Q46" s="79">
        <v>43</v>
      </c>
      <c r="R46" s="79">
        <v>1071.3342024964718</v>
      </c>
      <c r="S46" s="79">
        <v>-221.33420249647179</v>
      </c>
    </row>
    <row r="47" spans="1:19" x14ac:dyDescent="0.2">
      <c r="A47" s="65">
        <v>6800</v>
      </c>
      <c r="B47">
        <v>40000</v>
      </c>
      <c r="C47" s="27">
        <v>2</v>
      </c>
      <c r="D47" s="65">
        <v>5</v>
      </c>
      <c r="E47" s="27">
        <v>11</v>
      </c>
      <c r="G47" s="79"/>
      <c r="H47" s="79"/>
      <c r="I47" s="79"/>
      <c r="K47" s="79"/>
      <c r="L47" s="79"/>
      <c r="Q47" s="79">
        <v>44</v>
      </c>
      <c r="R47" s="79">
        <v>1465.6285956501172</v>
      </c>
      <c r="S47" s="79">
        <v>-65.628595650117177</v>
      </c>
    </row>
    <row r="48" spans="1:19" x14ac:dyDescent="0.2">
      <c r="A48" s="51">
        <v>700</v>
      </c>
      <c r="B48">
        <v>20000</v>
      </c>
      <c r="C48" s="25">
        <v>1</v>
      </c>
      <c r="D48" s="51">
        <v>4</v>
      </c>
      <c r="E48" s="25">
        <v>4</v>
      </c>
      <c r="G48" s="79"/>
      <c r="H48" s="79"/>
      <c r="I48" s="79"/>
      <c r="K48" s="79"/>
      <c r="L48" s="79"/>
      <c r="Q48" s="79">
        <v>45</v>
      </c>
      <c r="R48" s="79">
        <v>4305.0059576572976</v>
      </c>
      <c r="S48" s="79">
        <v>-1105.0059576572976</v>
      </c>
    </row>
    <row r="49" spans="1:19" x14ac:dyDescent="0.2">
      <c r="A49" s="65">
        <v>11000</v>
      </c>
      <c r="B49">
        <v>85000</v>
      </c>
      <c r="C49" s="27">
        <v>3</v>
      </c>
      <c r="D49" s="65">
        <v>5</v>
      </c>
      <c r="E49" s="27">
        <v>13</v>
      </c>
      <c r="G49" s="79"/>
      <c r="H49" s="79"/>
      <c r="I49" s="79"/>
      <c r="K49" s="79"/>
      <c r="L49" s="79"/>
      <c r="Q49" s="79">
        <v>46</v>
      </c>
      <c r="R49" s="79">
        <v>5406.4644571979934</v>
      </c>
      <c r="S49" s="79">
        <v>1393.5355428020066</v>
      </c>
    </row>
    <row r="50" spans="1:19" x14ac:dyDescent="0.2">
      <c r="A50" s="51">
        <v>850</v>
      </c>
      <c r="B50">
        <v>5000</v>
      </c>
      <c r="C50" s="25">
        <v>1</v>
      </c>
      <c r="D50" s="51">
        <v>3</v>
      </c>
      <c r="E50" s="25">
        <v>6</v>
      </c>
      <c r="G50" s="79"/>
      <c r="H50" s="79"/>
      <c r="I50" s="79"/>
      <c r="K50" s="79"/>
      <c r="L50" s="79"/>
      <c r="Q50" s="79">
        <v>47</v>
      </c>
      <c r="R50" s="79">
        <v>1026.3122196098359</v>
      </c>
      <c r="S50" s="79">
        <v>-326.31221960983589</v>
      </c>
    </row>
    <row r="51" spans="1:19" x14ac:dyDescent="0.2">
      <c r="A51" s="65">
        <v>4500</v>
      </c>
      <c r="B51">
        <v>60000</v>
      </c>
      <c r="C51" s="27">
        <v>2</v>
      </c>
      <c r="D51" s="65">
        <v>4</v>
      </c>
      <c r="E51" s="27">
        <v>10</v>
      </c>
      <c r="G51" s="79"/>
      <c r="H51" s="79"/>
      <c r="I51" s="79"/>
      <c r="K51" s="79"/>
      <c r="L51" s="79"/>
      <c r="Q51" s="79">
        <v>48</v>
      </c>
      <c r="R51" s="79">
        <v>9815.1430641978222</v>
      </c>
      <c r="S51" s="79">
        <v>1184.8569358021778</v>
      </c>
    </row>
    <row r="52" spans="1:19" x14ac:dyDescent="0.2">
      <c r="A52" s="51">
        <v>200</v>
      </c>
      <c r="B52">
        <v>5000</v>
      </c>
      <c r="C52" s="25">
        <v>3</v>
      </c>
      <c r="D52" s="51">
        <v>5</v>
      </c>
      <c r="E52" s="25">
        <v>10</v>
      </c>
      <c r="G52" s="79"/>
      <c r="H52" s="79"/>
      <c r="I52" s="79"/>
      <c r="K52" s="79"/>
      <c r="L52" s="79"/>
      <c r="Q52" s="79">
        <v>49</v>
      </c>
      <c r="R52" s="79">
        <v>321.32880378800064</v>
      </c>
      <c r="S52" s="79">
        <v>528.67119621199936</v>
      </c>
    </row>
    <row r="53" spans="1:19" x14ac:dyDescent="0.2">
      <c r="A53" s="65">
        <v>2700</v>
      </c>
      <c r="B53">
        <v>40000</v>
      </c>
      <c r="C53" s="27">
        <v>1</v>
      </c>
      <c r="D53" s="65">
        <v>3</v>
      </c>
      <c r="E53" s="27">
        <v>9</v>
      </c>
      <c r="G53" s="79"/>
      <c r="H53" s="79"/>
      <c r="I53" s="79"/>
      <c r="K53" s="79"/>
      <c r="L53" s="79"/>
      <c r="Q53" s="79">
        <v>50</v>
      </c>
      <c r="R53" s="79">
        <v>5617.8748384806513</v>
      </c>
      <c r="S53" s="79">
        <v>-1117.8748384806513</v>
      </c>
    </row>
    <row r="54" spans="1:19" x14ac:dyDescent="0.2">
      <c r="A54" s="51">
        <v>5000</v>
      </c>
      <c r="B54">
        <v>20000</v>
      </c>
      <c r="C54" s="25">
        <v>2</v>
      </c>
      <c r="D54" s="51">
        <v>6</v>
      </c>
      <c r="E54" s="25">
        <v>10</v>
      </c>
      <c r="G54" s="79"/>
      <c r="H54" s="79"/>
      <c r="I54" s="79"/>
      <c r="K54" s="79"/>
      <c r="L54" s="79"/>
      <c r="Q54" s="79">
        <v>51</v>
      </c>
      <c r="R54" s="79">
        <v>6854.4478151938556</v>
      </c>
      <c r="S54" s="79">
        <v>-6654.4478151938556</v>
      </c>
    </row>
    <row r="55" spans="1:19" x14ac:dyDescent="0.2">
      <c r="A55" s="65">
        <v>750</v>
      </c>
      <c r="B55">
        <v>5000</v>
      </c>
      <c r="C55" s="27">
        <v>1</v>
      </c>
      <c r="D55" s="65">
        <v>4</v>
      </c>
      <c r="E55" s="27">
        <v>5</v>
      </c>
      <c r="G55" s="79"/>
      <c r="H55" s="79"/>
      <c r="I55" s="79"/>
      <c r="K55" s="79"/>
      <c r="L55" s="79"/>
      <c r="Q55" s="79">
        <v>52</v>
      </c>
      <c r="R55" s="79">
        <v>1764.9022521408313</v>
      </c>
      <c r="S55" s="79">
        <v>935.09774785916875</v>
      </c>
    </row>
    <row r="56" spans="1:19" x14ac:dyDescent="0.2">
      <c r="A56" s="51">
        <v>650</v>
      </c>
      <c r="B56">
        <v>5000</v>
      </c>
      <c r="C56" s="25">
        <v>1</v>
      </c>
      <c r="D56" s="51">
        <v>5</v>
      </c>
      <c r="E56" s="25">
        <v>4</v>
      </c>
      <c r="G56" s="79"/>
      <c r="H56" s="79"/>
      <c r="I56" s="79"/>
      <c r="K56" s="79"/>
      <c r="L56" s="79"/>
      <c r="Q56" s="79">
        <v>53</v>
      </c>
      <c r="R56" s="79">
        <v>5019.3275254992232</v>
      </c>
      <c r="S56" s="79">
        <v>-19.327525499223157</v>
      </c>
    </row>
    <row r="57" spans="1:19" x14ac:dyDescent="0.2">
      <c r="A57" s="65">
        <v>4000</v>
      </c>
      <c r="B57">
        <v>40000</v>
      </c>
      <c r="C57" s="27">
        <v>2</v>
      </c>
      <c r="D57" s="65">
        <v>4</v>
      </c>
      <c r="E57" s="27">
        <v>1</v>
      </c>
      <c r="G57" s="79"/>
      <c r="H57" s="79"/>
      <c r="I57" s="79"/>
      <c r="K57" s="79"/>
      <c r="L57" s="79"/>
      <c r="Q57" s="79">
        <v>54</v>
      </c>
      <c r="R57" s="79">
        <v>608.46822793417994</v>
      </c>
      <c r="S57" s="79">
        <v>141.53177206582006</v>
      </c>
    </row>
    <row r="58" spans="1:19" x14ac:dyDescent="0.2">
      <c r="A58" s="51">
        <v>650</v>
      </c>
      <c r="B58">
        <v>5000</v>
      </c>
      <c r="C58" s="25">
        <v>1</v>
      </c>
      <c r="D58" s="51">
        <v>5</v>
      </c>
      <c r="E58" s="25">
        <v>6</v>
      </c>
      <c r="G58" s="79"/>
      <c r="H58" s="79"/>
      <c r="I58" s="79"/>
      <c r="K58" s="79"/>
      <c r="L58" s="79"/>
      <c r="Q58" s="79">
        <v>55</v>
      </c>
      <c r="R58" s="79">
        <v>895.60765208035923</v>
      </c>
      <c r="S58" s="79">
        <v>-245.60765208035923</v>
      </c>
    </row>
    <row r="59" spans="1:19" x14ac:dyDescent="0.2">
      <c r="A59" s="65">
        <v>650</v>
      </c>
      <c r="B59">
        <v>20000</v>
      </c>
      <c r="C59" s="27">
        <v>1</v>
      </c>
      <c r="D59" s="65">
        <v>5</v>
      </c>
      <c r="E59" s="27">
        <v>6</v>
      </c>
      <c r="G59" s="79"/>
      <c r="H59" s="79"/>
      <c r="I59" s="79"/>
      <c r="K59" s="79"/>
      <c r="L59" s="79"/>
      <c r="Q59" s="79">
        <v>56</v>
      </c>
      <c r="R59" s="79">
        <v>4152.8290057631957</v>
      </c>
      <c r="S59" s="79">
        <v>-152.82900576319571</v>
      </c>
    </row>
    <row r="60" spans="1:19" x14ac:dyDescent="0.2">
      <c r="A60" s="51">
        <v>650</v>
      </c>
      <c r="B60">
        <v>20000</v>
      </c>
      <c r="C60" s="25">
        <v>2</v>
      </c>
      <c r="D60" s="51">
        <v>6</v>
      </c>
      <c r="E60" s="25">
        <v>10</v>
      </c>
      <c r="G60" s="79"/>
      <c r="H60" s="79"/>
      <c r="I60" s="79"/>
      <c r="K60" s="79"/>
      <c r="L60" s="79"/>
      <c r="Q60" s="79">
        <v>57</v>
      </c>
      <c r="R60" s="79">
        <v>1071.3342024964718</v>
      </c>
      <c r="S60" s="79">
        <v>-421.33420249647179</v>
      </c>
    </row>
    <row r="61" spans="1:19" x14ac:dyDescent="0.2">
      <c r="A61" s="65">
        <v>1000</v>
      </c>
      <c r="B61">
        <v>5000</v>
      </c>
      <c r="C61" s="27">
        <v>1</v>
      </c>
      <c r="D61" s="65">
        <v>5</v>
      </c>
      <c r="E61" s="27">
        <v>6</v>
      </c>
      <c r="G61" s="79"/>
      <c r="H61" s="79"/>
      <c r="I61" s="79"/>
      <c r="K61" s="79"/>
      <c r="L61" s="79"/>
      <c r="Q61" s="79">
        <v>58</v>
      </c>
      <c r="R61" s="79">
        <v>1577.041469380184</v>
      </c>
      <c r="S61" s="79">
        <v>-927.04146938018403</v>
      </c>
    </row>
    <row r="62" spans="1:19" x14ac:dyDescent="0.2">
      <c r="A62" s="51">
        <v>1000</v>
      </c>
      <c r="B62">
        <v>5000</v>
      </c>
      <c r="C62" s="25">
        <v>2</v>
      </c>
      <c r="D62" s="51">
        <v>3</v>
      </c>
      <c r="E62" s="25">
        <v>15</v>
      </c>
      <c r="G62" s="79"/>
      <c r="H62" s="79"/>
      <c r="I62" s="79"/>
      <c r="K62" s="79"/>
      <c r="L62" s="79"/>
      <c r="Q62" s="79">
        <v>59</v>
      </c>
      <c r="R62" s="79">
        <v>5019.3275254992232</v>
      </c>
      <c r="S62" s="79">
        <v>-4369.3275254992232</v>
      </c>
    </row>
    <row r="63" spans="1:19" x14ac:dyDescent="0.2">
      <c r="A63" s="65">
        <v>7500</v>
      </c>
      <c r="B63">
        <v>40000</v>
      </c>
      <c r="C63" s="27">
        <v>2</v>
      </c>
      <c r="D63" s="65">
        <v>6</v>
      </c>
      <c r="E63" s="27">
        <v>8</v>
      </c>
      <c r="G63" s="79"/>
      <c r="H63" s="79"/>
      <c r="I63" s="79"/>
      <c r="K63" s="79"/>
      <c r="L63" s="79"/>
      <c r="Q63" s="79">
        <v>60</v>
      </c>
      <c r="R63" s="79">
        <v>1071.3342024964718</v>
      </c>
      <c r="S63" s="79">
        <v>-71.334202496471789</v>
      </c>
    </row>
    <row r="64" spans="1:19" x14ac:dyDescent="0.2">
      <c r="A64" s="51">
        <v>900</v>
      </c>
      <c r="B64">
        <v>20000</v>
      </c>
      <c r="C64" s="25">
        <v>1</v>
      </c>
      <c r="D64" s="51">
        <v>3</v>
      </c>
      <c r="E64" s="25">
        <v>6</v>
      </c>
      <c r="G64" s="79"/>
      <c r="H64" s="79"/>
      <c r="I64" s="79"/>
      <c r="K64" s="79"/>
      <c r="L64" s="79"/>
      <c r="Q64" s="79">
        <v>61</v>
      </c>
      <c r="R64" s="79">
        <v>3827.9285365930855</v>
      </c>
      <c r="S64" s="79">
        <v>-2827.9285365930855</v>
      </c>
    </row>
    <row r="65" spans="1:19" x14ac:dyDescent="0.2">
      <c r="A65" s="65">
        <v>5500</v>
      </c>
      <c r="B65">
        <v>60000</v>
      </c>
      <c r="C65" s="27">
        <v>2</v>
      </c>
      <c r="D65" s="65">
        <v>4</v>
      </c>
      <c r="E65" s="27">
        <v>12</v>
      </c>
      <c r="G65" s="79"/>
      <c r="H65" s="79"/>
      <c r="I65" s="79"/>
      <c r="K65" s="79"/>
      <c r="L65" s="79"/>
      <c r="Q65" s="79">
        <v>62</v>
      </c>
      <c r="R65" s="79">
        <v>5517.8773309280605</v>
      </c>
      <c r="S65" s="79">
        <v>1982.1226690719395</v>
      </c>
    </row>
    <row r="66" spans="1:19" x14ac:dyDescent="0.2">
      <c r="A66" s="51">
        <v>700</v>
      </c>
      <c r="B66">
        <v>5000</v>
      </c>
      <c r="C66" s="25">
        <v>1</v>
      </c>
      <c r="D66" s="51">
        <v>5</v>
      </c>
      <c r="E66" s="25">
        <v>5</v>
      </c>
      <c r="G66" s="79"/>
      <c r="H66" s="79"/>
      <c r="I66" s="79"/>
      <c r="K66" s="79"/>
      <c r="L66" s="79"/>
      <c r="Q66" s="79">
        <v>63</v>
      </c>
      <c r="R66" s="79">
        <v>827.03607067171288</v>
      </c>
      <c r="S66" s="79">
        <v>72.963929328287122</v>
      </c>
    </row>
    <row r="67" spans="1:19" x14ac:dyDescent="0.2">
      <c r="A67" s="65">
        <v>1200</v>
      </c>
      <c r="B67">
        <v>20000</v>
      </c>
      <c r="C67" s="27">
        <v>1</v>
      </c>
      <c r="D67" s="65">
        <v>6</v>
      </c>
      <c r="E67" s="27">
        <v>7</v>
      </c>
      <c r="G67" s="79"/>
      <c r="H67" s="79"/>
      <c r="I67" s="79"/>
      <c r="K67" s="79"/>
      <c r="L67" s="79"/>
      <c r="Q67" s="79">
        <v>64</v>
      </c>
      <c r="R67" s="79">
        <v>5793.6013888967636</v>
      </c>
      <c r="S67" s="79">
        <v>-293.60138889676364</v>
      </c>
    </row>
    <row r="68" spans="1:19" x14ac:dyDescent="0.2">
      <c r="A68" s="51">
        <v>3200</v>
      </c>
      <c r="B68">
        <v>85000</v>
      </c>
      <c r="C68" s="25">
        <v>1</v>
      </c>
      <c r="D68" s="51">
        <v>3</v>
      </c>
      <c r="E68" s="25">
        <v>10</v>
      </c>
      <c r="G68" s="79"/>
      <c r="H68" s="79"/>
      <c r="I68" s="79"/>
      <c r="K68" s="79"/>
      <c r="L68" s="79"/>
      <c r="Q68" s="79">
        <v>65</v>
      </c>
      <c r="R68" s="79">
        <v>983.47092728841551</v>
      </c>
      <c r="S68" s="79">
        <v>-283.47092728841551</v>
      </c>
    </row>
    <row r="69" spans="1:19" x14ac:dyDescent="0.2">
      <c r="A69" s="65">
        <v>4800</v>
      </c>
      <c r="B69">
        <v>40000</v>
      </c>
      <c r="C69" s="27">
        <v>2</v>
      </c>
      <c r="D69" s="65">
        <v>4</v>
      </c>
      <c r="E69" s="27">
        <v>8</v>
      </c>
      <c r="G69" s="79"/>
      <c r="H69" s="79"/>
      <c r="I69" s="79"/>
      <c r="K69" s="79"/>
      <c r="L69" s="79"/>
      <c r="Q69" s="79">
        <v>66</v>
      </c>
      <c r="R69" s="79">
        <v>2039.9074439424753</v>
      </c>
      <c r="S69" s="79">
        <v>-839.90744394247531</v>
      </c>
    </row>
    <row r="70" spans="1:19" x14ac:dyDescent="0.2">
      <c r="A70" s="51">
        <v>750</v>
      </c>
      <c r="B70">
        <v>5000</v>
      </c>
      <c r="C70" s="25">
        <v>1</v>
      </c>
      <c r="D70" s="51">
        <v>4</v>
      </c>
      <c r="E70" s="25">
        <v>4</v>
      </c>
      <c r="G70" s="79"/>
      <c r="H70" s="79"/>
      <c r="I70" s="79"/>
      <c r="K70" s="79"/>
      <c r="L70" s="79"/>
      <c r="Q70" s="79">
        <v>67</v>
      </c>
      <c r="R70" s="79">
        <v>3369.8873280000244</v>
      </c>
      <c r="S70" s="79">
        <v>-169.88732800002435</v>
      </c>
    </row>
    <row r="71" spans="1:19" x14ac:dyDescent="0.2">
      <c r="A71" s="65">
        <v>10000</v>
      </c>
      <c r="B71">
        <v>60000</v>
      </c>
      <c r="C71" s="27">
        <v>2</v>
      </c>
      <c r="D71" s="65">
        <v>5</v>
      </c>
      <c r="E71" s="27">
        <v>12</v>
      </c>
      <c r="G71" s="79"/>
      <c r="H71" s="79"/>
      <c r="I71" s="79"/>
      <c r="K71" s="79"/>
      <c r="L71" s="79"/>
      <c r="Q71" s="79">
        <v>68</v>
      </c>
      <c r="R71" s="79">
        <v>4767.8719322195893</v>
      </c>
      <c r="S71" s="79">
        <v>32.128067780410674</v>
      </c>
    </row>
    <row r="72" spans="1:19" x14ac:dyDescent="0.2">
      <c r="A72" s="51">
        <v>2300</v>
      </c>
      <c r="B72">
        <v>40000</v>
      </c>
      <c r="C72" s="25">
        <v>1</v>
      </c>
      <c r="D72" s="51">
        <v>3</v>
      </c>
      <c r="E72" s="25">
        <v>8</v>
      </c>
      <c r="G72" s="79"/>
      <c r="H72" s="79"/>
      <c r="I72" s="79"/>
      <c r="K72" s="79"/>
      <c r="L72" s="79"/>
      <c r="Q72" s="79">
        <v>69</v>
      </c>
      <c r="R72" s="79">
        <v>520.60495272612366</v>
      </c>
      <c r="S72" s="79">
        <v>229.39504727387634</v>
      </c>
    </row>
    <row r="73" spans="1:19" x14ac:dyDescent="0.2">
      <c r="A73" s="65">
        <v>2000</v>
      </c>
      <c r="B73">
        <v>40000</v>
      </c>
      <c r="C73" s="27">
        <v>1</v>
      </c>
      <c r="D73" s="65">
        <v>4</v>
      </c>
      <c r="E73" s="27">
        <v>2</v>
      </c>
      <c r="G73" s="79"/>
      <c r="H73" s="79"/>
      <c r="I73" s="79"/>
      <c r="K73" s="79"/>
      <c r="L73" s="79"/>
      <c r="Q73" s="79">
        <v>70</v>
      </c>
      <c r="R73" s="79">
        <v>6168.6040882509997</v>
      </c>
      <c r="S73" s="79">
        <v>3831.3959117490003</v>
      </c>
    </row>
    <row r="74" spans="1:19" x14ac:dyDescent="0.2">
      <c r="A74" s="51">
        <v>5000</v>
      </c>
      <c r="B74">
        <v>40000</v>
      </c>
      <c r="C74" s="25">
        <v>2</v>
      </c>
      <c r="D74" s="51">
        <v>4</v>
      </c>
      <c r="E74" s="25">
        <v>12</v>
      </c>
      <c r="G74" s="79"/>
      <c r="H74" s="79"/>
      <c r="I74" s="79"/>
      <c r="K74" s="79"/>
      <c r="L74" s="79"/>
      <c r="Q74" s="79">
        <v>71</v>
      </c>
      <c r="R74" s="79">
        <v>1677.0389769327749</v>
      </c>
      <c r="S74" s="79">
        <v>622.96102306722514</v>
      </c>
    </row>
    <row r="75" spans="1:19" x14ac:dyDescent="0.2">
      <c r="A75" s="65">
        <v>1000</v>
      </c>
      <c r="B75">
        <v>5000</v>
      </c>
      <c r="C75" s="27">
        <v>1</v>
      </c>
      <c r="D75" s="65">
        <v>5</v>
      </c>
      <c r="E75" s="27">
        <v>7</v>
      </c>
      <c r="G75" s="79"/>
      <c r="H75" s="79"/>
      <c r="I75" s="79"/>
      <c r="K75" s="79"/>
      <c r="L75" s="79"/>
      <c r="Q75" s="79">
        <v>72</v>
      </c>
      <c r="R75" s="79">
        <v>1524.8620250386732</v>
      </c>
      <c r="S75" s="79">
        <v>475.13797496132679</v>
      </c>
    </row>
    <row r="76" spans="1:19" x14ac:dyDescent="0.2">
      <c r="A76" s="51">
        <v>9500</v>
      </c>
      <c r="B76">
        <v>20000</v>
      </c>
      <c r="C76" s="25">
        <v>2</v>
      </c>
      <c r="D76" s="51">
        <v>6</v>
      </c>
      <c r="E76" s="25">
        <v>8</v>
      </c>
      <c r="G76" s="79"/>
      <c r="H76" s="79"/>
      <c r="I76" s="79"/>
      <c r="K76" s="79"/>
      <c r="L76" s="79"/>
      <c r="Q76" s="79">
        <v>73</v>
      </c>
      <c r="R76" s="79">
        <v>5119.3250330518149</v>
      </c>
      <c r="S76" s="79">
        <v>-119.3250330518149</v>
      </c>
    </row>
    <row r="77" spans="1:19" x14ac:dyDescent="0.2">
      <c r="A77" s="65">
        <v>4800</v>
      </c>
      <c r="B77">
        <v>60000</v>
      </c>
      <c r="C77" s="27">
        <v>2</v>
      </c>
      <c r="D77" s="65">
        <v>3</v>
      </c>
      <c r="E77" s="27">
        <v>9</v>
      </c>
      <c r="G77" s="79"/>
      <c r="H77" s="79"/>
      <c r="I77" s="79"/>
      <c r="K77" s="79"/>
      <c r="L77" s="79"/>
      <c r="Q77" s="79">
        <v>74</v>
      </c>
      <c r="R77" s="79">
        <v>1159.197477704528</v>
      </c>
      <c r="S77" s="79">
        <v>-159.19747770452796</v>
      </c>
    </row>
    <row r="78" spans="1:19" x14ac:dyDescent="0.2">
      <c r="A78" s="51">
        <v>14000</v>
      </c>
      <c r="B78">
        <v>125000</v>
      </c>
      <c r="C78" s="25">
        <v>3</v>
      </c>
      <c r="D78" s="51">
        <v>4</v>
      </c>
      <c r="E78" s="25">
        <v>10</v>
      </c>
      <c r="G78" s="79"/>
      <c r="H78" s="79"/>
      <c r="I78" s="79"/>
      <c r="K78" s="79"/>
      <c r="L78" s="79"/>
      <c r="Q78" s="79">
        <v>75</v>
      </c>
      <c r="R78" s="79">
        <v>4843.6009750831108</v>
      </c>
      <c r="S78" s="79">
        <v>4656.3990249168892</v>
      </c>
    </row>
    <row r="79" spans="1:19" x14ac:dyDescent="0.2">
      <c r="A79" s="65">
        <v>1500</v>
      </c>
      <c r="B79">
        <v>20000</v>
      </c>
      <c r="C79" s="27">
        <v>1</v>
      </c>
      <c r="D79" s="65">
        <v>5</v>
      </c>
      <c r="E79" s="27">
        <v>6</v>
      </c>
      <c r="G79" s="79"/>
      <c r="H79" s="79"/>
      <c r="I79" s="79"/>
      <c r="K79" s="79"/>
      <c r="L79" s="79"/>
      <c r="Q79" s="79">
        <v>76</v>
      </c>
      <c r="R79" s="79">
        <v>5155.0088639183596</v>
      </c>
      <c r="S79" s="79">
        <v>-355.00886391835957</v>
      </c>
    </row>
    <row r="80" spans="1:19" x14ac:dyDescent="0.2">
      <c r="A80" s="51">
        <v>2000</v>
      </c>
      <c r="B80">
        <v>5000</v>
      </c>
      <c r="C80" s="25">
        <v>1</v>
      </c>
      <c r="D80" s="51">
        <v>3</v>
      </c>
      <c r="E80" s="25">
        <v>11</v>
      </c>
      <c r="G80" s="79"/>
      <c r="H80" s="79"/>
      <c r="I80" s="79"/>
      <c r="K80" s="79"/>
      <c r="L80" s="79"/>
      <c r="Q80" s="79">
        <v>77</v>
      </c>
      <c r="R80" s="79">
        <v>10525.103250909318</v>
      </c>
      <c r="S80" s="79">
        <v>3474.8967490906816</v>
      </c>
    </row>
    <row r="81" spans="1:19" x14ac:dyDescent="0.2">
      <c r="A81" s="65">
        <v>1200</v>
      </c>
      <c r="B81">
        <v>5000</v>
      </c>
      <c r="C81" s="27">
        <v>1</v>
      </c>
      <c r="D81" s="65">
        <v>4</v>
      </c>
      <c r="E81" s="27">
        <v>5</v>
      </c>
      <c r="G81" s="79"/>
      <c r="H81" s="79"/>
      <c r="I81" s="79"/>
      <c r="K81" s="79"/>
      <c r="L81" s="79"/>
      <c r="Q81" s="79">
        <v>78</v>
      </c>
      <c r="R81" s="79">
        <v>1577.041469380184</v>
      </c>
      <c r="S81" s="79">
        <v>-77.041469380184026</v>
      </c>
    </row>
    <row r="82" spans="1:19" x14ac:dyDescent="0.2">
      <c r="A82" s="51">
        <v>3200</v>
      </c>
      <c r="B82">
        <v>60000</v>
      </c>
      <c r="C82" s="25">
        <v>2</v>
      </c>
      <c r="D82" s="51">
        <v>3</v>
      </c>
      <c r="E82" s="25">
        <v>10</v>
      </c>
      <c r="G82" s="79"/>
      <c r="H82" s="79"/>
      <c r="I82" s="79"/>
      <c r="K82" s="79"/>
      <c r="L82" s="79"/>
      <c r="Q82" s="79">
        <v>79</v>
      </c>
      <c r="R82" s="79">
        <v>760.64517982828181</v>
      </c>
      <c r="S82" s="79">
        <v>1239.3548201717181</v>
      </c>
    </row>
    <row r="83" spans="1:19" x14ac:dyDescent="0.2">
      <c r="A83" s="65">
        <v>900</v>
      </c>
      <c r="B83">
        <v>20000</v>
      </c>
      <c r="C83" s="27">
        <v>1</v>
      </c>
      <c r="D83" s="65">
        <v>6</v>
      </c>
      <c r="E83" s="27">
        <v>4</v>
      </c>
      <c r="G83" s="79"/>
      <c r="H83" s="79"/>
      <c r="I83" s="79"/>
      <c r="K83" s="79"/>
      <c r="L83" s="79"/>
      <c r="Q83" s="79">
        <v>80</v>
      </c>
      <c r="R83" s="79">
        <v>608.46822793417994</v>
      </c>
      <c r="S83" s="79">
        <v>591.53177206582006</v>
      </c>
    </row>
    <row r="84" spans="1:19" x14ac:dyDescent="0.2">
      <c r="A84" s="51">
        <v>12000</v>
      </c>
      <c r="B84">
        <v>40000</v>
      </c>
      <c r="C84" s="25">
        <v>2</v>
      </c>
      <c r="D84" s="51">
        <v>6</v>
      </c>
      <c r="E84" s="25">
        <v>6</v>
      </c>
      <c r="G84" s="79"/>
      <c r="H84" s="79"/>
      <c r="I84" s="79"/>
      <c r="K84" s="79"/>
      <c r="L84" s="79"/>
      <c r="Q84" s="79">
        <v>81</v>
      </c>
      <c r="R84" s="79">
        <v>5242.8721391264162</v>
      </c>
      <c r="S84" s="79">
        <v>-2042.8721391264162</v>
      </c>
    </row>
    <row r="85" spans="1:19" x14ac:dyDescent="0.2">
      <c r="A85" s="65">
        <v>650</v>
      </c>
      <c r="B85">
        <v>60000</v>
      </c>
      <c r="C85" s="27">
        <v>2</v>
      </c>
      <c r="D85" s="65">
        <v>6</v>
      </c>
      <c r="E85" s="27">
        <v>10</v>
      </c>
      <c r="G85" s="79"/>
      <c r="H85" s="79"/>
      <c r="I85" s="79"/>
      <c r="K85" s="79"/>
      <c r="L85" s="79"/>
      <c r="Q85" s="79">
        <v>82</v>
      </c>
      <c r="R85" s="79">
        <v>1776.3176183183066</v>
      </c>
      <c r="S85" s="79">
        <v>-876.31761831830659</v>
      </c>
    </row>
    <row r="86" spans="1:19" x14ac:dyDescent="0.2">
      <c r="A86" s="51">
        <v>4200</v>
      </c>
      <c r="B86">
        <v>40000</v>
      </c>
      <c r="C86" s="25">
        <v>2</v>
      </c>
      <c r="D86" s="51">
        <v>5</v>
      </c>
      <c r="E86" s="25">
        <v>7</v>
      </c>
      <c r="G86" s="79"/>
      <c r="H86" s="79"/>
      <c r="I86" s="79"/>
      <c r="K86" s="79"/>
      <c r="L86" s="79"/>
      <c r="Q86" s="79">
        <v>83</v>
      </c>
      <c r="R86" s="79">
        <v>5342.1507805119472</v>
      </c>
      <c r="S86" s="79">
        <v>6657.8492194880528</v>
      </c>
    </row>
    <row r="87" spans="1:19" x14ac:dyDescent="0.2">
      <c r="A87" s="65">
        <v>2600</v>
      </c>
      <c r="B87">
        <v>60000</v>
      </c>
      <c r="C87" s="27">
        <v>1</v>
      </c>
      <c r="D87" s="65">
        <v>3</v>
      </c>
      <c r="E87" s="27">
        <v>9</v>
      </c>
      <c r="G87" s="79"/>
      <c r="H87" s="79"/>
      <c r="I87" s="79"/>
      <c r="K87" s="79"/>
      <c r="L87" s="79"/>
      <c r="Q87" s="79">
        <v>84</v>
      </c>
      <c r="R87" s="79">
        <v>6367.8802371891225</v>
      </c>
      <c r="S87" s="79">
        <v>-5717.8802371891225</v>
      </c>
    </row>
    <row r="88" spans="1:19" x14ac:dyDescent="0.2">
      <c r="A88" s="51">
        <v>1100</v>
      </c>
      <c r="B88">
        <v>20000</v>
      </c>
      <c r="C88" s="25">
        <v>1</v>
      </c>
      <c r="D88" s="51">
        <v>6</v>
      </c>
      <c r="E88" s="25">
        <v>5</v>
      </c>
      <c r="G88" s="79"/>
      <c r="H88" s="79"/>
      <c r="I88" s="79"/>
      <c r="K88" s="79"/>
      <c r="L88" s="79"/>
      <c r="Q88" s="79">
        <v>85</v>
      </c>
      <c r="R88" s="79">
        <v>5055.0113563657687</v>
      </c>
      <c r="S88" s="79">
        <v>-855.01135636576873</v>
      </c>
    </row>
    <row r="89" spans="1:19" x14ac:dyDescent="0.2">
      <c r="A89" s="65">
        <v>650</v>
      </c>
      <c r="B89">
        <v>5000</v>
      </c>
      <c r="C89" s="27">
        <v>1</v>
      </c>
      <c r="D89" s="65">
        <v>4</v>
      </c>
      <c r="E89" s="27">
        <v>4</v>
      </c>
      <c r="G89" s="79"/>
      <c r="H89" s="79"/>
      <c r="I89" s="79"/>
      <c r="K89" s="79"/>
      <c r="L89" s="79"/>
      <c r="Q89" s="79">
        <v>86</v>
      </c>
      <c r="R89" s="79">
        <v>2439.1786079857811</v>
      </c>
      <c r="S89" s="79">
        <v>160.82139201421887</v>
      </c>
    </row>
    <row r="90" spans="1:19" x14ac:dyDescent="0.2">
      <c r="A90" s="51">
        <v>3600</v>
      </c>
      <c r="B90">
        <v>40000</v>
      </c>
      <c r="C90" s="25">
        <v>2</v>
      </c>
      <c r="D90" s="51">
        <v>3</v>
      </c>
      <c r="E90" s="25">
        <v>8</v>
      </c>
      <c r="G90" s="79"/>
      <c r="H90" s="79"/>
      <c r="I90" s="79"/>
      <c r="K90" s="79"/>
      <c r="L90" s="79"/>
      <c r="Q90" s="79">
        <v>87</v>
      </c>
      <c r="R90" s="79">
        <v>1864.180893526363</v>
      </c>
      <c r="S90" s="79">
        <v>-764.18089352636298</v>
      </c>
    </row>
    <row r="91" spans="1:19" x14ac:dyDescent="0.2">
      <c r="A91" s="65">
        <v>1300</v>
      </c>
      <c r="B91">
        <v>20000</v>
      </c>
      <c r="C91" s="27">
        <v>1</v>
      </c>
      <c r="D91" s="65">
        <v>5</v>
      </c>
      <c r="E91" s="27">
        <v>6</v>
      </c>
      <c r="G91" s="79"/>
      <c r="H91" s="79"/>
      <c r="I91" s="79"/>
      <c r="K91" s="79"/>
      <c r="L91" s="79"/>
      <c r="Q91" s="79">
        <v>88</v>
      </c>
      <c r="R91" s="79">
        <v>520.60495272612366</v>
      </c>
      <c r="S91" s="79">
        <v>129.39504727387634</v>
      </c>
    </row>
    <row r="92" spans="1:19" x14ac:dyDescent="0.2">
      <c r="A92" s="51">
        <v>650</v>
      </c>
      <c r="B92">
        <v>20000</v>
      </c>
      <c r="C92" s="25">
        <v>1</v>
      </c>
      <c r="D92" s="51">
        <v>4</v>
      </c>
      <c r="E92" s="25">
        <v>4</v>
      </c>
      <c r="G92" s="79"/>
      <c r="H92" s="79"/>
      <c r="I92" s="79"/>
      <c r="K92" s="79"/>
      <c r="L92" s="79"/>
      <c r="Q92" s="79">
        <v>89</v>
      </c>
      <c r="R92" s="79">
        <v>4392.8692328653542</v>
      </c>
      <c r="S92" s="79">
        <v>-792.86923286535421</v>
      </c>
    </row>
    <row r="93" spans="1:19" x14ac:dyDescent="0.2">
      <c r="A93" s="65">
        <v>3800</v>
      </c>
      <c r="B93">
        <v>40000</v>
      </c>
      <c r="C93" s="27">
        <v>2</v>
      </c>
      <c r="D93" s="65">
        <v>3</v>
      </c>
      <c r="E93" s="27">
        <v>10</v>
      </c>
      <c r="G93" s="79"/>
      <c r="H93" s="79"/>
      <c r="I93" s="79"/>
      <c r="K93" s="79"/>
      <c r="L93" s="79"/>
      <c r="Q93" s="79">
        <v>90</v>
      </c>
      <c r="R93" s="79">
        <v>1577.041469380184</v>
      </c>
      <c r="S93" s="79">
        <v>-277.04146938018403</v>
      </c>
    </row>
    <row r="94" spans="1:19" x14ac:dyDescent="0.2">
      <c r="A94" s="51">
        <v>720</v>
      </c>
      <c r="B94">
        <v>20000</v>
      </c>
      <c r="C94" s="25">
        <v>1</v>
      </c>
      <c r="D94" s="51">
        <v>4</v>
      </c>
      <c r="E94" s="25">
        <v>7</v>
      </c>
      <c r="G94" s="79"/>
      <c r="H94" s="79"/>
      <c r="I94" s="79"/>
      <c r="K94" s="79"/>
      <c r="L94" s="79"/>
      <c r="Q94" s="79">
        <v>91</v>
      </c>
      <c r="R94" s="79">
        <v>1026.3122196098359</v>
      </c>
      <c r="S94" s="79">
        <v>-376.31221960983589</v>
      </c>
    </row>
    <row r="95" spans="1:19" x14ac:dyDescent="0.2">
      <c r="A95" s="65">
        <v>2300</v>
      </c>
      <c r="B95">
        <v>40000</v>
      </c>
      <c r="C95" s="27">
        <v>1</v>
      </c>
      <c r="D95" s="65">
        <v>3</v>
      </c>
      <c r="E95" s="27">
        <v>9</v>
      </c>
      <c r="G95" s="79"/>
      <c r="H95" s="79"/>
      <c r="I95" s="79"/>
      <c r="K95" s="79"/>
      <c r="L95" s="79"/>
      <c r="Q95" s="79">
        <v>92</v>
      </c>
      <c r="R95" s="79">
        <v>4568.5957832814665</v>
      </c>
      <c r="S95" s="79">
        <v>-768.59578328146654</v>
      </c>
    </row>
    <row r="96" spans="1:19" x14ac:dyDescent="0.2">
      <c r="A96" s="51">
        <v>1200</v>
      </c>
      <c r="B96">
        <v>20000</v>
      </c>
      <c r="C96" s="25">
        <v>1</v>
      </c>
      <c r="D96" s="51">
        <v>5</v>
      </c>
      <c r="E96" s="25">
        <v>5</v>
      </c>
      <c r="G96" s="79"/>
      <c r="H96" s="79"/>
      <c r="I96" s="79"/>
      <c r="K96" s="79"/>
      <c r="L96" s="79"/>
      <c r="Q96" s="79">
        <v>93</v>
      </c>
      <c r="R96" s="79">
        <v>1289.9020452340046</v>
      </c>
      <c r="S96" s="79">
        <v>-569.90204523400462</v>
      </c>
    </row>
    <row r="97" spans="1:19" x14ac:dyDescent="0.2">
      <c r="A97" s="65">
        <v>600</v>
      </c>
      <c r="B97">
        <v>5000</v>
      </c>
      <c r="C97" s="27">
        <v>1</v>
      </c>
      <c r="D97" s="65">
        <v>4</v>
      </c>
      <c r="E97" s="27">
        <v>3</v>
      </c>
      <c r="G97" s="79"/>
      <c r="H97" s="79"/>
      <c r="I97" s="79"/>
      <c r="K97" s="79"/>
      <c r="L97" s="79"/>
      <c r="Q97" s="79">
        <v>94</v>
      </c>
      <c r="R97" s="79">
        <v>1764.9022521408313</v>
      </c>
      <c r="S97" s="79">
        <v>535.09774785916875</v>
      </c>
    </row>
    <row r="98" spans="1:19" x14ac:dyDescent="0.2">
      <c r="A98" s="51">
        <v>8200</v>
      </c>
      <c r="B98">
        <v>40000</v>
      </c>
      <c r="C98" s="25">
        <v>2</v>
      </c>
      <c r="D98" s="51">
        <v>6</v>
      </c>
      <c r="E98" s="25">
        <v>4</v>
      </c>
      <c r="G98" s="79"/>
      <c r="H98" s="79"/>
      <c r="I98" s="79"/>
      <c r="K98" s="79"/>
      <c r="L98" s="79"/>
      <c r="Q98" s="79">
        <v>95</v>
      </c>
      <c r="R98" s="79">
        <v>1489.1781941721279</v>
      </c>
      <c r="S98" s="79">
        <v>-289.17819417212786</v>
      </c>
    </row>
    <row r="99" spans="1:19" x14ac:dyDescent="0.2">
      <c r="A99" s="65">
        <v>9000</v>
      </c>
      <c r="B99">
        <v>60000</v>
      </c>
      <c r="C99" s="27">
        <v>2</v>
      </c>
      <c r="D99" s="65">
        <v>6</v>
      </c>
      <c r="E99" s="27">
        <v>8</v>
      </c>
      <c r="G99" s="79"/>
      <c r="H99" s="79"/>
      <c r="I99" s="79"/>
      <c r="K99" s="79"/>
      <c r="L99" s="79"/>
      <c r="Q99" s="79">
        <v>96</v>
      </c>
      <c r="R99" s="79">
        <v>432.74167751806749</v>
      </c>
      <c r="S99" s="79">
        <v>167.25832248193251</v>
      </c>
    </row>
    <row r="100" spans="1:19" x14ac:dyDescent="0.2">
      <c r="A100" s="51">
        <v>2400</v>
      </c>
      <c r="B100">
        <v>40000</v>
      </c>
      <c r="C100" s="25">
        <v>1</v>
      </c>
      <c r="D100" s="51">
        <v>3</v>
      </c>
      <c r="E100" s="25">
        <v>8</v>
      </c>
      <c r="G100" s="79"/>
      <c r="H100" s="79"/>
      <c r="I100" s="79"/>
      <c r="K100" s="79"/>
      <c r="L100" s="79"/>
      <c r="Q100" s="79">
        <v>97</v>
      </c>
      <c r="R100" s="79">
        <v>5166.4242300958349</v>
      </c>
      <c r="S100" s="79">
        <v>3033.5757699041651</v>
      </c>
    </row>
    <row r="101" spans="1:19" x14ac:dyDescent="0.2">
      <c r="A101" s="65">
        <v>7000</v>
      </c>
      <c r="B101">
        <v>20000</v>
      </c>
      <c r="C101" s="27">
        <v>2</v>
      </c>
      <c r="D101" s="65">
        <v>6</v>
      </c>
      <c r="E101" s="27">
        <v>5</v>
      </c>
      <c r="G101" s="79"/>
      <c r="H101" s="79"/>
      <c r="I101" s="79"/>
      <c r="K101" s="79"/>
      <c r="L101" s="79"/>
      <c r="Q101" s="79">
        <v>98</v>
      </c>
      <c r="R101" s="79">
        <v>6192.1536867730101</v>
      </c>
      <c r="S101" s="79">
        <v>2807.8463132269899</v>
      </c>
    </row>
    <row r="102" spans="1:19" x14ac:dyDescent="0.2">
      <c r="A102" s="51">
        <v>700</v>
      </c>
      <c r="B102">
        <v>5000</v>
      </c>
      <c r="C102" s="25">
        <v>1</v>
      </c>
      <c r="D102" s="51">
        <v>4</v>
      </c>
      <c r="E102" s="25">
        <v>4</v>
      </c>
      <c r="G102" s="79"/>
      <c r="H102" s="79"/>
      <c r="I102" s="79"/>
      <c r="K102" s="79"/>
      <c r="L102" s="79"/>
      <c r="Q102" s="79">
        <v>99</v>
      </c>
      <c r="R102" s="79">
        <v>1677.0389769327749</v>
      </c>
      <c r="S102" s="79">
        <v>722.96102306722514</v>
      </c>
    </row>
    <row r="103" spans="1:19" x14ac:dyDescent="0.2">
      <c r="A103" s="65">
        <v>4300</v>
      </c>
      <c r="B103">
        <v>40000</v>
      </c>
      <c r="C103" s="27">
        <v>2</v>
      </c>
      <c r="D103" s="65">
        <v>3</v>
      </c>
      <c r="E103" s="27">
        <v>10</v>
      </c>
      <c r="G103" s="79"/>
      <c r="H103" s="79"/>
      <c r="I103" s="79"/>
      <c r="K103" s="79"/>
      <c r="L103" s="79"/>
      <c r="Q103" s="79">
        <v>100</v>
      </c>
      <c r="R103" s="79">
        <v>4580.0111494589419</v>
      </c>
      <c r="S103" s="79">
        <v>2419.9888505410581</v>
      </c>
    </row>
    <row r="104" spans="1:19" x14ac:dyDescent="0.2">
      <c r="A104" s="51">
        <v>3400</v>
      </c>
      <c r="B104">
        <v>40000</v>
      </c>
      <c r="C104" s="25">
        <v>2</v>
      </c>
      <c r="D104" s="51">
        <v>5</v>
      </c>
      <c r="E104" s="25">
        <v>12</v>
      </c>
      <c r="G104" s="79"/>
      <c r="H104" s="79"/>
      <c r="I104" s="79"/>
      <c r="K104" s="79"/>
      <c r="L104" s="79"/>
      <c r="Q104" s="79">
        <v>101</v>
      </c>
      <c r="R104" s="79">
        <v>520.60495272612366</v>
      </c>
      <c r="S104" s="79">
        <v>179.39504727387634</v>
      </c>
    </row>
    <row r="105" spans="1:19" x14ac:dyDescent="0.2">
      <c r="A105" s="65">
        <v>600</v>
      </c>
      <c r="B105">
        <v>20000</v>
      </c>
      <c r="C105" s="27">
        <v>1</v>
      </c>
      <c r="D105" s="65">
        <v>4</v>
      </c>
      <c r="E105" s="27">
        <v>3</v>
      </c>
      <c r="G105" s="79"/>
      <c r="H105" s="79"/>
      <c r="I105" s="79"/>
      <c r="K105" s="79"/>
      <c r="L105" s="79"/>
      <c r="Q105" s="79">
        <v>102</v>
      </c>
      <c r="R105" s="79">
        <v>4568.5957832814665</v>
      </c>
      <c r="S105" s="79">
        <v>-268.59578328146654</v>
      </c>
    </row>
    <row r="106" spans="1:19" x14ac:dyDescent="0.2">
      <c r="A106" s="51">
        <v>4800</v>
      </c>
      <c r="B106">
        <v>40000</v>
      </c>
      <c r="C106" s="25">
        <v>2</v>
      </c>
      <c r="D106" s="51">
        <v>5</v>
      </c>
      <c r="E106" s="25">
        <v>7</v>
      </c>
      <c r="G106" s="79"/>
      <c r="H106" s="79"/>
      <c r="I106" s="79"/>
      <c r="K106" s="79"/>
      <c r="L106" s="79"/>
      <c r="Q106" s="79">
        <v>103</v>
      </c>
      <c r="R106" s="79">
        <v>5494.32773240605</v>
      </c>
      <c r="S106" s="79">
        <v>-2094.32773240605</v>
      </c>
    </row>
    <row r="107" spans="1:19" x14ac:dyDescent="0.2">
      <c r="A107" s="65">
        <v>5800</v>
      </c>
      <c r="B107">
        <v>20000</v>
      </c>
      <c r="C107" s="27">
        <v>2</v>
      </c>
      <c r="D107" s="65">
        <v>5</v>
      </c>
      <c r="E107" s="27">
        <v>9</v>
      </c>
      <c r="G107" s="79"/>
      <c r="H107" s="79"/>
      <c r="I107" s="79"/>
      <c r="K107" s="79"/>
      <c r="L107" s="79"/>
      <c r="Q107" s="79">
        <v>104</v>
      </c>
      <c r="R107" s="79">
        <v>938.44894440177973</v>
      </c>
      <c r="S107" s="79">
        <v>-338.44894440177973</v>
      </c>
    </row>
    <row r="108" spans="1:19" x14ac:dyDescent="0.2">
      <c r="A108" s="51">
        <v>750</v>
      </c>
      <c r="B108">
        <v>40000</v>
      </c>
      <c r="C108" s="25">
        <v>1</v>
      </c>
      <c r="D108" s="51">
        <v>4</v>
      </c>
      <c r="E108" s="25">
        <v>5</v>
      </c>
      <c r="G108" s="79"/>
      <c r="H108" s="79"/>
      <c r="I108" s="79"/>
      <c r="K108" s="79"/>
      <c r="L108" s="79"/>
      <c r="Q108" s="79">
        <v>105</v>
      </c>
      <c r="R108" s="79">
        <v>5055.0113563657687</v>
      </c>
      <c r="S108" s="79">
        <v>-255.01135636576873</v>
      </c>
    </row>
    <row r="109" spans="1:19" x14ac:dyDescent="0.2">
      <c r="A109" s="65">
        <v>1100</v>
      </c>
      <c r="B109">
        <v>40000</v>
      </c>
      <c r="C109" s="27">
        <v>1</v>
      </c>
      <c r="D109" s="65">
        <v>3</v>
      </c>
      <c r="E109" s="27">
        <v>8</v>
      </c>
      <c r="G109" s="79"/>
      <c r="H109" s="79"/>
      <c r="I109" s="79"/>
      <c r="K109" s="79"/>
      <c r="L109" s="79"/>
      <c r="Q109" s="79">
        <v>106</v>
      </c>
      <c r="R109" s="79">
        <v>4556.4615509369314</v>
      </c>
      <c r="S109" s="79">
        <v>1243.5384490630686</v>
      </c>
    </row>
    <row r="110" spans="1:19" x14ac:dyDescent="0.2">
      <c r="A110" s="51">
        <v>8500</v>
      </c>
      <c r="B110">
        <v>20000</v>
      </c>
      <c r="C110" s="25">
        <v>2</v>
      </c>
      <c r="D110" s="51">
        <v>6</v>
      </c>
      <c r="E110" s="25">
        <v>6</v>
      </c>
      <c r="G110" s="79"/>
      <c r="H110" s="79"/>
      <c r="I110" s="79"/>
      <c r="K110" s="79"/>
      <c r="L110" s="79"/>
      <c r="Q110" s="79">
        <v>107</v>
      </c>
      <c r="R110" s="79">
        <v>1788.4518506628419</v>
      </c>
      <c r="S110" s="79">
        <v>-1038.4518506628419</v>
      </c>
    </row>
    <row r="111" spans="1:19" x14ac:dyDescent="0.2">
      <c r="A111" s="65">
        <v>9500</v>
      </c>
      <c r="B111">
        <v>60000</v>
      </c>
      <c r="C111" s="27">
        <v>3</v>
      </c>
      <c r="D111" s="65">
        <v>6</v>
      </c>
      <c r="E111" s="27">
        <v>15</v>
      </c>
      <c r="G111" s="79"/>
      <c r="H111" s="79"/>
      <c r="I111" s="79"/>
      <c r="K111" s="79"/>
      <c r="L111" s="79"/>
      <c r="Q111" s="79">
        <v>108</v>
      </c>
      <c r="R111" s="79">
        <v>1677.0389769327749</v>
      </c>
      <c r="S111" s="79">
        <v>-577.03897693277486</v>
      </c>
    </row>
    <row r="112" spans="1:19" x14ac:dyDescent="0.2">
      <c r="A112" s="51">
        <v>2500</v>
      </c>
      <c r="B112">
        <v>40000</v>
      </c>
      <c r="C112" s="25">
        <v>1</v>
      </c>
      <c r="D112" s="51">
        <v>3</v>
      </c>
      <c r="E112" s="25">
        <v>6</v>
      </c>
      <c r="G112" s="79"/>
      <c r="H112" s="79"/>
      <c r="I112" s="79"/>
      <c r="K112" s="79"/>
      <c r="L112" s="79"/>
      <c r="Q112" s="79">
        <v>109</v>
      </c>
      <c r="R112" s="79">
        <v>4667.8744246669976</v>
      </c>
      <c r="S112" s="79">
        <v>3832.1255753330024</v>
      </c>
    </row>
    <row r="113" spans="1:19" x14ac:dyDescent="0.2">
      <c r="A113" s="65">
        <v>700</v>
      </c>
      <c r="B113">
        <v>5000</v>
      </c>
      <c r="C113" s="27">
        <v>1</v>
      </c>
      <c r="D113" s="65">
        <v>4</v>
      </c>
      <c r="E113" s="27">
        <v>6</v>
      </c>
      <c r="G113" s="79"/>
      <c r="H113" s="79"/>
      <c r="I113" s="79"/>
      <c r="K113" s="79"/>
      <c r="L113" s="79"/>
      <c r="Q113" s="79">
        <v>110</v>
      </c>
      <c r="R113" s="79">
        <v>9523.0268691619822</v>
      </c>
      <c r="S113" s="79">
        <v>-23.026869161982177</v>
      </c>
    </row>
    <row r="114" spans="1:19" x14ac:dyDescent="0.2">
      <c r="A114" s="51">
        <v>5500</v>
      </c>
      <c r="B114">
        <v>60000</v>
      </c>
      <c r="C114" s="25">
        <v>3</v>
      </c>
      <c r="D114" s="51">
        <v>4</v>
      </c>
      <c r="E114" s="25">
        <v>10</v>
      </c>
      <c r="G114" s="79"/>
      <c r="H114" s="79"/>
      <c r="I114" s="79"/>
      <c r="K114" s="79"/>
      <c r="L114" s="79"/>
      <c r="Q114" s="79">
        <v>111</v>
      </c>
      <c r="R114" s="79">
        <v>1501.3124265166625</v>
      </c>
      <c r="S114" s="79">
        <v>998.68757348333747</v>
      </c>
    </row>
    <row r="115" spans="1:19" x14ac:dyDescent="0.2">
      <c r="A115" s="65">
        <v>650</v>
      </c>
      <c r="B115">
        <v>20000</v>
      </c>
      <c r="C115" s="27">
        <v>1</v>
      </c>
      <c r="D115" s="65">
        <v>3</v>
      </c>
      <c r="E115" s="27">
        <v>4</v>
      </c>
      <c r="G115" s="79"/>
      <c r="H115" s="79"/>
      <c r="I115" s="79"/>
      <c r="K115" s="79"/>
      <c r="L115" s="79"/>
      <c r="Q115" s="79">
        <v>112</v>
      </c>
      <c r="R115" s="79">
        <v>696.33150314223622</v>
      </c>
      <c r="S115" s="79">
        <v>3.6684968577637846</v>
      </c>
    </row>
    <row r="116" spans="1:19" x14ac:dyDescent="0.2">
      <c r="A116" s="51">
        <v>5200</v>
      </c>
      <c r="B116">
        <v>85000</v>
      </c>
      <c r="C116" s="25">
        <v>2</v>
      </c>
      <c r="D116" s="51">
        <v>5</v>
      </c>
      <c r="E116" s="25">
        <v>18</v>
      </c>
      <c r="G116" s="79"/>
      <c r="H116" s="79"/>
      <c r="I116" s="79"/>
      <c r="K116" s="79"/>
      <c r="L116" s="79"/>
      <c r="Q116" s="79">
        <v>113</v>
      </c>
      <c r="R116" s="79">
        <v>8333.7050944132316</v>
      </c>
      <c r="S116" s="79">
        <v>-2833.7050944132316</v>
      </c>
    </row>
    <row r="117" spans="1:19" x14ac:dyDescent="0.2">
      <c r="A117" s="65">
        <v>650</v>
      </c>
      <c r="B117">
        <v>20000</v>
      </c>
      <c r="C117" s="27">
        <v>1</v>
      </c>
      <c r="D117" s="65">
        <v>6</v>
      </c>
      <c r="E117" s="27">
        <v>7</v>
      </c>
      <c r="G117" s="79"/>
      <c r="H117" s="79"/>
      <c r="I117" s="79"/>
      <c r="K117" s="79"/>
      <c r="L117" s="79"/>
      <c r="Q117" s="79">
        <v>114</v>
      </c>
      <c r="R117" s="79">
        <v>651.30952025560032</v>
      </c>
      <c r="S117" s="79">
        <v>-1.3095202556003187</v>
      </c>
    </row>
    <row r="118" spans="1:19" x14ac:dyDescent="0.2">
      <c r="A118" s="51">
        <v>8200</v>
      </c>
      <c r="B118">
        <v>125000</v>
      </c>
      <c r="C118" s="25">
        <v>3</v>
      </c>
      <c r="D118" s="51">
        <v>4</v>
      </c>
      <c r="E118" s="25">
        <v>10</v>
      </c>
      <c r="G118" s="79"/>
      <c r="H118" s="79"/>
      <c r="I118" s="79"/>
      <c r="K118" s="79"/>
      <c r="L118" s="79"/>
      <c r="Q118" s="79">
        <v>115</v>
      </c>
      <c r="R118" s="79">
        <v>7538.6291843055242</v>
      </c>
      <c r="S118" s="79">
        <v>-2338.6291843055242</v>
      </c>
    </row>
    <row r="119" spans="1:19" x14ac:dyDescent="0.2">
      <c r="A119" s="65">
        <v>1400</v>
      </c>
      <c r="B119">
        <v>40000</v>
      </c>
      <c r="C119" s="27">
        <v>1</v>
      </c>
      <c r="D119" s="65">
        <v>3</v>
      </c>
      <c r="E119" s="27">
        <v>14</v>
      </c>
      <c r="G119" s="79"/>
      <c r="H119" s="79"/>
      <c r="I119" s="79"/>
      <c r="K119" s="79"/>
      <c r="L119" s="79"/>
      <c r="Q119" s="79">
        <v>116</v>
      </c>
      <c r="R119" s="79">
        <v>2039.9074439424753</v>
      </c>
      <c r="S119" s="79">
        <v>-1389.9074439424753</v>
      </c>
    </row>
    <row r="120" spans="1:19" x14ac:dyDescent="0.2">
      <c r="A120" s="51">
        <v>600</v>
      </c>
      <c r="B120">
        <v>20000</v>
      </c>
      <c r="C120" s="25">
        <v>1</v>
      </c>
      <c r="D120" s="51">
        <v>4</v>
      </c>
      <c r="E120" s="25">
        <v>4</v>
      </c>
      <c r="G120" s="79"/>
      <c r="H120" s="79"/>
      <c r="I120" s="79"/>
      <c r="K120" s="79"/>
      <c r="L120" s="79"/>
      <c r="Q120" s="79">
        <v>117</v>
      </c>
      <c r="R120" s="79">
        <v>10525.103250909318</v>
      </c>
      <c r="S120" s="79">
        <v>-2325.1032509093184</v>
      </c>
    </row>
    <row r="121" spans="1:19" x14ac:dyDescent="0.2">
      <c r="A121" s="65">
        <v>750</v>
      </c>
      <c r="B121">
        <v>20000</v>
      </c>
      <c r="C121" s="27">
        <v>1</v>
      </c>
      <c r="D121" s="65">
        <v>5</v>
      </c>
      <c r="E121" s="27">
        <v>3</v>
      </c>
      <c r="G121" s="79"/>
      <c r="H121" s="79"/>
      <c r="I121" s="79"/>
      <c r="K121" s="79"/>
      <c r="L121" s="79"/>
      <c r="Q121" s="79">
        <v>118</v>
      </c>
      <c r="R121" s="79">
        <v>2204.2186281811123</v>
      </c>
      <c r="S121" s="79">
        <v>-804.21862818111231</v>
      </c>
    </row>
    <row r="122" spans="1:19" x14ac:dyDescent="0.2">
      <c r="A122" s="51">
        <v>20000</v>
      </c>
      <c r="B122">
        <v>20000</v>
      </c>
      <c r="C122" s="28">
        <v>1</v>
      </c>
      <c r="D122" s="51">
        <v>5</v>
      </c>
      <c r="E122" s="25">
        <v>10</v>
      </c>
      <c r="G122" s="79"/>
      <c r="H122" s="79"/>
      <c r="I122" s="79"/>
      <c r="K122" s="79"/>
      <c r="L122" s="79"/>
      <c r="Q122" s="79">
        <v>119</v>
      </c>
      <c r="R122" s="79">
        <v>1026.3122196098359</v>
      </c>
      <c r="S122" s="79">
        <v>-426.31221960983589</v>
      </c>
    </row>
    <row r="123" spans="1:19" x14ac:dyDescent="0.2">
      <c r="A123" s="65">
        <v>3000</v>
      </c>
      <c r="B123">
        <v>5000</v>
      </c>
      <c r="C123" s="27">
        <v>1</v>
      </c>
      <c r="D123" s="65">
        <v>4</v>
      </c>
      <c r="E123" s="27">
        <v>25</v>
      </c>
      <c r="G123" s="79"/>
      <c r="H123" s="79"/>
      <c r="I123" s="79"/>
      <c r="K123" s="79"/>
      <c r="L123" s="79"/>
      <c r="Q123" s="79">
        <v>120</v>
      </c>
      <c r="R123" s="79">
        <v>1313.4516437560153</v>
      </c>
      <c r="S123" s="79">
        <v>-563.4516437560153</v>
      </c>
    </row>
    <row r="124" spans="1:19" x14ac:dyDescent="0.2">
      <c r="A124" s="89">
        <v>950</v>
      </c>
      <c r="B124">
        <v>20000</v>
      </c>
      <c r="C124" s="25">
        <v>1</v>
      </c>
      <c r="D124" s="51">
        <v>4</v>
      </c>
      <c r="E124" s="28">
        <v>6</v>
      </c>
      <c r="G124" s="79"/>
      <c r="H124" s="79"/>
      <c r="I124" s="79"/>
      <c r="K124" s="79"/>
      <c r="L124" s="79"/>
      <c r="Q124" s="79">
        <v>121</v>
      </c>
      <c r="R124" s="79">
        <v>1928.4945702124089</v>
      </c>
      <c r="S124" s="79">
        <v>18071.50542978759</v>
      </c>
    </row>
    <row r="125" spans="1:19" x14ac:dyDescent="0.2">
      <c r="A125" s="65">
        <v>5600</v>
      </c>
      <c r="B125">
        <v>40000</v>
      </c>
      <c r="C125" s="27">
        <v>2</v>
      </c>
      <c r="D125" s="65">
        <v>6</v>
      </c>
      <c r="E125" s="27">
        <v>14</v>
      </c>
      <c r="G125" s="79"/>
      <c r="H125" s="79"/>
      <c r="I125" s="79"/>
      <c r="K125" s="79"/>
      <c r="L125" s="79"/>
      <c r="Q125" s="79">
        <v>122</v>
      </c>
      <c r="R125" s="79">
        <v>2365.7337320953047</v>
      </c>
      <c r="S125" s="79">
        <v>634.26626790469527</v>
      </c>
    </row>
    <row r="126" spans="1:19" x14ac:dyDescent="0.2">
      <c r="A126" s="51">
        <v>580</v>
      </c>
      <c r="B126">
        <v>5000</v>
      </c>
      <c r="C126" s="25">
        <v>1</v>
      </c>
      <c r="D126" s="51">
        <v>3</v>
      </c>
      <c r="E126" s="25">
        <v>5</v>
      </c>
      <c r="G126" s="79"/>
      <c r="H126" s="79"/>
      <c r="I126" s="79"/>
      <c r="K126" s="79"/>
      <c r="L126" s="79"/>
      <c r="Q126" s="79">
        <v>123</v>
      </c>
      <c r="R126" s="79">
        <v>1202.0387700259485</v>
      </c>
      <c r="S126" s="79">
        <v>-252.03877002594845</v>
      </c>
    </row>
    <row r="127" spans="1:19" x14ac:dyDescent="0.2">
      <c r="A127" s="65">
        <v>7100</v>
      </c>
      <c r="B127">
        <v>60000</v>
      </c>
      <c r="C127" s="27">
        <v>2</v>
      </c>
      <c r="D127" s="65">
        <v>4</v>
      </c>
      <c r="E127" s="27">
        <v>16</v>
      </c>
      <c r="G127" s="79"/>
      <c r="H127" s="79"/>
      <c r="I127" s="79"/>
      <c r="K127" s="79"/>
      <c r="L127" s="79"/>
      <c r="Q127" s="79">
        <v>124</v>
      </c>
      <c r="R127" s="79">
        <v>6045.0569821763975</v>
      </c>
      <c r="S127" s="79">
        <v>-445.05698217639747</v>
      </c>
    </row>
    <row r="128" spans="1:19" x14ac:dyDescent="0.2">
      <c r="A128" s="51">
        <v>650</v>
      </c>
      <c r="B128">
        <v>20000</v>
      </c>
      <c r="C128" s="25">
        <v>1</v>
      </c>
      <c r="D128" s="51">
        <v>5</v>
      </c>
      <c r="E128" s="25">
        <v>7</v>
      </c>
      <c r="G128" s="79"/>
      <c r="H128" s="79"/>
      <c r="I128" s="79"/>
      <c r="K128" s="79"/>
      <c r="L128" s="79"/>
      <c r="Q128" s="79">
        <v>125</v>
      </c>
      <c r="R128" s="79">
        <v>233.46552857994436</v>
      </c>
      <c r="S128" s="79">
        <v>346.53447142005564</v>
      </c>
    </row>
    <row r="129" spans="1:19" x14ac:dyDescent="0.2">
      <c r="A129" s="65">
        <v>5200</v>
      </c>
      <c r="B129">
        <v>20000</v>
      </c>
      <c r="C129" s="27">
        <v>2</v>
      </c>
      <c r="D129" s="65">
        <v>7</v>
      </c>
      <c r="E129" s="27">
        <v>10</v>
      </c>
      <c r="G129" s="79"/>
      <c r="H129" s="79"/>
      <c r="I129" s="79"/>
      <c r="K129" s="79"/>
      <c r="L129" s="79"/>
      <c r="Q129" s="79">
        <v>126</v>
      </c>
      <c r="R129" s="79">
        <v>6145.0544897289883</v>
      </c>
      <c r="S129" s="79">
        <v>954.9455102710117</v>
      </c>
    </row>
    <row r="130" spans="1:19" x14ac:dyDescent="0.2">
      <c r="A130" s="51">
        <v>500</v>
      </c>
      <c r="B130">
        <v>5000</v>
      </c>
      <c r="C130" s="25">
        <v>1</v>
      </c>
      <c r="D130" s="51">
        <v>4</v>
      </c>
      <c r="E130" s="25">
        <v>4</v>
      </c>
      <c r="G130" s="79"/>
      <c r="H130" s="79"/>
      <c r="I130" s="79"/>
      <c r="K130" s="79"/>
      <c r="L130" s="79"/>
      <c r="Q130" s="79">
        <v>127</v>
      </c>
      <c r="R130" s="79">
        <v>1664.9047445882402</v>
      </c>
      <c r="S130" s="79">
        <v>-1014.9047445882402</v>
      </c>
    </row>
    <row r="131" spans="1:19" x14ac:dyDescent="0.2">
      <c r="A131" s="65">
        <v>10200</v>
      </c>
      <c r="B131">
        <v>125000</v>
      </c>
      <c r="C131" s="27">
        <v>3</v>
      </c>
      <c r="D131" s="65">
        <v>3</v>
      </c>
      <c r="E131" s="27">
        <v>15</v>
      </c>
      <c r="G131" s="79"/>
      <c r="H131" s="79"/>
      <c r="I131" s="79"/>
      <c r="K131" s="79"/>
      <c r="L131" s="79"/>
      <c r="Q131" s="79">
        <v>128</v>
      </c>
      <c r="R131" s="79">
        <v>5394.3302248534583</v>
      </c>
      <c r="S131" s="79">
        <v>-194.33022485345828</v>
      </c>
    </row>
    <row r="132" spans="1:19" x14ac:dyDescent="0.2">
      <c r="A132" s="51">
        <v>720</v>
      </c>
      <c r="B132">
        <v>5000</v>
      </c>
      <c r="C132" s="25">
        <v>1</v>
      </c>
      <c r="D132" s="51">
        <v>5</v>
      </c>
      <c r="E132" s="25">
        <v>6</v>
      </c>
      <c r="G132" s="79"/>
      <c r="H132" s="79"/>
      <c r="I132" s="79"/>
      <c r="K132" s="79"/>
      <c r="L132" s="79"/>
      <c r="Q132" s="79">
        <v>129</v>
      </c>
      <c r="R132" s="79">
        <v>520.60495272612366</v>
      </c>
      <c r="S132" s="79">
        <v>-20.604952726123656</v>
      </c>
    </row>
    <row r="133" spans="1:19" x14ac:dyDescent="0.2">
      <c r="A133" s="65">
        <v>900</v>
      </c>
      <c r="B133">
        <v>20000</v>
      </c>
      <c r="C133" s="27">
        <v>1</v>
      </c>
      <c r="D133" s="65">
        <v>6</v>
      </c>
      <c r="E133" s="27">
        <v>11</v>
      </c>
      <c r="G133" s="79"/>
      <c r="H133" s="79"/>
      <c r="I133" s="79"/>
      <c r="K133" s="79"/>
      <c r="L133" s="79"/>
      <c r="Q133" s="79">
        <v>130</v>
      </c>
      <c r="R133" s="79">
        <v>10589.416927595363</v>
      </c>
      <c r="S133" s="79">
        <v>-389.41692759536272</v>
      </c>
    </row>
    <row r="134" spans="1:19" x14ac:dyDescent="0.2">
      <c r="A134" s="51">
        <v>780</v>
      </c>
      <c r="B134">
        <v>40000</v>
      </c>
      <c r="C134" s="25">
        <v>1</v>
      </c>
      <c r="D134" s="51">
        <v>4</v>
      </c>
      <c r="E134" s="25">
        <v>9</v>
      </c>
      <c r="G134" s="79"/>
      <c r="H134" s="79"/>
      <c r="I134" s="79"/>
      <c r="K134" s="79"/>
      <c r="L134" s="79"/>
      <c r="Q134" s="79">
        <v>131</v>
      </c>
      <c r="R134" s="79">
        <v>1071.3342024964718</v>
      </c>
      <c r="S134" s="79">
        <v>-351.33420249647179</v>
      </c>
    </row>
    <row r="135" spans="1:19" x14ac:dyDescent="0.2">
      <c r="A135" s="65">
        <v>4800</v>
      </c>
      <c r="B135">
        <v>40000</v>
      </c>
      <c r="C135" s="27">
        <v>2</v>
      </c>
      <c r="D135" s="65">
        <v>5</v>
      </c>
      <c r="E135" s="27">
        <v>13</v>
      </c>
      <c r="G135" s="79"/>
      <c r="H135" s="79"/>
      <c r="I135" s="79"/>
      <c r="K135" s="79"/>
      <c r="L135" s="79"/>
      <c r="Q135" s="79">
        <v>132</v>
      </c>
      <c r="R135" s="79">
        <v>2391.3605447747004</v>
      </c>
      <c r="S135" s="79">
        <v>-1491.3605447747004</v>
      </c>
    </row>
    <row r="136" spans="1:19" x14ac:dyDescent="0.2">
      <c r="A136" s="51">
        <v>850</v>
      </c>
      <c r="B136">
        <v>5000</v>
      </c>
      <c r="C136" s="25">
        <v>1</v>
      </c>
      <c r="D136" s="51">
        <v>4</v>
      </c>
      <c r="E136" s="25">
        <v>6</v>
      </c>
      <c r="G136" s="79"/>
      <c r="H136" s="79"/>
      <c r="I136" s="79"/>
      <c r="K136" s="79"/>
      <c r="L136" s="79"/>
      <c r="Q136" s="79">
        <v>133</v>
      </c>
      <c r="R136" s="79">
        <v>2139.9049514950666</v>
      </c>
      <c r="S136" s="79">
        <v>-1359.9049514950666</v>
      </c>
    </row>
    <row r="137" spans="1:19" x14ac:dyDescent="0.2">
      <c r="A137" s="65">
        <v>6400</v>
      </c>
      <c r="B137">
        <v>40000</v>
      </c>
      <c r="C137" s="27">
        <v>2</v>
      </c>
      <c r="D137" s="65">
        <v>6</v>
      </c>
      <c r="E137" s="27">
        <v>8</v>
      </c>
      <c r="G137" s="79"/>
      <c r="H137" s="79"/>
      <c r="I137" s="79"/>
      <c r="K137" s="79"/>
      <c r="L137" s="79"/>
      <c r="Q137" s="79">
        <v>134</v>
      </c>
      <c r="R137" s="79">
        <v>5582.1910076141066</v>
      </c>
      <c r="S137" s="79">
        <v>-782.19100761410664</v>
      </c>
    </row>
    <row r="138" spans="1:19" x14ac:dyDescent="0.2">
      <c r="A138" s="51">
        <v>800</v>
      </c>
      <c r="B138">
        <v>20000</v>
      </c>
      <c r="C138" s="25">
        <v>1</v>
      </c>
      <c r="D138" s="51">
        <v>3</v>
      </c>
      <c r="E138" s="25">
        <v>10</v>
      </c>
      <c r="G138" s="79"/>
      <c r="H138" s="79"/>
      <c r="I138" s="79"/>
      <c r="K138" s="79"/>
      <c r="L138" s="79"/>
      <c r="Q138" s="79">
        <v>135</v>
      </c>
      <c r="R138" s="79">
        <v>696.33150314223622</v>
      </c>
      <c r="S138" s="79">
        <v>153.66849685776378</v>
      </c>
    </row>
    <row r="139" spans="1:19" x14ac:dyDescent="0.2">
      <c r="A139" s="65">
        <v>4900</v>
      </c>
      <c r="B139">
        <v>60000</v>
      </c>
      <c r="C139" s="27">
        <v>2</v>
      </c>
      <c r="D139" s="65">
        <v>5</v>
      </c>
      <c r="E139" s="27">
        <v>17</v>
      </c>
      <c r="G139" s="79"/>
      <c r="H139" s="79"/>
      <c r="I139" s="79"/>
      <c r="K139" s="79"/>
      <c r="L139" s="79"/>
      <c r="Q139" s="79">
        <v>136</v>
      </c>
      <c r="R139" s="79">
        <v>5517.8773309280605</v>
      </c>
      <c r="S139" s="79">
        <v>882.12266907193953</v>
      </c>
    </row>
    <row r="140" spans="1:19" x14ac:dyDescent="0.2">
      <c r="A140" s="51">
        <v>720</v>
      </c>
      <c r="B140">
        <v>5000</v>
      </c>
      <c r="C140" s="25">
        <v>1</v>
      </c>
      <c r="D140" s="51">
        <v>6</v>
      </c>
      <c r="E140" s="25">
        <v>9</v>
      </c>
      <c r="G140" s="79"/>
      <c r="H140" s="79"/>
      <c r="I140" s="79"/>
      <c r="K140" s="79"/>
      <c r="L140" s="79"/>
      <c r="Q140" s="79">
        <v>137</v>
      </c>
      <c r="R140" s="79">
        <v>1178.4891715039378</v>
      </c>
      <c r="S140" s="79">
        <v>-378.48917150393777</v>
      </c>
    </row>
    <row r="141" spans="1:19" x14ac:dyDescent="0.2">
      <c r="A141" s="65">
        <v>9900</v>
      </c>
      <c r="B141">
        <v>125000</v>
      </c>
      <c r="C141" s="27">
        <v>3</v>
      </c>
      <c r="D141" s="65">
        <v>4</v>
      </c>
      <c r="E141" s="27">
        <v>12</v>
      </c>
      <c r="G141" s="79"/>
      <c r="H141" s="79"/>
      <c r="I141" s="79"/>
      <c r="K141" s="79"/>
      <c r="L141" s="79"/>
      <c r="Q141" s="79">
        <v>138</v>
      </c>
      <c r="R141" s="79">
        <v>6607.920464291281</v>
      </c>
      <c r="S141" s="79">
        <v>-1707.920464291281</v>
      </c>
    </row>
    <row r="142" spans="1:19" x14ac:dyDescent="0.2">
      <c r="A142" s="51">
        <v>650</v>
      </c>
      <c r="B142">
        <v>5000</v>
      </c>
      <c r="C142" s="25">
        <v>1</v>
      </c>
      <c r="D142" s="51">
        <v>3</v>
      </c>
      <c r="E142" s="25">
        <v>7</v>
      </c>
      <c r="G142" s="79"/>
      <c r="H142" s="79"/>
      <c r="I142" s="79"/>
      <c r="K142" s="79"/>
      <c r="L142" s="79"/>
      <c r="Q142" s="79">
        <v>139</v>
      </c>
      <c r="R142" s="79">
        <v>1709.9267274748756</v>
      </c>
      <c r="S142" s="79">
        <v>-989.92672747487563</v>
      </c>
    </row>
    <row r="143" spans="1:19" x14ac:dyDescent="0.2">
      <c r="A143" s="65">
        <v>990</v>
      </c>
      <c r="B143">
        <v>40000</v>
      </c>
      <c r="C143" s="27">
        <v>1</v>
      </c>
      <c r="D143" s="65">
        <v>5</v>
      </c>
      <c r="E143" s="27">
        <v>10</v>
      </c>
      <c r="G143" s="79"/>
      <c r="H143" s="79"/>
      <c r="I143" s="79"/>
      <c r="K143" s="79"/>
      <c r="L143" s="79"/>
      <c r="Q143" s="79">
        <v>140</v>
      </c>
      <c r="R143" s="79">
        <v>10700.829801325432</v>
      </c>
      <c r="S143" s="79">
        <v>-800.82980132543162</v>
      </c>
    </row>
    <row r="144" spans="1:19" x14ac:dyDescent="0.2">
      <c r="A144" s="51">
        <v>600</v>
      </c>
      <c r="B144">
        <v>20000</v>
      </c>
      <c r="C144" s="25">
        <v>1</v>
      </c>
      <c r="D144" s="51">
        <v>4</v>
      </c>
      <c r="E144" s="25">
        <v>5</v>
      </c>
      <c r="G144" s="79"/>
      <c r="H144" s="79"/>
      <c r="I144" s="79"/>
      <c r="K144" s="79"/>
      <c r="L144" s="79"/>
      <c r="Q144" s="79">
        <v>141</v>
      </c>
      <c r="R144" s="79">
        <v>409.19207899605681</v>
      </c>
      <c r="S144" s="79">
        <v>240.80792100394319</v>
      </c>
    </row>
    <row r="145" spans="1:19" x14ac:dyDescent="0.2">
      <c r="A145" s="65">
        <v>5000</v>
      </c>
      <c r="B145">
        <v>40000</v>
      </c>
      <c r="C145" s="27">
        <v>3</v>
      </c>
      <c r="D145" s="65">
        <v>4</v>
      </c>
      <c r="E145" s="27">
        <v>10</v>
      </c>
      <c r="G145" s="79"/>
      <c r="H145" s="79"/>
      <c r="I145" s="79"/>
      <c r="K145" s="79"/>
      <c r="L145" s="79"/>
      <c r="Q145" s="79">
        <v>142</v>
      </c>
      <c r="R145" s="79">
        <v>2602.7709260573583</v>
      </c>
      <c r="S145" s="79">
        <v>-1612.7709260573583</v>
      </c>
    </row>
    <row r="146" spans="1:19" x14ac:dyDescent="0.2">
      <c r="A146" s="51">
        <v>1000</v>
      </c>
      <c r="B146">
        <v>20000</v>
      </c>
      <c r="C146" s="25">
        <v>2</v>
      </c>
      <c r="D146" s="51">
        <v>4</v>
      </c>
      <c r="E146" s="25">
        <v>1</v>
      </c>
      <c r="G146" s="79"/>
      <c r="H146" s="79"/>
      <c r="I146" s="79"/>
      <c r="K146" s="79"/>
      <c r="L146" s="79"/>
      <c r="Q146" s="79">
        <v>143</v>
      </c>
      <c r="R146" s="79">
        <v>1114.1754948178923</v>
      </c>
      <c r="S146" s="79">
        <v>-514.17549481789229</v>
      </c>
    </row>
    <row r="147" spans="1:19" x14ac:dyDescent="0.2">
      <c r="A147" s="65">
        <v>1000</v>
      </c>
      <c r="B147">
        <v>20000</v>
      </c>
      <c r="C147" s="27">
        <v>2</v>
      </c>
      <c r="D147" s="65">
        <v>6</v>
      </c>
      <c r="E147" s="27">
        <v>20</v>
      </c>
      <c r="G147" s="79"/>
      <c r="H147" s="79"/>
      <c r="I147" s="79"/>
      <c r="K147" s="79"/>
      <c r="L147" s="79"/>
      <c r="Q147" s="79">
        <v>144</v>
      </c>
      <c r="R147" s="79">
        <v>7659.4287385682819</v>
      </c>
      <c r="S147" s="79">
        <v>-2659.4287385682819</v>
      </c>
    </row>
    <row r="148" spans="1:19" x14ac:dyDescent="0.2">
      <c r="A148" s="51">
        <v>15000</v>
      </c>
      <c r="B148">
        <v>20000</v>
      </c>
      <c r="C148" s="25">
        <v>4</v>
      </c>
      <c r="D148" s="51">
        <v>4</v>
      </c>
      <c r="E148" s="25">
        <v>30</v>
      </c>
      <c r="G148" s="79"/>
      <c r="H148" s="79"/>
      <c r="I148" s="79"/>
      <c r="K148" s="79"/>
      <c r="L148" s="79"/>
      <c r="Q148" s="79">
        <v>145</v>
      </c>
      <c r="R148" s="79">
        <v>3478.5526499182461</v>
      </c>
      <c r="S148" s="79">
        <v>-2478.5526499182461</v>
      </c>
    </row>
    <row r="149" spans="1:19" x14ac:dyDescent="0.2">
      <c r="A149" s="65">
        <v>4200</v>
      </c>
      <c r="B149">
        <v>20000</v>
      </c>
      <c r="C149" s="27">
        <v>2</v>
      </c>
      <c r="D149" s="65">
        <v>4</v>
      </c>
      <c r="E149" s="27">
        <v>11</v>
      </c>
      <c r="G149" s="79"/>
      <c r="H149" s="79"/>
      <c r="I149" s="79"/>
      <c r="K149" s="79"/>
      <c r="L149" s="79"/>
      <c r="Q149" s="79">
        <v>146</v>
      </c>
      <c r="R149" s="79">
        <v>5897.9602775797848</v>
      </c>
      <c r="S149" s="79">
        <v>-4897.9602775797848</v>
      </c>
    </row>
    <row r="150" spans="1:19" x14ac:dyDescent="0.2">
      <c r="A150" s="51">
        <v>700</v>
      </c>
      <c r="B150">
        <v>5000</v>
      </c>
      <c r="C150" s="25">
        <v>1</v>
      </c>
      <c r="D150" s="51">
        <v>3</v>
      </c>
      <c r="E150" s="25">
        <v>6</v>
      </c>
      <c r="G150" s="79"/>
      <c r="H150" s="79"/>
      <c r="I150" s="79"/>
      <c r="K150" s="79"/>
      <c r="L150" s="79"/>
      <c r="Q150" s="79">
        <v>147</v>
      </c>
      <c r="R150" s="79">
        <v>11458.248142817036</v>
      </c>
      <c r="S150" s="79">
        <v>3541.7518571829642</v>
      </c>
    </row>
    <row r="151" spans="1:19" x14ac:dyDescent="0.2">
      <c r="A151" s="65">
        <v>4200</v>
      </c>
      <c r="B151">
        <v>40000</v>
      </c>
      <c r="C151" s="27">
        <v>2</v>
      </c>
      <c r="D151" s="65">
        <v>5</v>
      </c>
      <c r="E151" s="27">
        <v>8</v>
      </c>
      <c r="G151" s="79"/>
      <c r="H151" s="79"/>
      <c r="I151" s="79"/>
      <c r="K151" s="79"/>
      <c r="L151" s="79"/>
      <c r="Q151" s="79">
        <v>148</v>
      </c>
      <c r="R151" s="79">
        <v>4357.1854019988086</v>
      </c>
      <c r="S151" s="79">
        <v>-157.18540199880863</v>
      </c>
    </row>
    <row r="152" spans="1:19" x14ac:dyDescent="0.2">
      <c r="A152" s="51">
        <v>5200</v>
      </c>
      <c r="B152">
        <v>60000</v>
      </c>
      <c r="C152" s="25">
        <v>2</v>
      </c>
      <c r="D152" s="51">
        <v>4</v>
      </c>
      <c r="E152" s="25">
        <v>9</v>
      </c>
      <c r="G152" s="79"/>
      <c r="H152" s="79"/>
      <c r="I152" s="79"/>
      <c r="K152" s="79"/>
      <c r="L152" s="79"/>
      <c r="Q152" s="79">
        <v>149</v>
      </c>
      <c r="R152" s="79">
        <v>321.32880378800064</v>
      </c>
      <c r="S152" s="79">
        <v>378.67119621199936</v>
      </c>
    </row>
    <row r="153" spans="1:19" x14ac:dyDescent="0.2">
      <c r="A153" s="65">
        <v>600</v>
      </c>
      <c r="B153">
        <v>5000</v>
      </c>
      <c r="C153" s="27">
        <v>1</v>
      </c>
      <c r="D153" s="65">
        <v>5</v>
      </c>
      <c r="E153" s="27">
        <v>3</v>
      </c>
      <c r="G153" s="79"/>
      <c r="H153" s="79"/>
      <c r="I153" s="79"/>
      <c r="K153" s="79"/>
      <c r="L153" s="79"/>
      <c r="Q153" s="79">
        <v>150</v>
      </c>
      <c r="R153" s="79">
        <v>5142.8746315738254</v>
      </c>
      <c r="S153" s="79">
        <v>-942.87463157382535</v>
      </c>
    </row>
    <row r="154" spans="1:19" x14ac:dyDescent="0.2">
      <c r="A154" s="51">
        <v>9500</v>
      </c>
      <c r="B154">
        <v>40000</v>
      </c>
      <c r="C154" s="25">
        <v>2</v>
      </c>
      <c r="D154" s="51">
        <v>7</v>
      </c>
      <c r="E154" s="25">
        <v>6</v>
      </c>
      <c r="G154" s="79"/>
      <c r="H154" s="79"/>
      <c r="I154" s="79"/>
      <c r="K154" s="79"/>
      <c r="L154" s="79"/>
      <c r="Q154" s="79">
        <v>151</v>
      </c>
      <c r="R154" s="79">
        <v>5530.0115632725947</v>
      </c>
      <c r="S154" s="79">
        <v>-330.01156327259469</v>
      </c>
    </row>
    <row r="155" spans="1:19" x14ac:dyDescent="0.2">
      <c r="A155" s="65">
        <v>600</v>
      </c>
      <c r="B155">
        <v>5000</v>
      </c>
      <c r="C155" s="27">
        <v>1</v>
      </c>
      <c r="D155" s="65">
        <v>4</v>
      </c>
      <c r="E155" s="27">
        <v>4</v>
      </c>
      <c r="G155" s="79"/>
      <c r="H155" s="79"/>
      <c r="I155" s="79"/>
      <c r="K155" s="79"/>
      <c r="L155" s="79"/>
      <c r="Q155" s="79">
        <v>152</v>
      </c>
      <c r="R155" s="79">
        <v>807.74437687230306</v>
      </c>
      <c r="S155" s="79">
        <v>-207.74437687230306</v>
      </c>
    </row>
    <row r="156" spans="1:19" x14ac:dyDescent="0.2">
      <c r="A156" s="51">
        <v>4900</v>
      </c>
      <c r="B156">
        <v>85000</v>
      </c>
      <c r="C156" s="25">
        <v>2</v>
      </c>
      <c r="D156" s="51">
        <v>4</v>
      </c>
      <c r="E156" s="25">
        <v>7</v>
      </c>
      <c r="G156" s="79"/>
      <c r="H156" s="79"/>
      <c r="I156" s="79"/>
      <c r="K156" s="79"/>
      <c r="L156" s="79"/>
      <c r="Q156" s="79">
        <v>153</v>
      </c>
      <c r="R156" s="79">
        <v>5717.1534798661833</v>
      </c>
      <c r="S156" s="79">
        <v>3782.8465201338167</v>
      </c>
    </row>
    <row r="157" spans="1:19" x14ac:dyDescent="0.2">
      <c r="A157" s="65">
        <v>650</v>
      </c>
      <c r="B157">
        <v>20000</v>
      </c>
      <c r="C157" s="27">
        <v>1</v>
      </c>
      <c r="D157" s="65">
        <v>5</v>
      </c>
      <c r="E157" s="27">
        <v>3</v>
      </c>
      <c r="G157" s="79"/>
      <c r="H157" s="79"/>
      <c r="I157" s="79"/>
      <c r="K157" s="79"/>
      <c r="L157" s="79"/>
      <c r="Q157" s="79">
        <v>154</v>
      </c>
      <c r="R157" s="79">
        <v>520.60495272612366</v>
      </c>
      <c r="S157" s="79">
        <v>79.395047273876344</v>
      </c>
    </row>
    <row r="158" spans="1:19" x14ac:dyDescent="0.2">
      <c r="A158" s="51">
        <v>1700</v>
      </c>
      <c r="B158">
        <v>40000</v>
      </c>
      <c r="C158" s="25">
        <v>1</v>
      </c>
      <c r="D158" s="51">
        <v>3</v>
      </c>
      <c r="E158" s="25">
        <v>11</v>
      </c>
      <c r="G158" s="79"/>
      <c r="H158" s="79"/>
      <c r="I158" s="79"/>
      <c r="K158" s="79"/>
      <c r="L158" s="79"/>
      <c r="Q158" s="79">
        <v>155</v>
      </c>
      <c r="R158" s="79">
        <v>6197.1304576626699</v>
      </c>
      <c r="S158" s="79">
        <v>-1297.1304576626699</v>
      </c>
    </row>
    <row r="159" spans="1:19" x14ac:dyDescent="0.2">
      <c r="A159" s="65">
        <v>3800</v>
      </c>
      <c r="B159">
        <v>40000</v>
      </c>
      <c r="C159" s="27">
        <v>2</v>
      </c>
      <c r="D159" s="65">
        <v>4</v>
      </c>
      <c r="E159" s="27">
        <v>8</v>
      </c>
      <c r="G159" s="79"/>
      <c r="H159" s="79"/>
      <c r="I159" s="79"/>
      <c r="K159" s="79"/>
      <c r="L159" s="79"/>
      <c r="Q159" s="79">
        <v>156</v>
      </c>
      <c r="R159" s="79">
        <v>1313.4516437560153</v>
      </c>
      <c r="S159" s="79">
        <v>-663.4516437560153</v>
      </c>
    </row>
    <row r="160" spans="1:19" x14ac:dyDescent="0.2">
      <c r="A160" s="51">
        <v>8700</v>
      </c>
      <c r="B160">
        <v>40000</v>
      </c>
      <c r="C160" s="25">
        <v>2</v>
      </c>
      <c r="D160" s="51">
        <v>6</v>
      </c>
      <c r="E160" s="25">
        <v>7</v>
      </c>
      <c r="G160" s="79"/>
      <c r="H160" s="79"/>
      <c r="I160" s="79"/>
      <c r="K160" s="79"/>
      <c r="L160" s="79"/>
      <c r="Q160" s="79">
        <v>157</v>
      </c>
      <c r="R160" s="79">
        <v>1940.6288025569438</v>
      </c>
      <c r="S160" s="79">
        <v>-240.62880255694381</v>
      </c>
    </row>
    <row r="161" spans="1:19" x14ac:dyDescent="0.2">
      <c r="A161" s="65">
        <v>500</v>
      </c>
      <c r="B161">
        <v>5000</v>
      </c>
      <c r="C161" s="27">
        <v>1</v>
      </c>
      <c r="D161" s="65">
        <v>4</v>
      </c>
      <c r="E161" s="27">
        <v>3</v>
      </c>
      <c r="G161" s="79"/>
      <c r="H161" s="79"/>
      <c r="I161" s="79"/>
      <c r="K161" s="79"/>
      <c r="L161" s="79"/>
      <c r="Q161" s="79">
        <v>158</v>
      </c>
      <c r="R161" s="79">
        <v>4767.8719322195893</v>
      </c>
      <c r="S161" s="79">
        <v>-967.87193221958933</v>
      </c>
    </row>
    <row r="162" spans="1:19" x14ac:dyDescent="0.2">
      <c r="A162" s="51">
        <v>4200</v>
      </c>
      <c r="B162">
        <v>20000</v>
      </c>
      <c r="C162" s="25">
        <v>2</v>
      </c>
      <c r="D162" s="51">
        <v>4</v>
      </c>
      <c r="E162" s="25">
        <v>6</v>
      </c>
      <c r="G162" s="79"/>
      <c r="H162" s="79"/>
      <c r="I162" s="79"/>
      <c r="K162" s="79"/>
      <c r="L162" s="79"/>
      <c r="Q162" s="79">
        <v>159</v>
      </c>
      <c r="R162" s="79">
        <v>5430.0140557200039</v>
      </c>
      <c r="S162" s="79">
        <v>3269.9859442799961</v>
      </c>
    </row>
    <row r="163" spans="1:19" x14ac:dyDescent="0.2">
      <c r="A163" s="65">
        <v>1000</v>
      </c>
      <c r="B163">
        <v>5000</v>
      </c>
      <c r="C163" s="27">
        <v>1</v>
      </c>
      <c r="D163" s="65">
        <v>3</v>
      </c>
      <c r="E163" s="27">
        <v>5</v>
      </c>
      <c r="G163" s="79"/>
      <c r="H163" s="79"/>
      <c r="I163" s="79"/>
      <c r="K163" s="79"/>
      <c r="L163" s="79"/>
      <c r="Q163" s="79">
        <v>160</v>
      </c>
      <c r="R163" s="79">
        <v>432.74167751806749</v>
      </c>
      <c r="S163" s="79">
        <v>67.25832248193251</v>
      </c>
    </row>
    <row r="164" spans="1:19" x14ac:dyDescent="0.2">
      <c r="A164" s="51">
        <v>4800</v>
      </c>
      <c r="B164">
        <v>40000</v>
      </c>
      <c r="C164" s="25">
        <v>2</v>
      </c>
      <c r="D164" s="51">
        <v>5</v>
      </c>
      <c r="E164" s="25">
        <v>18</v>
      </c>
      <c r="G164" s="79"/>
      <c r="H164" s="79"/>
      <c r="I164" s="79"/>
      <c r="K164" s="79"/>
      <c r="L164" s="79"/>
      <c r="Q164" s="79">
        <v>161</v>
      </c>
      <c r="R164" s="79">
        <v>3917.8690259585273</v>
      </c>
      <c r="S164" s="79">
        <v>282.13097404147265</v>
      </c>
    </row>
    <row r="165" spans="1:19" x14ac:dyDescent="0.2">
      <c r="A165" s="65">
        <v>900</v>
      </c>
      <c r="B165">
        <v>5000</v>
      </c>
      <c r="C165" s="27">
        <v>1</v>
      </c>
      <c r="D165" s="65">
        <v>4</v>
      </c>
      <c r="E165" s="27">
        <v>4</v>
      </c>
      <c r="G165" s="79"/>
      <c r="H165" s="79"/>
      <c r="I165" s="79"/>
      <c r="K165" s="79"/>
      <c r="L165" s="79"/>
      <c r="Q165" s="79">
        <v>162</v>
      </c>
      <c r="R165" s="79">
        <v>233.46552857994436</v>
      </c>
      <c r="S165" s="79">
        <v>766.53447142005564</v>
      </c>
    </row>
    <row r="166" spans="1:19" x14ac:dyDescent="0.2">
      <c r="A166" s="51">
        <v>9200</v>
      </c>
      <c r="B166">
        <v>60000</v>
      </c>
      <c r="C166" s="25">
        <v>3</v>
      </c>
      <c r="D166" s="51">
        <v>6</v>
      </c>
      <c r="E166" s="25">
        <v>10</v>
      </c>
      <c r="G166" s="79"/>
      <c r="H166" s="79"/>
      <c r="I166" s="79"/>
      <c r="K166" s="79"/>
      <c r="L166" s="79"/>
      <c r="Q166" s="79">
        <v>163</v>
      </c>
      <c r="R166" s="79">
        <v>6021.507383654387</v>
      </c>
      <c r="S166" s="79">
        <v>-1221.507383654387</v>
      </c>
    </row>
    <row r="167" spans="1:19" x14ac:dyDescent="0.2">
      <c r="A167" s="65">
        <v>3500</v>
      </c>
      <c r="B167">
        <v>40000</v>
      </c>
      <c r="C167" s="27">
        <v>1</v>
      </c>
      <c r="D167" s="65">
        <v>4</v>
      </c>
      <c r="E167" s="27">
        <v>12</v>
      </c>
      <c r="G167" s="79"/>
      <c r="H167" s="79"/>
      <c r="I167" s="79"/>
      <c r="K167" s="79"/>
      <c r="L167" s="79"/>
      <c r="Q167" s="79">
        <v>164</v>
      </c>
      <c r="R167" s="79">
        <v>520.60495272612366</v>
      </c>
      <c r="S167" s="79">
        <v>379.39504727387634</v>
      </c>
    </row>
    <row r="168" spans="1:19" x14ac:dyDescent="0.2">
      <c r="A168" s="51">
        <v>4000</v>
      </c>
      <c r="B168">
        <v>40000</v>
      </c>
      <c r="C168" s="25">
        <v>2</v>
      </c>
      <c r="D168" s="51">
        <v>5</v>
      </c>
      <c r="E168" s="25">
        <v>8</v>
      </c>
      <c r="G168" s="79"/>
      <c r="H168" s="79"/>
      <c r="I168" s="79"/>
      <c r="K168" s="79"/>
      <c r="L168" s="79"/>
      <c r="Q168" s="79">
        <v>165</v>
      </c>
      <c r="R168" s="79">
        <v>9083.7104931217018</v>
      </c>
      <c r="S168" s="79">
        <v>116.2895068782982</v>
      </c>
    </row>
    <row r="169" spans="1:19" x14ac:dyDescent="0.2">
      <c r="A169" s="65">
        <v>1600</v>
      </c>
      <c r="B169">
        <v>40000</v>
      </c>
      <c r="C169" s="27">
        <v>1</v>
      </c>
      <c r="D169" s="65">
        <v>4</v>
      </c>
      <c r="E169" s="27">
        <v>10</v>
      </c>
      <c r="G169" s="79"/>
      <c r="H169" s="79"/>
      <c r="I169" s="79"/>
      <c r="K169" s="79"/>
      <c r="L169" s="79"/>
      <c r="Q169" s="79">
        <v>166</v>
      </c>
      <c r="R169" s="79">
        <v>2403.4947771192356</v>
      </c>
      <c r="S169" s="79">
        <v>1096.5052228807644</v>
      </c>
    </row>
    <row r="170" spans="1:19" x14ac:dyDescent="0.2">
      <c r="A170" s="51">
        <v>12000</v>
      </c>
      <c r="B170">
        <v>85000</v>
      </c>
      <c r="C170" s="25">
        <v>3</v>
      </c>
      <c r="D170" s="51">
        <v>6</v>
      </c>
      <c r="E170" s="25">
        <v>14</v>
      </c>
      <c r="G170" s="79"/>
      <c r="H170" s="79"/>
      <c r="I170" s="79"/>
      <c r="K170" s="79"/>
      <c r="L170" s="79"/>
      <c r="Q170" s="79">
        <v>167</v>
      </c>
      <c r="R170" s="79">
        <v>5142.8746315738254</v>
      </c>
      <c r="S170" s="79">
        <v>-1142.8746315738254</v>
      </c>
    </row>
    <row r="171" spans="1:19" x14ac:dyDescent="0.2">
      <c r="A171" s="65">
        <v>850</v>
      </c>
      <c r="B171">
        <v>5000</v>
      </c>
      <c r="C171" s="27">
        <v>1</v>
      </c>
      <c r="D171" s="65">
        <v>4</v>
      </c>
      <c r="E171" s="27">
        <v>3</v>
      </c>
      <c r="G171" s="79"/>
      <c r="H171" s="79"/>
      <c r="I171" s="79"/>
      <c r="K171" s="79"/>
      <c r="L171" s="79"/>
      <c r="Q171" s="79">
        <v>168</v>
      </c>
      <c r="R171" s="79">
        <v>2227.7682267031232</v>
      </c>
      <c r="S171" s="79">
        <v>-627.76822670312322</v>
      </c>
    </row>
    <row r="172" spans="1:19" x14ac:dyDescent="0.2">
      <c r="A172" s="51">
        <v>6000</v>
      </c>
      <c r="B172">
        <v>60000</v>
      </c>
      <c r="C172" s="25">
        <v>2</v>
      </c>
      <c r="D172" s="51">
        <v>4</v>
      </c>
      <c r="E172" s="25">
        <v>12</v>
      </c>
      <c r="G172" s="79"/>
      <c r="H172" s="79"/>
      <c r="I172" s="79"/>
      <c r="K172" s="79"/>
      <c r="L172" s="79"/>
      <c r="Q172" s="79">
        <v>169</v>
      </c>
      <c r="R172" s="79">
        <v>10278.009038760114</v>
      </c>
      <c r="S172" s="79">
        <v>1721.990961239886</v>
      </c>
    </row>
    <row r="173" spans="1:19" x14ac:dyDescent="0.2">
      <c r="A173" s="65">
        <v>550</v>
      </c>
      <c r="B173">
        <v>40000</v>
      </c>
      <c r="C173" s="27">
        <v>1</v>
      </c>
      <c r="D173" s="65">
        <v>6</v>
      </c>
      <c r="E173" s="27">
        <v>2</v>
      </c>
      <c r="G173" s="79"/>
      <c r="H173" s="79"/>
      <c r="I173" s="79"/>
      <c r="K173" s="79"/>
      <c r="L173" s="79"/>
      <c r="Q173" s="79">
        <v>170</v>
      </c>
      <c r="R173" s="79">
        <v>432.74167751806749</v>
      </c>
      <c r="S173" s="79">
        <v>417.25832248193251</v>
      </c>
    </row>
    <row r="174" spans="1:19" x14ac:dyDescent="0.2">
      <c r="A174" s="51">
        <v>9000</v>
      </c>
      <c r="B174">
        <v>125000</v>
      </c>
      <c r="C174" s="25">
        <v>3</v>
      </c>
      <c r="D174" s="51">
        <v>4</v>
      </c>
      <c r="E174" s="25">
        <v>10</v>
      </c>
      <c r="G174" s="79"/>
      <c r="H174" s="79"/>
      <c r="I174" s="79"/>
      <c r="K174" s="79"/>
      <c r="L174" s="79"/>
      <c r="Q174" s="79">
        <v>171</v>
      </c>
      <c r="R174" s="79">
        <v>5793.6013888967636</v>
      </c>
      <c r="S174" s="79">
        <v>206.39861110323636</v>
      </c>
    </row>
    <row r="175" spans="1:19" x14ac:dyDescent="0.2">
      <c r="A175" s="65">
        <v>5000</v>
      </c>
      <c r="B175">
        <v>85000</v>
      </c>
      <c r="C175" s="27">
        <v>2</v>
      </c>
      <c r="D175" s="65">
        <v>3</v>
      </c>
      <c r="E175" s="27">
        <v>14</v>
      </c>
      <c r="G175" s="79"/>
      <c r="H175" s="79"/>
      <c r="I175" s="79"/>
      <c r="K175" s="79"/>
      <c r="L175" s="79"/>
      <c r="Q175" s="79">
        <v>172</v>
      </c>
      <c r="R175" s="79">
        <v>2274.8674237471437</v>
      </c>
      <c r="S175" s="79">
        <v>-1724.8674237471437</v>
      </c>
    </row>
    <row r="176" spans="1:19" x14ac:dyDescent="0.2">
      <c r="A176" s="51">
        <v>1500</v>
      </c>
      <c r="B176">
        <v>20000</v>
      </c>
      <c r="C176" s="25">
        <v>1</v>
      </c>
      <c r="D176" s="51">
        <v>4</v>
      </c>
      <c r="E176" s="25">
        <v>8</v>
      </c>
      <c r="G176" s="79"/>
      <c r="H176" s="79"/>
      <c r="I176" s="79"/>
      <c r="K176" s="79"/>
      <c r="L176" s="79"/>
      <c r="Q176" s="79">
        <v>173</v>
      </c>
      <c r="R176" s="79">
        <v>10525.103250909318</v>
      </c>
      <c r="S176" s="79">
        <v>-1525.1032509093184</v>
      </c>
    </row>
    <row r="177" spans="1:19" x14ac:dyDescent="0.2">
      <c r="A177" s="65">
        <v>550</v>
      </c>
      <c r="B177">
        <v>5000</v>
      </c>
      <c r="C177" s="27">
        <v>1</v>
      </c>
      <c r="D177" s="65">
        <v>3</v>
      </c>
      <c r="E177" s="27">
        <v>5</v>
      </c>
      <c r="G177" s="79"/>
      <c r="H177" s="79"/>
      <c r="I177" s="79"/>
      <c r="K177" s="79"/>
      <c r="L177" s="79"/>
      <c r="Q177" s="79">
        <v>174</v>
      </c>
      <c r="R177" s="79">
        <v>6437.1706847648275</v>
      </c>
      <c r="S177" s="79">
        <v>-1437.1706847648275</v>
      </c>
    </row>
    <row r="178" spans="1:19" x14ac:dyDescent="0.2">
      <c r="A178" s="51">
        <v>7000</v>
      </c>
      <c r="B178">
        <v>60000</v>
      </c>
      <c r="C178" s="25">
        <v>2</v>
      </c>
      <c r="D178" s="51">
        <v>5</v>
      </c>
      <c r="E178" s="25">
        <v>9</v>
      </c>
      <c r="G178" s="79"/>
      <c r="H178" s="79"/>
      <c r="I178" s="79"/>
      <c r="K178" s="79"/>
      <c r="L178" s="79"/>
      <c r="Q178" s="79">
        <v>175</v>
      </c>
      <c r="R178" s="79">
        <v>1377.7653204420608</v>
      </c>
      <c r="S178" s="79">
        <v>122.23467955793922</v>
      </c>
    </row>
    <row r="179" spans="1:19" x14ac:dyDescent="0.2">
      <c r="A179" s="65">
        <v>1600</v>
      </c>
      <c r="B179">
        <v>40000</v>
      </c>
      <c r="C179" s="27">
        <v>1</v>
      </c>
      <c r="D179" s="65">
        <v>4</v>
      </c>
      <c r="E179" s="27">
        <v>10</v>
      </c>
      <c r="G179" s="79"/>
      <c r="H179" s="79"/>
      <c r="I179" s="79"/>
      <c r="K179" s="79"/>
      <c r="L179" s="79"/>
      <c r="Q179" s="79">
        <v>176</v>
      </c>
      <c r="R179" s="79">
        <v>233.46552857994436</v>
      </c>
      <c r="S179" s="79">
        <v>316.53447142005564</v>
      </c>
    </row>
    <row r="180" spans="1:19" x14ac:dyDescent="0.2">
      <c r="A180" s="51">
        <v>600</v>
      </c>
      <c r="B180">
        <v>5000</v>
      </c>
      <c r="C180" s="25">
        <v>1</v>
      </c>
      <c r="D180" s="51">
        <v>5</v>
      </c>
      <c r="E180" s="25">
        <v>4</v>
      </c>
      <c r="G180" s="79"/>
      <c r="H180" s="79"/>
      <c r="I180" s="79"/>
      <c r="K180" s="79"/>
      <c r="L180" s="79"/>
      <c r="Q180" s="79">
        <v>177</v>
      </c>
      <c r="R180" s="79">
        <v>5905.0142626268307</v>
      </c>
      <c r="S180" s="79">
        <v>1094.9857373731693</v>
      </c>
    </row>
    <row r="181" spans="1:19" x14ac:dyDescent="0.2">
      <c r="A181" s="65">
        <v>9000</v>
      </c>
      <c r="B181">
        <v>40000</v>
      </c>
      <c r="C181" s="27">
        <v>2</v>
      </c>
      <c r="D181" s="65">
        <v>6</v>
      </c>
      <c r="E181" s="27">
        <v>7</v>
      </c>
      <c r="G181" s="79"/>
      <c r="H181" s="79"/>
      <c r="I181" s="79"/>
      <c r="K181" s="79"/>
      <c r="L181" s="79"/>
      <c r="Q181" s="79">
        <v>178</v>
      </c>
      <c r="R181" s="79">
        <v>2227.7682267031232</v>
      </c>
      <c r="S181" s="79">
        <v>-627.76822670312322</v>
      </c>
    </row>
    <row r="182" spans="1:19" x14ac:dyDescent="0.2">
      <c r="A182" s="51">
        <v>5200</v>
      </c>
      <c r="B182">
        <v>85000</v>
      </c>
      <c r="C182" s="25">
        <v>2</v>
      </c>
      <c r="D182" s="51">
        <v>3</v>
      </c>
      <c r="E182" s="25">
        <v>9</v>
      </c>
      <c r="G182" s="79"/>
      <c r="H182" s="79"/>
      <c r="I182" s="79"/>
      <c r="K182" s="79"/>
      <c r="L182" s="79"/>
      <c r="Q182" s="79">
        <v>179</v>
      </c>
      <c r="R182" s="79">
        <v>895.60765208035923</v>
      </c>
      <c r="S182" s="79">
        <v>-295.60765208035923</v>
      </c>
    </row>
    <row r="183" spans="1:19" x14ac:dyDescent="0.2">
      <c r="A183" s="65">
        <v>1800</v>
      </c>
      <c r="B183">
        <v>60000</v>
      </c>
      <c r="C183" s="27">
        <v>1</v>
      </c>
      <c r="D183" s="65">
        <v>4</v>
      </c>
      <c r="E183" s="27">
        <v>11</v>
      </c>
      <c r="G183" s="79"/>
      <c r="H183" s="79"/>
      <c r="I183" s="79"/>
      <c r="K183" s="79"/>
      <c r="L183" s="79"/>
      <c r="Q183" s="79">
        <v>180</v>
      </c>
      <c r="R183" s="79">
        <v>5430.0140557200039</v>
      </c>
      <c r="S183" s="79">
        <v>3569.9859442799961</v>
      </c>
    </row>
    <row r="184" spans="1:19" x14ac:dyDescent="0.2">
      <c r="A184" s="51">
        <v>14000</v>
      </c>
      <c r="B184">
        <v>20000</v>
      </c>
      <c r="C184" s="25">
        <v>3</v>
      </c>
      <c r="D184" s="51">
        <v>6</v>
      </c>
      <c r="E184" s="25">
        <v>12</v>
      </c>
      <c r="G184" s="79"/>
      <c r="H184" s="79"/>
      <c r="I184" s="79"/>
      <c r="K184" s="79"/>
      <c r="L184" s="79"/>
      <c r="Q184" s="79">
        <v>181</v>
      </c>
      <c r="R184" s="79">
        <v>5997.8543087245462</v>
      </c>
      <c r="S184" s="79">
        <v>-797.85430872454617</v>
      </c>
    </row>
    <row r="185" spans="1:19" x14ac:dyDescent="0.2">
      <c r="A185" s="65">
        <v>500</v>
      </c>
      <c r="B185">
        <v>5000</v>
      </c>
      <c r="C185" s="27">
        <v>1</v>
      </c>
      <c r="D185" s="65">
        <v>3</v>
      </c>
      <c r="E185" s="27">
        <v>3</v>
      </c>
      <c r="G185" s="79"/>
      <c r="H185" s="79"/>
      <c r="I185" s="79"/>
      <c r="K185" s="79"/>
      <c r="L185" s="79"/>
      <c r="Q185" s="79">
        <v>182</v>
      </c>
      <c r="R185" s="79">
        <v>2989.907857756129</v>
      </c>
      <c r="S185" s="79">
        <v>-1189.907857756129</v>
      </c>
    </row>
    <row r="186" spans="1:19" x14ac:dyDescent="0.2">
      <c r="A186" s="51">
        <v>850</v>
      </c>
      <c r="B186">
        <v>5000</v>
      </c>
      <c r="C186" s="25">
        <v>1</v>
      </c>
      <c r="D186" s="51">
        <v>5</v>
      </c>
      <c r="E186" s="25">
        <v>5</v>
      </c>
      <c r="G186" s="79"/>
      <c r="H186" s="79"/>
      <c r="I186" s="79"/>
      <c r="K186" s="79"/>
      <c r="L186" s="79"/>
      <c r="Q186" s="79">
        <v>183</v>
      </c>
      <c r="R186" s="79">
        <v>7910.8843318479148</v>
      </c>
      <c r="S186" s="79">
        <v>6089.1156681520852</v>
      </c>
    </row>
    <row r="187" spans="1:19" x14ac:dyDescent="0.2">
      <c r="A187" s="65">
        <v>450</v>
      </c>
      <c r="B187">
        <v>5000</v>
      </c>
      <c r="C187" s="27">
        <v>1</v>
      </c>
      <c r="D187" s="65">
        <v>4</v>
      </c>
      <c r="E187" s="27">
        <v>15</v>
      </c>
      <c r="G187" s="79"/>
      <c r="H187" s="79"/>
      <c r="I187" s="79"/>
      <c r="K187" s="79"/>
      <c r="L187" s="79"/>
      <c r="Q187" s="79">
        <v>184</v>
      </c>
      <c r="R187" s="79">
        <v>57.738978163831916</v>
      </c>
      <c r="S187" s="79">
        <v>442.26102183616808</v>
      </c>
    </row>
    <row r="188" spans="1:19" x14ac:dyDescent="0.2">
      <c r="A188" s="51">
        <v>750</v>
      </c>
      <c r="B188">
        <v>20000</v>
      </c>
      <c r="C188" s="25">
        <v>1</v>
      </c>
      <c r="D188" s="51">
        <v>4</v>
      </c>
      <c r="E188" s="25">
        <v>6</v>
      </c>
      <c r="G188" s="79"/>
      <c r="H188" s="79"/>
      <c r="I188" s="79"/>
      <c r="K188" s="79"/>
      <c r="L188" s="79"/>
      <c r="Q188" s="79">
        <v>185</v>
      </c>
      <c r="R188" s="79">
        <v>983.47092728841551</v>
      </c>
      <c r="S188" s="79">
        <v>-133.47092728841551</v>
      </c>
    </row>
    <row r="189" spans="1:19" x14ac:dyDescent="0.2">
      <c r="A189" s="65">
        <v>8200</v>
      </c>
      <c r="B189">
        <v>40000</v>
      </c>
      <c r="C189" s="27">
        <v>2</v>
      </c>
      <c r="D189" s="65">
        <v>6</v>
      </c>
      <c r="E189" s="27">
        <v>9</v>
      </c>
      <c r="G189" s="79"/>
      <c r="H189" s="79"/>
      <c r="I189" s="79"/>
      <c r="K189" s="79"/>
      <c r="L189" s="79"/>
      <c r="Q189" s="79">
        <v>186</v>
      </c>
      <c r="R189" s="79">
        <v>1487.1009800147424</v>
      </c>
      <c r="S189" s="79">
        <v>-1037.1009800147424</v>
      </c>
    </row>
    <row r="190" spans="1:19" x14ac:dyDescent="0.2">
      <c r="A190" s="51">
        <v>1500</v>
      </c>
      <c r="B190">
        <v>5000</v>
      </c>
      <c r="C190" s="25">
        <v>1</v>
      </c>
      <c r="D190" s="51">
        <v>6</v>
      </c>
      <c r="E190" s="25">
        <v>7</v>
      </c>
      <c r="G190" s="79"/>
      <c r="H190" s="79"/>
      <c r="I190" s="79"/>
      <c r="K190" s="79"/>
      <c r="L190" s="79"/>
      <c r="Q190" s="79">
        <v>187</v>
      </c>
      <c r="R190" s="79">
        <v>1202.0387700259485</v>
      </c>
      <c r="S190" s="79">
        <v>-452.03877002594845</v>
      </c>
    </row>
    <row r="191" spans="1:19" x14ac:dyDescent="0.2">
      <c r="A191" s="65">
        <v>3000</v>
      </c>
      <c r="B191">
        <v>5000</v>
      </c>
      <c r="C191" s="27">
        <v>2</v>
      </c>
      <c r="D191" s="65">
        <v>4</v>
      </c>
      <c r="E191" s="27">
        <v>7</v>
      </c>
      <c r="G191" s="79"/>
      <c r="H191" s="79"/>
      <c r="I191" s="79"/>
      <c r="K191" s="79"/>
      <c r="L191" s="79"/>
      <c r="Q191" s="79">
        <v>188</v>
      </c>
      <c r="R191" s="79">
        <v>5605.7406061361162</v>
      </c>
      <c r="S191" s="79">
        <v>2594.2593938638838</v>
      </c>
    </row>
    <row r="192" spans="1:19" x14ac:dyDescent="0.2">
      <c r="A192" s="51">
        <v>500</v>
      </c>
      <c r="B192">
        <v>20000</v>
      </c>
      <c r="C192" s="25">
        <v>3</v>
      </c>
      <c r="D192" s="51">
        <v>5</v>
      </c>
      <c r="E192" s="25">
        <v>1</v>
      </c>
      <c r="G192" s="79"/>
      <c r="H192" s="79"/>
      <c r="I192" s="79"/>
      <c r="K192" s="79"/>
      <c r="L192" s="79"/>
      <c r="Q192" s="79">
        <v>189</v>
      </c>
      <c r="R192" s="79">
        <v>1534.2001770587631</v>
      </c>
      <c r="S192" s="79">
        <v>-34.200177058763074</v>
      </c>
    </row>
    <row r="193" spans="1:19" x14ac:dyDescent="0.2">
      <c r="A193" s="65">
        <v>20000</v>
      </c>
      <c r="B193">
        <v>5000</v>
      </c>
      <c r="C193" s="27">
        <v>2</v>
      </c>
      <c r="D193" s="65">
        <v>4</v>
      </c>
      <c r="E193" s="27">
        <v>10</v>
      </c>
      <c r="G193" s="79"/>
      <c r="H193" s="79"/>
      <c r="I193" s="79"/>
      <c r="K193" s="79"/>
      <c r="L193" s="79"/>
      <c r="Q193" s="79">
        <v>190</v>
      </c>
      <c r="R193" s="79">
        <v>3500.0250342828713</v>
      </c>
      <c r="S193" s="79">
        <v>-500.02503428287127</v>
      </c>
    </row>
    <row r="194" spans="1:19" x14ac:dyDescent="0.2">
      <c r="A194" s="89">
        <v>850</v>
      </c>
      <c r="B194">
        <v>5000</v>
      </c>
      <c r="C194" s="25">
        <v>2</v>
      </c>
      <c r="D194" s="51">
        <v>4</v>
      </c>
      <c r="E194" s="25">
        <v>1</v>
      </c>
      <c r="G194" s="79"/>
      <c r="H194" s="79"/>
      <c r="I194" s="79"/>
      <c r="K194" s="79"/>
      <c r="L194" s="79"/>
      <c r="Q194" s="79">
        <v>191</v>
      </c>
      <c r="R194" s="79">
        <v>6569.3856052050614</v>
      </c>
      <c r="S194" s="79">
        <v>-6069.3856052050614</v>
      </c>
    </row>
    <row r="195" spans="1:19" x14ac:dyDescent="0.2">
      <c r="A195" s="90">
        <v>1000</v>
      </c>
      <c r="B195">
        <v>20000</v>
      </c>
      <c r="C195" s="27">
        <v>2</v>
      </c>
      <c r="D195" s="65">
        <v>5</v>
      </c>
      <c r="E195" s="27">
        <v>10</v>
      </c>
      <c r="G195" s="79"/>
      <c r="H195" s="79"/>
      <c r="I195" s="79"/>
      <c r="K195" s="79"/>
      <c r="L195" s="79"/>
      <c r="Q195" s="79">
        <v>192</v>
      </c>
      <c r="R195" s="79">
        <v>3763.6148599070402</v>
      </c>
      <c r="S195" s="79">
        <v>16236.38514009296</v>
      </c>
    </row>
    <row r="196" spans="1:19" x14ac:dyDescent="0.2">
      <c r="A196" s="51">
        <v>10000</v>
      </c>
      <c r="B196">
        <v>125000</v>
      </c>
      <c r="C196" s="25">
        <v>2</v>
      </c>
      <c r="D196" s="51">
        <v>4</v>
      </c>
      <c r="E196" s="51">
        <v>6</v>
      </c>
      <c r="G196" s="79"/>
      <c r="H196" s="79"/>
      <c r="I196" s="79"/>
      <c r="K196" s="79"/>
      <c r="L196" s="79"/>
      <c r="Q196" s="79">
        <v>193</v>
      </c>
      <c r="R196" s="79">
        <v>2972.8453830345338</v>
      </c>
      <c r="S196" s="79">
        <v>-2122.8453830345338</v>
      </c>
    </row>
    <row r="197" spans="1:19" x14ac:dyDescent="0.2">
      <c r="A197" s="65">
        <v>1000</v>
      </c>
      <c r="B197">
        <v>5000</v>
      </c>
      <c r="C197" s="27">
        <v>1</v>
      </c>
      <c r="D197" s="65">
        <v>4</v>
      </c>
      <c r="E197" s="27">
        <v>10</v>
      </c>
      <c r="G197" s="79"/>
      <c r="H197" s="79"/>
      <c r="I197" s="79"/>
      <c r="K197" s="79"/>
      <c r="L197" s="79"/>
      <c r="Q197" s="79">
        <v>194</v>
      </c>
      <c r="R197" s="79">
        <v>4644.324826144988</v>
      </c>
      <c r="S197" s="79">
        <v>-3644.324826144988</v>
      </c>
    </row>
    <row r="198" spans="1:19" x14ac:dyDescent="0.2">
      <c r="A198" s="51">
        <v>5500</v>
      </c>
      <c r="B198">
        <v>5000</v>
      </c>
      <c r="C198" s="25">
        <v>2</v>
      </c>
      <c r="D198" s="51">
        <v>5</v>
      </c>
      <c r="E198" s="25">
        <v>15</v>
      </c>
      <c r="G198" s="79"/>
      <c r="H198" s="79"/>
      <c r="I198" s="79"/>
      <c r="K198" s="79"/>
      <c r="L198" s="79"/>
      <c r="Q198" s="79">
        <v>195</v>
      </c>
      <c r="R198" s="79">
        <v>7457.8198941445135</v>
      </c>
      <c r="S198" s="79">
        <v>2542.1801058554865</v>
      </c>
    </row>
    <row r="199" spans="1:19" x14ac:dyDescent="0.2">
      <c r="A199" s="65">
        <v>400</v>
      </c>
      <c r="B199">
        <v>5000</v>
      </c>
      <c r="C199" s="27">
        <v>1</v>
      </c>
      <c r="D199" s="65">
        <v>3</v>
      </c>
      <c r="E199" s="27">
        <v>4</v>
      </c>
      <c r="G199" s="79"/>
      <c r="H199" s="79"/>
      <c r="I199" s="79"/>
      <c r="K199" s="79"/>
      <c r="L199" s="79"/>
      <c r="Q199" s="79">
        <v>196</v>
      </c>
      <c r="R199" s="79">
        <v>1047.7846039744611</v>
      </c>
      <c r="S199" s="79">
        <v>-47.784603974461106</v>
      </c>
    </row>
    <row r="200" spans="1:19" x14ac:dyDescent="0.2">
      <c r="A200" s="51">
        <v>7000</v>
      </c>
      <c r="B200">
        <v>5000</v>
      </c>
      <c r="C200" s="25">
        <v>3</v>
      </c>
      <c r="D200" s="51">
        <v>3</v>
      </c>
      <c r="E200" s="25">
        <v>22</v>
      </c>
      <c r="G200" s="79"/>
      <c r="H200" s="79"/>
      <c r="I200" s="79"/>
      <c r="K200" s="79"/>
      <c r="L200" s="79"/>
      <c r="Q200" s="79">
        <v>197</v>
      </c>
      <c r="R200" s="79">
        <v>4577.9339353015566</v>
      </c>
      <c r="S200" s="79">
        <v>922.06606469844337</v>
      </c>
    </row>
    <row r="201" spans="1:19" x14ac:dyDescent="0.2">
      <c r="A201" s="90">
        <v>850</v>
      </c>
      <c r="B201">
        <v>5000</v>
      </c>
      <c r="C201" s="27">
        <v>1</v>
      </c>
      <c r="D201" s="65">
        <v>6</v>
      </c>
      <c r="E201" s="29">
        <v>6</v>
      </c>
      <c r="G201" s="79"/>
      <c r="H201" s="79"/>
      <c r="I201" s="79"/>
      <c r="K201" s="79"/>
      <c r="L201" s="79"/>
      <c r="Q201" s="79">
        <v>198</v>
      </c>
      <c r="R201" s="79">
        <v>145.60225337188814</v>
      </c>
      <c r="S201" s="79">
        <v>254.39774662811186</v>
      </c>
    </row>
    <row r="202" spans="1:19" x14ac:dyDescent="0.2">
      <c r="A202" s="51">
        <v>7500</v>
      </c>
      <c r="B202">
        <v>5000</v>
      </c>
      <c r="C202" s="25">
        <v>3</v>
      </c>
      <c r="D202" s="51">
        <v>4</v>
      </c>
      <c r="E202" s="25">
        <v>15</v>
      </c>
      <c r="G202" s="79"/>
      <c r="H202" s="79"/>
      <c r="I202" s="79"/>
      <c r="K202" s="79"/>
      <c r="L202" s="79"/>
      <c r="Q202" s="79">
        <v>199</v>
      </c>
      <c r="R202" s="79">
        <v>7158.8017189820594</v>
      </c>
      <c r="S202" s="79">
        <v>-158.80171898205936</v>
      </c>
    </row>
    <row r="203" spans="1:19" x14ac:dyDescent="0.2">
      <c r="A203" s="90">
        <v>750</v>
      </c>
      <c r="B203">
        <v>60000</v>
      </c>
      <c r="C203" s="27">
        <v>1</v>
      </c>
      <c r="D203" s="65">
        <v>5</v>
      </c>
      <c r="E203" s="29">
        <v>6</v>
      </c>
      <c r="G203" s="79"/>
      <c r="H203" s="79"/>
      <c r="I203" s="79"/>
      <c r="K203" s="79"/>
      <c r="L203" s="79"/>
      <c r="Q203" s="79">
        <v>200</v>
      </c>
      <c r="R203" s="79">
        <v>1446.3369018507069</v>
      </c>
      <c r="S203" s="79">
        <v>-596.33690185070691</v>
      </c>
    </row>
    <row r="204" spans="1:19" x14ac:dyDescent="0.2">
      <c r="A204" s="51">
        <v>2000</v>
      </c>
      <c r="B204">
        <v>20000</v>
      </c>
      <c r="C204" s="25">
        <v>1</v>
      </c>
      <c r="D204" s="51">
        <v>5</v>
      </c>
      <c r="E204" s="25">
        <v>5</v>
      </c>
      <c r="G204" s="79"/>
      <c r="H204" s="79"/>
      <c r="I204" s="79"/>
      <c r="K204" s="79"/>
      <c r="L204" s="79"/>
      <c r="Q204" s="79">
        <v>201</v>
      </c>
      <c r="R204" s="79">
        <v>6918.7614918799018</v>
      </c>
      <c r="S204" s="79">
        <v>581.23850812009823</v>
      </c>
    </row>
    <row r="205" spans="1:19" x14ac:dyDescent="0.2">
      <c r="A205" s="65">
        <v>4000</v>
      </c>
      <c r="B205">
        <v>20000</v>
      </c>
      <c r="C205" s="27">
        <v>2</v>
      </c>
      <c r="D205" s="65">
        <v>4</v>
      </c>
      <c r="E205" s="27">
        <v>3</v>
      </c>
      <c r="G205" s="79"/>
      <c r="H205" s="79"/>
      <c r="I205" s="79"/>
      <c r="K205" s="79"/>
      <c r="L205" s="79"/>
      <c r="Q205" s="79">
        <v>202</v>
      </c>
      <c r="R205" s="79">
        <v>2925.5941810700833</v>
      </c>
      <c r="S205" s="79">
        <v>-2175.5941810700833</v>
      </c>
    </row>
    <row r="206" spans="1:19" x14ac:dyDescent="0.2">
      <c r="A206" s="89">
        <v>1000</v>
      </c>
      <c r="B206">
        <v>85000</v>
      </c>
      <c r="C206" s="25">
        <v>2</v>
      </c>
      <c r="D206" s="51">
        <v>5</v>
      </c>
      <c r="E206" s="25">
        <v>2</v>
      </c>
      <c r="G206" s="79"/>
      <c r="H206" s="79"/>
      <c r="I206" s="79"/>
      <c r="K206" s="79"/>
      <c r="L206" s="79"/>
      <c r="Q206" s="79">
        <v>203</v>
      </c>
      <c r="R206" s="79">
        <v>1489.1781941721279</v>
      </c>
      <c r="S206" s="79">
        <v>510.82180582787214</v>
      </c>
    </row>
    <row r="207" spans="1:19" x14ac:dyDescent="0.2">
      <c r="A207" s="90">
        <v>1000</v>
      </c>
      <c r="B207">
        <v>40000</v>
      </c>
      <c r="C207" s="27">
        <v>2</v>
      </c>
      <c r="D207" s="65">
        <v>4</v>
      </c>
      <c r="E207" s="27">
        <v>1</v>
      </c>
      <c r="G207" s="79"/>
      <c r="H207" s="79"/>
      <c r="I207" s="79"/>
      <c r="K207" s="79"/>
      <c r="L207" s="79"/>
      <c r="Q207" s="79">
        <v>204</v>
      </c>
      <c r="R207" s="79">
        <v>3654.2792003343584</v>
      </c>
      <c r="S207" s="79">
        <v>345.72079966564161</v>
      </c>
    </row>
    <row r="208" spans="1:19" x14ac:dyDescent="0.2">
      <c r="A208" s="89">
        <v>1000</v>
      </c>
      <c r="B208">
        <v>40000</v>
      </c>
      <c r="C208" s="25">
        <v>1</v>
      </c>
      <c r="D208" s="51">
        <v>5</v>
      </c>
      <c r="E208" s="25">
        <v>7</v>
      </c>
      <c r="G208" s="79"/>
      <c r="H208" s="79"/>
      <c r="I208" s="79"/>
      <c r="K208" s="79"/>
      <c r="L208" s="79"/>
      <c r="Q208" s="79">
        <v>205</v>
      </c>
      <c r="R208" s="79">
        <v>6132.8167809766246</v>
      </c>
      <c r="S208" s="79">
        <v>-5132.8167809766246</v>
      </c>
    </row>
    <row r="209" spans="1:19" x14ac:dyDescent="0.2">
      <c r="A209" s="90">
        <v>1500</v>
      </c>
      <c r="B209">
        <v>20000</v>
      </c>
      <c r="C209" s="27">
        <v>3</v>
      </c>
      <c r="D209" s="65">
        <v>10</v>
      </c>
      <c r="E209" s="27">
        <v>35</v>
      </c>
      <c r="G209" s="79"/>
      <c r="H209" s="79"/>
      <c r="I209" s="79"/>
      <c r="K209" s="79"/>
      <c r="L209" s="79"/>
      <c r="Q209" s="79">
        <v>206</v>
      </c>
      <c r="R209" s="79">
        <v>4152.8290057631957</v>
      </c>
      <c r="S209" s="79">
        <v>-3152.8290057631957</v>
      </c>
    </row>
    <row r="210" spans="1:19" x14ac:dyDescent="0.2">
      <c r="A210" s="51">
        <v>5000</v>
      </c>
      <c r="B210">
        <v>5000</v>
      </c>
      <c r="C210" s="25">
        <v>2</v>
      </c>
      <c r="D210" s="51">
        <v>5</v>
      </c>
      <c r="E210" s="28">
        <v>6</v>
      </c>
      <c r="G210" s="79"/>
      <c r="H210" s="79"/>
      <c r="I210" s="79"/>
      <c r="K210" s="79"/>
      <c r="L210" s="79"/>
      <c r="Q210" s="79">
        <v>207</v>
      </c>
      <c r="R210" s="79">
        <v>2339.1811004331898</v>
      </c>
      <c r="S210" s="79">
        <v>-1339.1811004331898</v>
      </c>
    </row>
    <row r="211" spans="1:19" x14ac:dyDescent="0.2">
      <c r="A211" s="65">
        <v>1000</v>
      </c>
      <c r="B211">
        <v>5000</v>
      </c>
      <c r="C211" s="27">
        <v>1</v>
      </c>
      <c r="D211" s="65">
        <v>4</v>
      </c>
      <c r="E211" s="27">
        <v>10</v>
      </c>
      <c r="G211" s="79"/>
      <c r="H211" s="79"/>
      <c r="I211" s="79"/>
      <c r="K211" s="79"/>
      <c r="L211" s="79"/>
      <c r="Q211" s="79">
        <v>208</v>
      </c>
      <c r="R211" s="79">
        <v>11431.75045905015</v>
      </c>
      <c r="S211" s="79">
        <v>-9931.7504590501503</v>
      </c>
    </row>
    <row r="212" spans="1:19" x14ac:dyDescent="0.2">
      <c r="A212" s="89">
        <v>1000</v>
      </c>
      <c r="B212">
        <v>5000</v>
      </c>
      <c r="C212" s="25">
        <v>2</v>
      </c>
      <c r="D212" s="51">
        <v>4</v>
      </c>
      <c r="E212" s="28">
        <v>6</v>
      </c>
      <c r="G212" s="79"/>
      <c r="H212" s="79"/>
      <c r="I212" s="79"/>
      <c r="K212" s="79"/>
      <c r="L212" s="79"/>
      <c r="Q212" s="79">
        <v>209</v>
      </c>
      <c r="R212" s="79">
        <v>3787.1644584290507</v>
      </c>
      <c r="S212" s="79">
        <v>1212.8355415709493</v>
      </c>
    </row>
    <row r="213" spans="1:19" x14ac:dyDescent="0.2">
      <c r="A213" s="90">
        <v>1500</v>
      </c>
      <c r="B213">
        <v>5000</v>
      </c>
      <c r="C213" s="27">
        <v>2</v>
      </c>
      <c r="D213" s="65">
        <v>6</v>
      </c>
      <c r="E213" s="29">
        <v>6</v>
      </c>
      <c r="G213" s="79"/>
      <c r="H213" s="79"/>
      <c r="I213" s="79"/>
      <c r="K213" s="79"/>
      <c r="L213" s="79"/>
      <c r="Q213" s="79">
        <v>210</v>
      </c>
      <c r="R213" s="79">
        <v>1047.7846039744611</v>
      </c>
      <c r="S213" s="79">
        <v>-47.784603974461106</v>
      </c>
    </row>
    <row r="214" spans="1:19" x14ac:dyDescent="0.2">
      <c r="A214" s="89">
        <v>550</v>
      </c>
      <c r="B214">
        <v>5000</v>
      </c>
      <c r="C214" s="25">
        <v>2</v>
      </c>
      <c r="D214" s="51">
        <v>4</v>
      </c>
      <c r="E214" s="28">
        <v>6</v>
      </c>
      <c r="G214" s="79"/>
      <c r="H214" s="79"/>
      <c r="I214" s="79"/>
      <c r="K214" s="79"/>
      <c r="L214" s="79"/>
      <c r="Q214" s="79">
        <v>211</v>
      </c>
      <c r="R214" s="79">
        <v>3412.1617590748151</v>
      </c>
      <c r="S214" s="79">
        <v>-2412.1617590748151</v>
      </c>
    </row>
    <row r="215" spans="1:19" x14ac:dyDescent="0.2">
      <c r="A215" s="90">
        <v>1000</v>
      </c>
      <c r="B215">
        <v>5000</v>
      </c>
      <c r="C215" s="27">
        <v>1</v>
      </c>
      <c r="D215" s="65">
        <v>6</v>
      </c>
      <c r="E215" s="29">
        <v>6</v>
      </c>
      <c r="G215" s="79"/>
      <c r="H215" s="79"/>
      <c r="I215" s="79"/>
      <c r="K215" s="79"/>
      <c r="L215" s="79"/>
      <c r="Q215" s="79">
        <v>212</v>
      </c>
      <c r="R215" s="79">
        <v>4162.1671577832858</v>
      </c>
      <c r="S215" s="79">
        <v>-2662.1671577832858</v>
      </c>
    </row>
    <row r="216" spans="1:19" x14ac:dyDescent="0.2">
      <c r="A216" s="89">
        <v>950</v>
      </c>
      <c r="B216">
        <v>40000</v>
      </c>
      <c r="C216" s="25">
        <v>2</v>
      </c>
      <c r="D216" s="51">
        <v>4</v>
      </c>
      <c r="E216" s="25">
        <v>5</v>
      </c>
      <c r="G216" s="79"/>
      <c r="H216" s="79"/>
      <c r="I216" s="79"/>
      <c r="K216" s="79"/>
      <c r="L216" s="79"/>
      <c r="Q216" s="79">
        <v>213</v>
      </c>
      <c r="R216" s="79">
        <v>3412.1617590748151</v>
      </c>
      <c r="S216" s="79">
        <v>-2862.1617590748151</v>
      </c>
    </row>
    <row r="217" spans="1:19" x14ac:dyDescent="0.2">
      <c r="A217" s="90">
        <v>550</v>
      </c>
      <c r="B217">
        <v>20000</v>
      </c>
      <c r="C217" s="27">
        <v>1</v>
      </c>
      <c r="D217" s="65">
        <v>4</v>
      </c>
      <c r="E217" s="27">
        <v>40</v>
      </c>
      <c r="G217" s="79"/>
      <c r="H217" s="79"/>
      <c r="I217" s="79"/>
      <c r="K217" s="79"/>
      <c r="L217" s="79"/>
      <c r="Q217" s="79">
        <v>214</v>
      </c>
      <c r="R217" s="79">
        <v>1446.3369018507069</v>
      </c>
      <c r="S217" s="79">
        <v>-446.33690185070691</v>
      </c>
    </row>
    <row r="218" spans="1:19" x14ac:dyDescent="0.2">
      <c r="A218" s="51">
        <v>6000</v>
      </c>
      <c r="B218">
        <v>40000</v>
      </c>
      <c r="C218" s="25">
        <v>2</v>
      </c>
      <c r="D218" s="51">
        <v>4</v>
      </c>
      <c r="E218" s="25">
        <v>10</v>
      </c>
      <c r="G218" s="79"/>
      <c r="H218" s="79"/>
      <c r="I218" s="79"/>
      <c r="K218" s="79"/>
      <c r="L218" s="79"/>
      <c r="Q218" s="79">
        <v>215</v>
      </c>
      <c r="R218" s="79">
        <v>4504.2821065954204</v>
      </c>
      <c r="S218" s="79">
        <v>-3554.2821065954204</v>
      </c>
    </row>
    <row r="219" spans="1:19" x14ac:dyDescent="0.2">
      <c r="A219" s="65">
        <v>1800</v>
      </c>
      <c r="B219">
        <v>60000</v>
      </c>
      <c r="C219" s="27">
        <v>1</v>
      </c>
      <c r="D219" s="65">
        <v>5</v>
      </c>
      <c r="E219" s="27">
        <v>7</v>
      </c>
      <c r="G219" s="79"/>
      <c r="H219" s="79"/>
      <c r="I219" s="79"/>
      <c r="K219" s="79"/>
      <c r="L219" s="79"/>
      <c r="Q219" s="79">
        <v>216</v>
      </c>
      <c r="R219" s="79">
        <v>4189.3901270998604</v>
      </c>
      <c r="S219" s="79">
        <v>-3639.3901270998604</v>
      </c>
    </row>
    <row r="220" spans="1:19" x14ac:dyDescent="0.2">
      <c r="A220" s="51">
        <v>400</v>
      </c>
      <c r="B220">
        <v>5000</v>
      </c>
      <c r="C220" s="25">
        <v>1</v>
      </c>
      <c r="D220" s="51">
        <v>6</v>
      </c>
      <c r="E220" s="25">
        <v>4</v>
      </c>
      <c r="G220" s="79"/>
      <c r="H220" s="79"/>
      <c r="I220" s="79"/>
      <c r="K220" s="79"/>
      <c r="L220" s="79"/>
      <c r="Q220" s="79">
        <v>217</v>
      </c>
      <c r="R220" s="79">
        <v>4943.5984826357017</v>
      </c>
      <c r="S220" s="79">
        <v>1056.4015173642983</v>
      </c>
    </row>
    <row r="221" spans="1:19" x14ac:dyDescent="0.2">
      <c r="A221" s="65">
        <v>4500</v>
      </c>
      <c r="B221">
        <v>40000</v>
      </c>
      <c r="C221" s="27">
        <v>3</v>
      </c>
      <c r="D221" s="65">
        <v>5</v>
      </c>
      <c r="E221" s="27">
        <v>12</v>
      </c>
      <c r="G221" s="79"/>
      <c r="H221" s="79"/>
      <c r="I221" s="79"/>
      <c r="K221" s="79"/>
      <c r="L221" s="79"/>
      <c r="Q221" s="79">
        <v>218</v>
      </c>
      <c r="R221" s="79">
        <v>3013.4574562781395</v>
      </c>
      <c r="S221" s="79">
        <v>-1213.4574562781395</v>
      </c>
    </row>
    <row r="222" spans="1:19" x14ac:dyDescent="0.2">
      <c r="A222" s="51">
        <v>4500</v>
      </c>
      <c r="B222">
        <v>40000</v>
      </c>
      <c r="C222" s="25">
        <v>2</v>
      </c>
      <c r="D222" s="51">
        <v>4</v>
      </c>
      <c r="E222" s="25">
        <v>12</v>
      </c>
      <c r="G222" s="79"/>
      <c r="H222" s="79"/>
      <c r="I222" s="79"/>
      <c r="K222" s="79"/>
      <c r="L222" s="79"/>
      <c r="Q222" s="79">
        <v>219</v>
      </c>
      <c r="R222" s="79">
        <v>1270.6103514345943</v>
      </c>
      <c r="S222" s="79">
        <v>-870.61035143459435</v>
      </c>
    </row>
    <row r="223" spans="1:19" x14ac:dyDescent="0.2">
      <c r="A223" s="65">
        <v>900</v>
      </c>
      <c r="B223">
        <v>60000</v>
      </c>
      <c r="C223" s="27">
        <v>1</v>
      </c>
      <c r="D223" s="65">
        <v>3</v>
      </c>
      <c r="E223" s="27">
        <v>7</v>
      </c>
      <c r="G223" s="79"/>
      <c r="H223" s="79"/>
      <c r="I223" s="79"/>
      <c r="K223" s="79"/>
      <c r="L223" s="79"/>
      <c r="Q223" s="79">
        <v>220</v>
      </c>
      <c r="R223" s="79">
        <v>8210.1579883386294</v>
      </c>
      <c r="S223" s="79">
        <v>-3710.1579883386294</v>
      </c>
    </row>
    <row r="224" spans="1:19" x14ac:dyDescent="0.2">
      <c r="A224" s="51">
        <v>14000</v>
      </c>
      <c r="B224">
        <v>125000</v>
      </c>
      <c r="C224" s="25">
        <v>3</v>
      </c>
      <c r="D224" s="51">
        <v>4</v>
      </c>
      <c r="E224" s="28">
        <v>6</v>
      </c>
      <c r="G224" s="79"/>
      <c r="H224" s="79"/>
      <c r="I224" s="79"/>
      <c r="K224" s="79"/>
      <c r="L224" s="79"/>
      <c r="Q224" s="79">
        <v>221</v>
      </c>
      <c r="R224" s="79">
        <v>5119.3250330518149</v>
      </c>
      <c r="S224" s="79">
        <v>-619.3250330518149</v>
      </c>
    </row>
    <row r="225" spans="1:19" x14ac:dyDescent="0.2">
      <c r="A225" s="65">
        <v>750</v>
      </c>
      <c r="B225">
        <v>5000</v>
      </c>
      <c r="C225" s="27">
        <v>1</v>
      </c>
      <c r="D225" s="65">
        <v>5</v>
      </c>
      <c r="E225" s="27">
        <v>5</v>
      </c>
      <c r="G225" s="79"/>
      <c r="H225" s="79"/>
      <c r="I225" s="79"/>
      <c r="K225" s="79"/>
      <c r="L225" s="79"/>
      <c r="Q225" s="79">
        <v>222</v>
      </c>
      <c r="R225" s="79">
        <v>2263.4520575696683</v>
      </c>
      <c r="S225" s="79">
        <v>-1363.4520575696683</v>
      </c>
    </row>
    <row r="226" spans="1:19" x14ac:dyDescent="0.2">
      <c r="A226" s="51">
        <v>7000</v>
      </c>
      <c r="B226">
        <v>60000</v>
      </c>
      <c r="C226" s="25">
        <v>2</v>
      </c>
      <c r="D226" s="51">
        <v>6</v>
      </c>
      <c r="E226" s="25">
        <v>20</v>
      </c>
      <c r="G226" s="79"/>
      <c r="H226" s="79"/>
      <c r="I226" s="79"/>
      <c r="K226" s="79"/>
      <c r="L226" s="79"/>
      <c r="Q226" s="79">
        <v>223</v>
      </c>
      <c r="R226" s="79">
        <v>10173.650150077094</v>
      </c>
      <c r="S226" s="79">
        <v>3826.3498499229063</v>
      </c>
    </row>
    <row r="227" spans="1:19" x14ac:dyDescent="0.2">
      <c r="A227" s="65">
        <v>1200</v>
      </c>
      <c r="B227">
        <v>40000</v>
      </c>
      <c r="C227" s="27">
        <v>1</v>
      </c>
      <c r="D227" s="65">
        <v>3</v>
      </c>
      <c r="E227" s="27">
        <v>6</v>
      </c>
      <c r="G227" s="79"/>
      <c r="H227" s="79"/>
      <c r="I227" s="79"/>
      <c r="K227" s="79"/>
      <c r="L227" s="79"/>
      <c r="Q227" s="79">
        <v>224</v>
      </c>
      <c r="R227" s="79">
        <v>983.47092728841551</v>
      </c>
      <c r="S227" s="79">
        <v>-233.47092728841551</v>
      </c>
    </row>
    <row r="228" spans="1:19" x14ac:dyDescent="0.2">
      <c r="A228" s="51">
        <v>12500</v>
      </c>
      <c r="B228">
        <v>125000</v>
      </c>
      <c r="C228" s="25">
        <v>3</v>
      </c>
      <c r="D228" s="51">
        <v>4</v>
      </c>
      <c r="E228" s="25">
        <v>14</v>
      </c>
      <c r="G228" s="79"/>
      <c r="H228" s="79"/>
      <c r="I228" s="79"/>
      <c r="K228" s="79"/>
      <c r="L228" s="79"/>
      <c r="Q228" s="79">
        <v>225</v>
      </c>
      <c r="R228" s="79">
        <v>7246.5129892696841</v>
      </c>
      <c r="S228" s="79">
        <v>-246.51298926968411</v>
      </c>
    </row>
    <row r="229" spans="1:19" x14ac:dyDescent="0.2">
      <c r="A229" s="65">
        <v>3000</v>
      </c>
      <c r="B229">
        <v>20000</v>
      </c>
      <c r="C229" s="27">
        <v>1</v>
      </c>
      <c r="D229" s="65">
        <v>5</v>
      </c>
      <c r="E229" s="27">
        <v>3</v>
      </c>
      <c r="G229" s="79"/>
      <c r="H229" s="79"/>
      <c r="I229" s="79"/>
      <c r="K229" s="79"/>
      <c r="L229" s="79"/>
      <c r="Q229" s="79">
        <v>226</v>
      </c>
      <c r="R229" s="79">
        <v>1501.3124265166625</v>
      </c>
      <c r="S229" s="79">
        <v>-301.31242651666253</v>
      </c>
    </row>
    <row r="230" spans="1:19" x14ac:dyDescent="0.2">
      <c r="A230" s="51">
        <v>8000</v>
      </c>
      <c r="B230">
        <v>40000</v>
      </c>
      <c r="C230" s="25">
        <v>2</v>
      </c>
      <c r="D230" s="51">
        <v>5</v>
      </c>
      <c r="E230" s="25">
        <v>10</v>
      </c>
      <c r="G230" s="79"/>
      <c r="H230" s="79"/>
      <c r="I230" s="79"/>
      <c r="K230" s="79"/>
      <c r="L230" s="79"/>
      <c r="Q230" s="79">
        <v>227</v>
      </c>
      <c r="R230" s="79">
        <v>10876.556351741543</v>
      </c>
      <c r="S230" s="79">
        <v>1623.443648258457</v>
      </c>
    </row>
    <row r="231" spans="1:19" x14ac:dyDescent="0.2">
      <c r="A231" s="65">
        <v>900</v>
      </c>
      <c r="B231">
        <v>5000</v>
      </c>
      <c r="C231" s="27">
        <v>1</v>
      </c>
      <c r="D231" s="65">
        <v>3</v>
      </c>
      <c r="E231" s="27">
        <v>4</v>
      </c>
      <c r="G231" s="79"/>
      <c r="H231" s="79"/>
      <c r="I231" s="79"/>
      <c r="K231" s="79"/>
      <c r="L231" s="79"/>
      <c r="Q231" s="79">
        <v>228</v>
      </c>
      <c r="R231" s="79">
        <v>1313.4516437560153</v>
      </c>
      <c r="S231" s="79">
        <v>1686.5483562439847</v>
      </c>
    </row>
    <row r="232" spans="1:19" x14ac:dyDescent="0.2">
      <c r="A232" s="51">
        <v>1400</v>
      </c>
      <c r="B232">
        <v>40000</v>
      </c>
      <c r="C232" s="25">
        <v>1</v>
      </c>
      <c r="D232" s="51">
        <v>4</v>
      </c>
      <c r="E232" s="25">
        <v>11</v>
      </c>
      <c r="G232" s="79"/>
      <c r="H232" s="79"/>
      <c r="I232" s="79"/>
      <c r="K232" s="79"/>
      <c r="L232" s="79"/>
      <c r="Q232" s="79">
        <v>229</v>
      </c>
      <c r="R232" s="79">
        <v>5318.6011819899377</v>
      </c>
      <c r="S232" s="79">
        <v>2681.3988180100623</v>
      </c>
    </row>
    <row r="233" spans="1:19" x14ac:dyDescent="0.2">
      <c r="A233" s="65">
        <v>600</v>
      </c>
      <c r="B233">
        <v>5000</v>
      </c>
      <c r="C233" s="27">
        <v>1</v>
      </c>
      <c r="D233" s="65">
        <v>4</v>
      </c>
      <c r="E233" s="27">
        <v>5</v>
      </c>
      <c r="G233" s="79"/>
      <c r="H233" s="79"/>
      <c r="I233" s="79"/>
      <c r="K233" s="79"/>
      <c r="L233" s="79"/>
      <c r="Q233" s="79">
        <v>230</v>
      </c>
      <c r="R233" s="79">
        <v>145.60225337188814</v>
      </c>
      <c r="S233" s="79">
        <v>754.39774662811192</v>
      </c>
    </row>
    <row r="234" spans="1:19" x14ac:dyDescent="0.2">
      <c r="A234" s="51">
        <v>7800</v>
      </c>
      <c r="B234">
        <v>40000</v>
      </c>
      <c r="C234" s="25">
        <v>2</v>
      </c>
      <c r="D234" s="51">
        <v>6</v>
      </c>
      <c r="E234" s="25">
        <v>8</v>
      </c>
      <c r="G234" s="79"/>
      <c r="H234" s="79"/>
      <c r="I234" s="79"/>
      <c r="K234" s="79"/>
      <c r="L234" s="79"/>
      <c r="Q234" s="79">
        <v>231</v>
      </c>
      <c r="R234" s="79">
        <v>2315.6315019111794</v>
      </c>
      <c r="S234" s="79">
        <v>-915.63150191117938</v>
      </c>
    </row>
    <row r="235" spans="1:19" x14ac:dyDescent="0.2">
      <c r="A235" s="65">
        <v>3200</v>
      </c>
      <c r="B235">
        <v>60000</v>
      </c>
      <c r="C235" s="27">
        <v>1</v>
      </c>
      <c r="D235" s="65">
        <v>2</v>
      </c>
      <c r="E235" s="27">
        <v>9</v>
      </c>
      <c r="G235" s="79"/>
      <c r="H235" s="79"/>
      <c r="I235" s="79"/>
      <c r="K235" s="79"/>
      <c r="L235" s="79"/>
      <c r="Q235" s="79">
        <v>232</v>
      </c>
      <c r="R235" s="79">
        <v>608.46822793417994</v>
      </c>
      <c r="S235" s="79">
        <v>-8.4682279341799358</v>
      </c>
    </row>
    <row r="236" spans="1:19" x14ac:dyDescent="0.2">
      <c r="A236" s="51">
        <v>13200</v>
      </c>
      <c r="B236">
        <v>125000</v>
      </c>
      <c r="C236" s="25">
        <v>3</v>
      </c>
      <c r="D236" s="51">
        <v>5</v>
      </c>
      <c r="E236" s="25">
        <v>13</v>
      </c>
      <c r="G236" s="79"/>
      <c r="H236" s="79"/>
      <c r="I236" s="79"/>
      <c r="K236" s="79"/>
      <c r="L236" s="79"/>
      <c r="Q236" s="79">
        <v>233</v>
      </c>
      <c r="R236" s="79">
        <v>5517.8773309280605</v>
      </c>
      <c r="S236" s="79">
        <v>2282.1226690719395</v>
      </c>
    </row>
    <row r="237" spans="1:19" x14ac:dyDescent="0.2">
      <c r="A237" s="65">
        <v>500</v>
      </c>
      <c r="B237">
        <v>20000</v>
      </c>
      <c r="C237" s="27">
        <v>1</v>
      </c>
      <c r="D237" s="65">
        <v>4</v>
      </c>
      <c r="E237" s="27">
        <v>3</v>
      </c>
      <c r="G237" s="79"/>
      <c r="H237" s="79"/>
      <c r="I237" s="79"/>
      <c r="K237" s="79"/>
      <c r="L237" s="79"/>
      <c r="Q237" s="79">
        <v>234</v>
      </c>
      <c r="R237" s="79">
        <v>2064.1759086315456</v>
      </c>
      <c r="S237" s="79">
        <v>1135.8240913684544</v>
      </c>
    </row>
    <row r="238" spans="1:19" x14ac:dyDescent="0.2">
      <c r="A238" s="51">
        <v>3800</v>
      </c>
      <c r="B238">
        <v>40000</v>
      </c>
      <c r="C238" s="25">
        <v>2</v>
      </c>
      <c r="D238" s="51">
        <v>4</v>
      </c>
      <c r="E238" s="25">
        <v>14</v>
      </c>
      <c r="G238" s="79"/>
      <c r="H238" s="79"/>
      <c r="I238" s="79"/>
      <c r="K238" s="79"/>
      <c r="L238" s="79"/>
      <c r="Q238" s="79">
        <v>235</v>
      </c>
      <c r="R238" s="79">
        <v>11163.695775887722</v>
      </c>
      <c r="S238" s="79">
        <v>2036.3042241122785</v>
      </c>
    </row>
    <row r="239" spans="1:19" x14ac:dyDescent="0.2">
      <c r="A239" s="65">
        <v>850</v>
      </c>
      <c r="B239">
        <v>5000</v>
      </c>
      <c r="C239" s="27">
        <v>1</v>
      </c>
      <c r="D239" s="65">
        <v>5</v>
      </c>
      <c r="E239" s="27">
        <v>6</v>
      </c>
      <c r="G239" s="79"/>
      <c r="H239" s="79"/>
      <c r="I239" s="79"/>
      <c r="K239" s="79"/>
      <c r="L239" s="79"/>
      <c r="Q239" s="79">
        <v>236</v>
      </c>
      <c r="R239" s="79">
        <v>938.44894440177973</v>
      </c>
      <c r="S239" s="79">
        <v>-438.44894440177973</v>
      </c>
    </row>
    <row r="240" spans="1:19" x14ac:dyDescent="0.2">
      <c r="A240" s="51">
        <v>6700</v>
      </c>
      <c r="B240">
        <v>40000</v>
      </c>
      <c r="C240" s="25">
        <v>2</v>
      </c>
      <c r="D240" s="51">
        <v>6</v>
      </c>
      <c r="E240" s="25">
        <v>5</v>
      </c>
      <c r="G240" s="79"/>
      <c r="H240" s="79"/>
      <c r="I240" s="79"/>
      <c r="K240" s="79"/>
      <c r="L240" s="79"/>
      <c r="Q240" s="79">
        <v>237</v>
      </c>
      <c r="R240" s="79">
        <v>5295.0515834679263</v>
      </c>
      <c r="S240" s="79">
        <v>-1495.0515834679263</v>
      </c>
    </row>
    <row r="241" spans="1:19" x14ac:dyDescent="0.2">
      <c r="A241" s="65">
        <v>4600</v>
      </c>
      <c r="B241">
        <v>40000</v>
      </c>
      <c r="C241" s="27">
        <v>1</v>
      </c>
      <c r="D241" s="65">
        <v>3</v>
      </c>
      <c r="E241" s="27">
        <v>16</v>
      </c>
      <c r="G241" s="79"/>
      <c r="H241" s="79"/>
      <c r="I241" s="79"/>
      <c r="K241" s="79"/>
      <c r="L241" s="79"/>
      <c r="Q241" s="79">
        <v>238</v>
      </c>
      <c r="R241" s="79">
        <v>1071.3342024964718</v>
      </c>
      <c r="S241" s="79">
        <v>-221.33420249647179</v>
      </c>
    </row>
    <row r="242" spans="1:19" x14ac:dyDescent="0.2">
      <c r="A242" s="51">
        <v>1300</v>
      </c>
      <c r="B242">
        <v>40000</v>
      </c>
      <c r="C242" s="25">
        <v>1</v>
      </c>
      <c r="D242" s="51">
        <v>5</v>
      </c>
      <c r="E242" s="25">
        <v>9</v>
      </c>
      <c r="G242" s="79"/>
      <c r="H242" s="79"/>
      <c r="I242" s="79"/>
      <c r="K242" s="79"/>
      <c r="L242" s="79"/>
      <c r="Q242" s="79">
        <v>239</v>
      </c>
      <c r="R242" s="79">
        <v>5254.2875053038915</v>
      </c>
      <c r="S242" s="79">
        <v>1445.7124946961085</v>
      </c>
    </row>
    <row r="243" spans="1:19" x14ac:dyDescent="0.2">
      <c r="A243" s="65">
        <v>750</v>
      </c>
      <c r="B243">
        <v>40000</v>
      </c>
      <c r="C243" s="27">
        <v>1</v>
      </c>
      <c r="D243" s="65">
        <v>3</v>
      </c>
      <c r="E243" s="27">
        <v>7</v>
      </c>
      <c r="G243" s="79"/>
      <c r="H243" s="79"/>
      <c r="I243" s="79"/>
      <c r="K243" s="79"/>
      <c r="L243" s="79"/>
      <c r="Q243" s="79">
        <v>240</v>
      </c>
      <c r="R243" s="79">
        <v>2379.9451785972251</v>
      </c>
      <c r="S243" s="79">
        <v>2220.0548214027749</v>
      </c>
    </row>
    <row r="244" spans="1:19" x14ac:dyDescent="0.2">
      <c r="A244" s="51">
        <v>3900</v>
      </c>
      <c r="B244">
        <v>85000</v>
      </c>
      <c r="C244" s="25">
        <v>2</v>
      </c>
      <c r="D244" s="51">
        <v>5</v>
      </c>
      <c r="E244" s="25">
        <v>12</v>
      </c>
      <c r="G244" s="79"/>
      <c r="H244" s="79"/>
      <c r="I244" s="79"/>
      <c r="K244" s="79"/>
      <c r="L244" s="79"/>
      <c r="Q244" s="79">
        <v>241</v>
      </c>
      <c r="R244" s="79">
        <v>2514.9076508493026</v>
      </c>
      <c r="S244" s="79">
        <v>-1214.9076508493026</v>
      </c>
    </row>
    <row r="245" spans="1:19" x14ac:dyDescent="0.2">
      <c r="A245" s="65">
        <v>1000</v>
      </c>
      <c r="B245">
        <v>5000</v>
      </c>
      <c r="C245" s="27">
        <v>1</v>
      </c>
      <c r="D245" s="65">
        <v>4</v>
      </c>
      <c r="E245" s="27">
        <v>7</v>
      </c>
      <c r="G245" s="79"/>
      <c r="H245" s="79"/>
      <c r="I245" s="79"/>
      <c r="K245" s="79"/>
      <c r="L245" s="79"/>
      <c r="Q245" s="79">
        <v>242</v>
      </c>
      <c r="R245" s="79">
        <v>1589.1757017247187</v>
      </c>
      <c r="S245" s="79">
        <v>-839.17570172471869</v>
      </c>
    </row>
    <row r="246" spans="1:19" x14ac:dyDescent="0.2">
      <c r="A246" s="51">
        <v>8500</v>
      </c>
      <c r="B246">
        <v>60000</v>
      </c>
      <c r="C246" s="25">
        <v>2</v>
      </c>
      <c r="D246" s="51">
        <v>6</v>
      </c>
      <c r="E246" s="25">
        <v>6</v>
      </c>
      <c r="G246" s="79"/>
      <c r="H246" s="79"/>
      <c r="I246" s="79"/>
      <c r="K246" s="79"/>
      <c r="L246" s="79"/>
      <c r="Q246" s="79">
        <v>243</v>
      </c>
      <c r="R246" s="79">
        <v>7011.4495330571872</v>
      </c>
      <c r="S246" s="79">
        <v>-3111.4495330571872</v>
      </c>
    </row>
    <row r="247" spans="1:19" x14ac:dyDescent="0.2">
      <c r="A247" s="65">
        <v>3600</v>
      </c>
      <c r="B247">
        <v>60000</v>
      </c>
      <c r="C247" s="27">
        <v>1</v>
      </c>
      <c r="D247" s="65">
        <v>6</v>
      </c>
      <c r="E247" s="27">
        <v>12</v>
      </c>
      <c r="G247" s="79"/>
      <c r="H247" s="79"/>
      <c r="I247" s="79"/>
      <c r="K247" s="79"/>
      <c r="L247" s="79"/>
      <c r="Q247" s="79">
        <v>244</v>
      </c>
      <c r="R247" s="79">
        <v>784.19477835029238</v>
      </c>
      <c r="S247" s="79">
        <v>215.80522164970762</v>
      </c>
    </row>
    <row r="248" spans="1:19" x14ac:dyDescent="0.2">
      <c r="A248" s="51">
        <v>400</v>
      </c>
      <c r="B248">
        <v>20000</v>
      </c>
      <c r="C248" s="25">
        <v>1</v>
      </c>
      <c r="D248" s="51">
        <v>4</v>
      </c>
      <c r="E248" s="25">
        <v>3</v>
      </c>
      <c r="G248" s="79"/>
      <c r="H248" s="79"/>
      <c r="I248" s="79"/>
      <c r="K248" s="79"/>
      <c r="L248" s="79"/>
      <c r="Q248" s="79">
        <v>245</v>
      </c>
      <c r="R248" s="79">
        <v>6016.4271363568969</v>
      </c>
      <c r="S248" s="79">
        <v>2483.5728636431031</v>
      </c>
    </row>
    <row r="249" spans="1:19" x14ac:dyDescent="0.2">
      <c r="A249" s="65">
        <v>1600</v>
      </c>
      <c r="B249">
        <v>40000</v>
      </c>
      <c r="C249" s="27">
        <v>2</v>
      </c>
      <c r="D249" s="65">
        <v>3</v>
      </c>
      <c r="E249" s="27">
        <v>10</v>
      </c>
      <c r="G249" s="79"/>
      <c r="H249" s="79"/>
      <c r="I249" s="79"/>
      <c r="K249" s="79"/>
      <c r="L249" s="79"/>
      <c r="Q249" s="79">
        <v>246</v>
      </c>
      <c r="R249" s="79">
        <v>3827.7765316726559</v>
      </c>
      <c r="S249" s="79">
        <v>-227.77653167265589</v>
      </c>
    </row>
    <row r="250" spans="1:19" x14ac:dyDescent="0.2">
      <c r="A250" s="51">
        <v>1200</v>
      </c>
      <c r="B250">
        <v>60000</v>
      </c>
      <c r="C250" s="25">
        <v>3</v>
      </c>
      <c r="D250" s="51">
        <v>5</v>
      </c>
      <c r="E250" s="25">
        <v>15</v>
      </c>
      <c r="G250" s="79"/>
      <c r="H250" s="79"/>
      <c r="I250" s="79"/>
      <c r="K250" s="79"/>
      <c r="L250" s="79"/>
      <c r="Q250" s="79">
        <v>247</v>
      </c>
      <c r="R250" s="79">
        <v>938.44894440177973</v>
      </c>
      <c r="S250" s="79">
        <v>-538.44894440177973</v>
      </c>
    </row>
    <row r="251" spans="1:19" x14ac:dyDescent="0.2">
      <c r="A251" s="65">
        <v>3900</v>
      </c>
      <c r="B251">
        <v>40000</v>
      </c>
      <c r="C251" s="27">
        <v>1</v>
      </c>
      <c r="D251" s="65">
        <v>4</v>
      </c>
      <c r="E251" s="27">
        <v>14</v>
      </c>
      <c r="G251" s="79"/>
      <c r="H251" s="79"/>
      <c r="I251" s="79"/>
      <c r="K251" s="79"/>
      <c r="L251" s="79"/>
      <c r="Q251" s="79">
        <v>248</v>
      </c>
      <c r="R251" s="79">
        <v>4568.5957832814665</v>
      </c>
      <c r="S251" s="79">
        <v>-2968.5957832814665</v>
      </c>
    </row>
    <row r="252" spans="1:19" x14ac:dyDescent="0.2">
      <c r="A252" s="51">
        <v>1450</v>
      </c>
      <c r="B252">
        <v>40000</v>
      </c>
      <c r="C252" s="25">
        <v>1</v>
      </c>
      <c r="D252" s="51">
        <v>4</v>
      </c>
      <c r="E252" s="25">
        <v>10</v>
      </c>
      <c r="G252" s="79"/>
      <c r="H252" s="79"/>
      <c r="I252" s="79"/>
      <c r="K252" s="79"/>
      <c r="L252" s="79"/>
      <c r="Q252" s="79">
        <v>249</v>
      </c>
      <c r="R252" s="79">
        <v>9148.024169807748</v>
      </c>
      <c r="S252" s="79">
        <v>-7948.024169807748</v>
      </c>
    </row>
    <row r="253" spans="1:19" x14ac:dyDescent="0.2">
      <c r="A253" s="65">
        <v>500</v>
      </c>
      <c r="B253">
        <v>20000</v>
      </c>
      <c r="C253" s="27">
        <v>1</v>
      </c>
      <c r="D253" s="65">
        <v>5</v>
      </c>
      <c r="E253" s="27">
        <v>3</v>
      </c>
      <c r="G253" s="79"/>
      <c r="H253" s="79"/>
      <c r="I253" s="79"/>
      <c r="K253" s="79"/>
      <c r="L253" s="79"/>
      <c r="Q253" s="79">
        <v>250</v>
      </c>
      <c r="R253" s="79">
        <v>2579.2213275353479</v>
      </c>
      <c r="S253" s="79">
        <v>1320.7786724646521</v>
      </c>
    </row>
    <row r="254" spans="1:19" x14ac:dyDescent="0.2">
      <c r="A254" s="51">
        <v>9000</v>
      </c>
      <c r="B254">
        <v>60000</v>
      </c>
      <c r="C254" s="25">
        <v>2</v>
      </c>
      <c r="D254" s="51">
        <v>6</v>
      </c>
      <c r="E254" s="25">
        <v>6</v>
      </c>
      <c r="G254" s="79"/>
      <c r="H254" s="79"/>
      <c r="I254" s="79"/>
      <c r="K254" s="79"/>
      <c r="L254" s="79"/>
      <c r="Q254" s="79">
        <v>251</v>
      </c>
      <c r="R254" s="79">
        <v>2227.7682267031232</v>
      </c>
      <c r="S254" s="79">
        <v>-777.76822670312322</v>
      </c>
    </row>
    <row r="255" spans="1:19" x14ac:dyDescent="0.2">
      <c r="A255" s="65">
        <v>4500</v>
      </c>
      <c r="B255">
        <v>40000</v>
      </c>
      <c r="C255" s="27">
        <v>1</v>
      </c>
      <c r="D255" s="65">
        <v>4</v>
      </c>
      <c r="E255" s="27">
        <v>14</v>
      </c>
      <c r="G255" s="79"/>
      <c r="H255" s="79"/>
      <c r="I255" s="79"/>
      <c r="K255" s="79"/>
      <c r="L255" s="79"/>
      <c r="Q255" s="79">
        <v>252</v>
      </c>
      <c r="R255" s="79">
        <v>1313.4516437560153</v>
      </c>
      <c r="S255" s="79">
        <v>-813.4516437560153</v>
      </c>
    </row>
    <row r="256" spans="1:19" x14ac:dyDescent="0.2">
      <c r="A256" s="51">
        <v>500</v>
      </c>
      <c r="B256">
        <v>40000</v>
      </c>
      <c r="C256" s="25">
        <v>1</v>
      </c>
      <c r="D256" s="51">
        <v>5</v>
      </c>
      <c r="E256" s="25">
        <v>4</v>
      </c>
      <c r="G256" s="79"/>
      <c r="H256" s="79"/>
      <c r="I256" s="79"/>
      <c r="K256" s="79"/>
      <c r="L256" s="79"/>
      <c r="Q256" s="79">
        <v>253</v>
      </c>
      <c r="R256" s="79">
        <v>6016.4271363568969</v>
      </c>
      <c r="S256" s="79">
        <v>2983.5728636431031</v>
      </c>
    </row>
    <row r="257" spans="1:19" x14ac:dyDescent="0.2">
      <c r="A257" s="65">
        <v>4200</v>
      </c>
      <c r="B257">
        <v>40000</v>
      </c>
      <c r="C257" s="27">
        <v>2</v>
      </c>
      <c r="D257" s="65">
        <v>4</v>
      </c>
      <c r="E257" s="27">
        <v>12</v>
      </c>
      <c r="G257" s="79"/>
      <c r="H257" s="79"/>
      <c r="I257" s="79"/>
      <c r="K257" s="79"/>
      <c r="L257" s="79"/>
      <c r="Q257" s="79">
        <v>254</v>
      </c>
      <c r="R257" s="79">
        <v>2579.2213275353479</v>
      </c>
      <c r="S257" s="79">
        <v>1920.7786724646521</v>
      </c>
    </row>
    <row r="258" spans="1:19" x14ac:dyDescent="0.2">
      <c r="A258" s="51">
        <v>650</v>
      </c>
      <c r="B258">
        <v>40000</v>
      </c>
      <c r="C258" s="25">
        <v>1</v>
      </c>
      <c r="D258" s="51">
        <v>3</v>
      </c>
      <c r="E258" s="25">
        <v>6</v>
      </c>
      <c r="G258" s="79"/>
      <c r="H258" s="79"/>
      <c r="I258" s="79"/>
      <c r="K258" s="79"/>
      <c r="L258" s="79"/>
      <c r="Q258" s="79">
        <v>255</v>
      </c>
      <c r="R258" s="79">
        <v>2075.5912748090213</v>
      </c>
      <c r="S258" s="79">
        <v>-1575.5912748090213</v>
      </c>
    </row>
    <row r="259" spans="1:19" x14ac:dyDescent="0.2">
      <c r="A259" s="65">
        <v>13800</v>
      </c>
      <c r="B259">
        <v>125000</v>
      </c>
      <c r="C259" s="27">
        <v>3</v>
      </c>
      <c r="D259" s="65">
        <v>6</v>
      </c>
      <c r="E259" s="27">
        <v>18</v>
      </c>
      <c r="G259" s="79"/>
      <c r="H259" s="79"/>
      <c r="I259" s="79"/>
      <c r="K259" s="79"/>
      <c r="L259" s="79"/>
      <c r="Q259" s="79">
        <v>256</v>
      </c>
      <c r="R259" s="79">
        <v>5119.3250330518149</v>
      </c>
      <c r="S259" s="79">
        <v>-919.3250330518149</v>
      </c>
    </row>
    <row r="260" spans="1:19" x14ac:dyDescent="0.2">
      <c r="A260" s="51">
        <v>1100</v>
      </c>
      <c r="B260">
        <v>5000</v>
      </c>
      <c r="C260" s="25">
        <v>1</v>
      </c>
      <c r="D260" s="51">
        <v>3</v>
      </c>
      <c r="E260" s="25">
        <v>5</v>
      </c>
      <c r="G260" s="79"/>
      <c r="H260" s="79"/>
      <c r="I260" s="79"/>
      <c r="K260" s="79"/>
      <c r="L260" s="79"/>
      <c r="Q260" s="79">
        <v>257</v>
      </c>
      <c r="R260" s="79">
        <v>1501.3124265166625</v>
      </c>
      <c r="S260" s="79">
        <v>-851.31242651666253</v>
      </c>
    </row>
    <row r="261" spans="1:19" x14ac:dyDescent="0.2">
      <c r="A261" s="65">
        <v>10200</v>
      </c>
      <c r="B261">
        <v>60000</v>
      </c>
      <c r="C261" s="27">
        <v>2</v>
      </c>
      <c r="D261" s="65">
        <v>5</v>
      </c>
      <c r="E261" s="27">
        <v>7</v>
      </c>
      <c r="G261" s="79"/>
      <c r="H261" s="79"/>
      <c r="I261" s="79"/>
      <c r="K261" s="79"/>
      <c r="L261" s="79"/>
      <c r="Q261" s="79">
        <v>258</v>
      </c>
      <c r="R261" s="79">
        <v>11978.014851282238</v>
      </c>
      <c r="S261" s="79">
        <v>1821.9851487177621</v>
      </c>
    </row>
    <row r="262" spans="1:19" x14ac:dyDescent="0.2">
      <c r="A262" s="51">
        <v>1150</v>
      </c>
      <c r="B262">
        <v>40000</v>
      </c>
      <c r="C262" s="25">
        <v>1</v>
      </c>
      <c r="D262" s="51">
        <v>4</v>
      </c>
      <c r="E262" s="25">
        <v>8</v>
      </c>
      <c r="G262" s="79"/>
      <c r="H262" s="79"/>
      <c r="I262" s="79"/>
      <c r="K262" s="79"/>
      <c r="L262" s="79"/>
      <c r="Q262" s="79">
        <v>259</v>
      </c>
      <c r="R262" s="79">
        <v>233.46552857994436</v>
      </c>
      <c r="S262" s="79">
        <v>866.53447142005564</v>
      </c>
    </row>
    <row r="263" spans="1:19" x14ac:dyDescent="0.2">
      <c r="A263" s="65">
        <v>650</v>
      </c>
      <c r="B263">
        <v>40000</v>
      </c>
      <c r="C263" s="27">
        <v>1</v>
      </c>
      <c r="D263" s="65">
        <v>3</v>
      </c>
      <c r="E263" s="27">
        <v>6</v>
      </c>
      <c r="G263" s="79"/>
      <c r="H263" s="79"/>
      <c r="I263" s="79"/>
      <c r="K263" s="79"/>
      <c r="L263" s="79"/>
      <c r="Q263" s="79">
        <v>260</v>
      </c>
      <c r="R263" s="79">
        <v>5729.2877122107184</v>
      </c>
      <c r="S263" s="79">
        <v>4470.7122877892816</v>
      </c>
    </row>
    <row r="264" spans="1:19" x14ac:dyDescent="0.2">
      <c r="A264" s="51">
        <v>14500</v>
      </c>
      <c r="B264">
        <v>85000</v>
      </c>
      <c r="C264" s="25">
        <v>3</v>
      </c>
      <c r="D264" s="51">
        <v>4</v>
      </c>
      <c r="E264" s="25">
        <v>20</v>
      </c>
      <c r="G264" s="79"/>
      <c r="H264" s="79"/>
      <c r="I264" s="79"/>
      <c r="K264" s="79"/>
      <c r="L264" s="79"/>
      <c r="Q264" s="79">
        <v>261</v>
      </c>
      <c r="R264" s="79">
        <v>2052.0416762870104</v>
      </c>
      <c r="S264" s="79">
        <v>-902.04167628701043</v>
      </c>
    </row>
    <row r="265" spans="1:19" x14ac:dyDescent="0.2">
      <c r="A265" s="65">
        <v>3800</v>
      </c>
      <c r="B265">
        <v>40000</v>
      </c>
      <c r="C265" s="27">
        <v>1</v>
      </c>
      <c r="D265" s="65">
        <v>3</v>
      </c>
      <c r="E265" s="27">
        <v>14</v>
      </c>
      <c r="G265" s="79"/>
      <c r="H265" s="79"/>
      <c r="I265" s="79"/>
      <c r="K265" s="79"/>
      <c r="L265" s="79"/>
      <c r="Q265" s="79">
        <v>262</v>
      </c>
      <c r="R265" s="79">
        <v>1501.3124265166625</v>
      </c>
      <c r="S265" s="79">
        <v>-851.31242651666253</v>
      </c>
    </row>
    <row r="266" spans="1:19" x14ac:dyDescent="0.2">
      <c r="A266" s="51">
        <v>1000</v>
      </c>
      <c r="B266">
        <v>40000</v>
      </c>
      <c r="C266" s="28">
        <v>1</v>
      </c>
      <c r="D266" s="51">
        <v>5</v>
      </c>
      <c r="E266" s="25">
        <v>6</v>
      </c>
      <c r="G266" s="79"/>
      <c r="H266" s="79"/>
      <c r="I266" s="79"/>
      <c r="K266" s="79"/>
      <c r="L266" s="79"/>
      <c r="Q266" s="79">
        <v>263</v>
      </c>
      <c r="R266" s="79">
        <v>10055.183291299982</v>
      </c>
      <c r="S266" s="79">
        <v>4444.8167087000184</v>
      </c>
    </row>
    <row r="267" spans="1:19" x14ac:dyDescent="0.2">
      <c r="A267" s="65">
        <v>1250</v>
      </c>
      <c r="B267">
        <v>5000</v>
      </c>
      <c r="C267" s="27">
        <v>1</v>
      </c>
      <c r="D267" s="65">
        <v>6</v>
      </c>
      <c r="E267" s="27">
        <v>9</v>
      </c>
      <c r="G267" s="79"/>
      <c r="H267" s="79"/>
      <c r="I267" s="79"/>
      <c r="K267" s="79"/>
      <c r="L267" s="79"/>
      <c r="Q267" s="79">
        <v>264</v>
      </c>
      <c r="R267" s="79">
        <v>2204.2186281811123</v>
      </c>
      <c r="S267" s="79">
        <v>1595.7813718188877</v>
      </c>
    </row>
    <row r="268" spans="1:19" x14ac:dyDescent="0.2">
      <c r="A268" s="51">
        <v>10800</v>
      </c>
      <c r="B268">
        <v>60000</v>
      </c>
      <c r="C268" s="25">
        <v>2</v>
      </c>
      <c r="D268" s="51">
        <v>5</v>
      </c>
      <c r="E268" s="25">
        <v>6</v>
      </c>
      <c r="G268" s="79"/>
      <c r="H268" s="79"/>
      <c r="I268" s="79"/>
      <c r="K268" s="79"/>
      <c r="L268" s="79"/>
      <c r="Q268" s="79">
        <v>265</v>
      </c>
      <c r="R268" s="79">
        <v>2251.3178252251337</v>
      </c>
      <c r="S268" s="79">
        <v>-1251.3178252251337</v>
      </c>
    </row>
    <row r="269" spans="1:19" x14ac:dyDescent="0.2">
      <c r="A269" s="65">
        <v>650</v>
      </c>
      <c r="B269">
        <v>40000</v>
      </c>
      <c r="C269" s="27">
        <v>1</v>
      </c>
      <c r="D269" s="65">
        <v>4</v>
      </c>
      <c r="E269" s="27">
        <v>6</v>
      </c>
      <c r="G269" s="79"/>
      <c r="H269" s="79"/>
      <c r="I269" s="79"/>
      <c r="K269" s="79"/>
      <c r="L269" s="79"/>
      <c r="Q269" s="79">
        <v>266</v>
      </c>
      <c r="R269" s="79">
        <v>1709.9267274748756</v>
      </c>
      <c r="S269" s="79">
        <v>-459.92672747487563</v>
      </c>
    </row>
    <row r="270" spans="1:19" x14ac:dyDescent="0.2">
      <c r="A270" s="51">
        <v>15600</v>
      </c>
      <c r="B270">
        <v>125000</v>
      </c>
      <c r="C270" s="25">
        <v>3</v>
      </c>
      <c r="D270" s="51">
        <v>4</v>
      </c>
      <c r="E270" s="25">
        <v>22</v>
      </c>
      <c r="G270" s="79"/>
      <c r="H270" s="79"/>
      <c r="I270" s="79"/>
      <c r="K270" s="79"/>
      <c r="L270" s="79"/>
      <c r="Q270" s="79">
        <v>267</v>
      </c>
      <c r="R270" s="79">
        <v>5641.4244370026627</v>
      </c>
      <c r="S270" s="79">
        <v>5158.5755629973373</v>
      </c>
    </row>
    <row r="271" spans="1:19" x14ac:dyDescent="0.2">
      <c r="A271" s="65">
        <v>4400</v>
      </c>
      <c r="B271">
        <v>20000</v>
      </c>
      <c r="C271" s="27">
        <v>1</v>
      </c>
      <c r="D271" s="65">
        <v>5</v>
      </c>
      <c r="E271" s="27">
        <v>15</v>
      </c>
      <c r="G271" s="79"/>
      <c r="H271" s="79"/>
      <c r="I271" s="79"/>
      <c r="K271" s="79"/>
      <c r="L271" s="79"/>
      <c r="Q271" s="79">
        <v>268</v>
      </c>
      <c r="R271" s="79">
        <v>1876.3151258708981</v>
      </c>
      <c r="S271" s="79">
        <v>-1226.3151258708981</v>
      </c>
    </row>
    <row r="272" spans="1:19" x14ac:dyDescent="0.2">
      <c r="A272" s="51">
        <v>1800</v>
      </c>
      <c r="B272">
        <v>40000</v>
      </c>
      <c r="C272" s="25">
        <v>2</v>
      </c>
      <c r="D272" s="51">
        <v>4</v>
      </c>
      <c r="E272" s="25">
        <v>8</v>
      </c>
      <c r="G272" s="79"/>
      <c r="H272" s="79"/>
      <c r="I272" s="79"/>
      <c r="K272" s="79"/>
      <c r="L272" s="79"/>
      <c r="Q272" s="79">
        <v>269</v>
      </c>
      <c r="R272" s="79">
        <v>11579.462553405992</v>
      </c>
      <c r="S272" s="79">
        <v>4020.5374465940076</v>
      </c>
    </row>
    <row r="273" spans="1:19" x14ac:dyDescent="0.2">
      <c r="A273" s="65">
        <v>520</v>
      </c>
      <c r="B273">
        <v>5000</v>
      </c>
      <c r="C273" s="27">
        <v>1</v>
      </c>
      <c r="D273" s="65">
        <v>3</v>
      </c>
      <c r="E273" s="27">
        <v>4</v>
      </c>
      <c r="G273" s="79"/>
      <c r="H273" s="79"/>
      <c r="I273" s="79"/>
      <c r="K273" s="79"/>
      <c r="L273" s="79"/>
      <c r="Q273" s="79">
        <v>270</v>
      </c>
      <c r="R273" s="79">
        <v>2367.81094625269</v>
      </c>
      <c r="S273" s="79">
        <v>2032.18905374731</v>
      </c>
    </row>
    <row r="274" spans="1:19" x14ac:dyDescent="0.2">
      <c r="A274" s="51">
        <v>3609</v>
      </c>
      <c r="B274">
        <v>60000</v>
      </c>
      <c r="C274" s="25">
        <v>2</v>
      </c>
      <c r="D274" s="51">
        <v>5</v>
      </c>
      <c r="E274" s="25">
        <v>10</v>
      </c>
      <c r="G274" s="79"/>
      <c r="H274" s="79"/>
      <c r="I274" s="79"/>
      <c r="K274" s="79"/>
      <c r="L274" s="79"/>
      <c r="Q274" s="79">
        <v>271</v>
      </c>
      <c r="R274" s="79">
        <v>4767.8719322195893</v>
      </c>
      <c r="S274" s="79">
        <v>-2967.8719322195893</v>
      </c>
    </row>
    <row r="275" spans="1:19" x14ac:dyDescent="0.2">
      <c r="A275" s="65">
        <v>9200</v>
      </c>
      <c r="B275">
        <v>40000</v>
      </c>
      <c r="C275" s="27">
        <v>2</v>
      </c>
      <c r="D275" s="65">
        <v>5</v>
      </c>
      <c r="E275" s="27">
        <v>6</v>
      </c>
      <c r="G275" s="79"/>
      <c r="H275" s="79"/>
      <c r="I275" s="79"/>
      <c r="K275" s="79"/>
      <c r="L275" s="79"/>
      <c r="Q275" s="79">
        <v>272</v>
      </c>
      <c r="R275" s="79">
        <v>145.60225337188814</v>
      </c>
      <c r="S275" s="79">
        <v>374.39774662811186</v>
      </c>
    </row>
    <row r="276" spans="1:19" x14ac:dyDescent="0.2">
      <c r="A276" s="51">
        <v>3700</v>
      </c>
      <c r="B276">
        <v>40000</v>
      </c>
      <c r="C276" s="25">
        <v>1</v>
      </c>
      <c r="D276" s="51">
        <v>6</v>
      </c>
      <c r="E276" s="25">
        <v>13</v>
      </c>
      <c r="G276" s="79"/>
      <c r="H276" s="79"/>
      <c r="I276" s="79"/>
      <c r="K276" s="79"/>
      <c r="L276" s="79"/>
      <c r="Q276" s="79">
        <v>273</v>
      </c>
      <c r="R276" s="79">
        <v>5992.8775378348873</v>
      </c>
      <c r="S276" s="79">
        <v>-2383.8775378348873</v>
      </c>
    </row>
    <row r="277" spans="1:19" x14ac:dyDescent="0.2">
      <c r="A277" s="65">
        <v>900</v>
      </c>
      <c r="B277">
        <v>40000</v>
      </c>
      <c r="C277" s="27">
        <v>1</v>
      </c>
      <c r="D277" s="65">
        <v>4</v>
      </c>
      <c r="E277" s="27">
        <v>6</v>
      </c>
      <c r="G277" s="79"/>
      <c r="H277" s="79"/>
      <c r="I277" s="79"/>
      <c r="K277" s="79"/>
      <c r="L277" s="79"/>
      <c r="Q277" s="79">
        <v>274</v>
      </c>
      <c r="R277" s="79">
        <v>4967.148081157713</v>
      </c>
      <c r="S277" s="79">
        <v>4232.851918842287</v>
      </c>
    </row>
    <row r="278" spans="1:19" x14ac:dyDescent="0.2">
      <c r="A278" s="51">
        <v>650</v>
      </c>
      <c r="B278">
        <v>40000</v>
      </c>
      <c r="C278" s="25">
        <v>1</v>
      </c>
      <c r="D278" s="51">
        <v>2</v>
      </c>
      <c r="E278" s="25">
        <v>4</v>
      </c>
      <c r="G278" s="79"/>
      <c r="H278" s="79"/>
      <c r="I278" s="79"/>
      <c r="K278" s="79"/>
      <c r="L278" s="79"/>
      <c r="Q278" s="79">
        <v>275</v>
      </c>
      <c r="R278" s="79">
        <v>3241.3634510357624</v>
      </c>
      <c r="S278" s="79">
        <v>458.63654896423759</v>
      </c>
    </row>
    <row r="279" spans="1:19" x14ac:dyDescent="0.2">
      <c r="A279" s="65">
        <v>14800</v>
      </c>
      <c r="B279">
        <v>125000</v>
      </c>
      <c r="C279" s="27">
        <v>3</v>
      </c>
      <c r="D279" s="65">
        <v>5</v>
      </c>
      <c r="E279" s="27">
        <v>19</v>
      </c>
      <c r="G279" s="79"/>
      <c r="H279" s="79"/>
      <c r="I279" s="79"/>
      <c r="K279" s="79"/>
      <c r="L279" s="79"/>
      <c r="Q279" s="79">
        <v>276</v>
      </c>
      <c r="R279" s="79">
        <v>1876.3151258708981</v>
      </c>
      <c r="S279" s="79">
        <v>-976.3151258708981</v>
      </c>
    </row>
    <row r="280" spans="1:19" x14ac:dyDescent="0.2">
      <c r="A280" s="51">
        <v>1000</v>
      </c>
      <c r="B280">
        <v>5000</v>
      </c>
      <c r="C280" s="25">
        <v>1</v>
      </c>
      <c r="D280" s="51">
        <v>3</v>
      </c>
      <c r="E280" s="25">
        <v>7</v>
      </c>
      <c r="G280" s="79"/>
      <c r="H280" s="79"/>
      <c r="I280" s="79"/>
      <c r="K280" s="79"/>
      <c r="L280" s="79"/>
      <c r="Q280" s="79">
        <v>277</v>
      </c>
      <c r="R280" s="79">
        <v>950.58317674631462</v>
      </c>
      <c r="S280" s="79">
        <v>-300.58317674631462</v>
      </c>
    </row>
    <row r="281" spans="1:19" x14ac:dyDescent="0.2">
      <c r="A281" s="65">
        <v>1900</v>
      </c>
      <c r="B281">
        <v>60000</v>
      </c>
      <c r="C281" s="27">
        <v>1</v>
      </c>
      <c r="D281" s="65">
        <v>5</v>
      </c>
      <c r="E281" s="27">
        <v>15</v>
      </c>
      <c r="G281" s="79"/>
      <c r="H281" s="79"/>
      <c r="I281" s="79"/>
      <c r="K281" s="79"/>
      <c r="L281" s="79"/>
      <c r="Q281" s="79">
        <v>278</v>
      </c>
      <c r="R281" s="79">
        <v>11690.875427136059</v>
      </c>
      <c r="S281" s="79">
        <v>3109.1245728639406</v>
      </c>
    </row>
    <row r="282" spans="1:19" x14ac:dyDescent="0.2">
      <c r="A282" s="51">
        <v>1300</v>
      </c>
      <c r="B282">
        <v>5000</v>
      </c>
      <c r="C282" s="25">
        <v>1</v>
      </c>
      <c r="D282" s="51">
        <v>4</v>
      </c>
      <c r="E282" s="25">
        <v>9</v>
      </c>
      <c r="G282" s="79"/>
      <c r="H282" s="79"/>
      <c r="I282" s="79"/>
      <c r="K282" s="79"/>
      <c r="L282" s="79"/>
      <c r="Q282" s="79">
        <v>279</v>
      </c>
      <c r="R282" s="79">
        <v>409.19207899605681</v>
      </c>
      <c r="S282" s="79">
        <v>590.80792100394319</v>
      </c>
    </row>
    <row r="283" spans="1:19" x14ac:dyDescent="0.2">
      <c r="A283" s="65">
        <v>400</v>
      </c>
      <c r="B283">
        <v>20000</v>
      </c>
      <c r="C283" s="27">
        <v>1</v>
      </c>
      <c r="D283" s="65">
        <v>5</v>
      </c>
      <c r="E283" s="27">
        <v>3</v>
      </c>
      <c r="G283" s="79"/>
      <c r="H283" s="79"/>
      <c r="I283" s="79"/>
      <c r="K283" s="79"/>
      <c r="L283" s="79"/>
      <c r="Q283" s="79">
        <v>280</v>
      </c>
      <c r="R283" s="79">
        <v>3716.3636579425893</v>
      </c>
      <c r="S283" s="79">
        <v>-1816.3636579425893</v>
      </c>
    </row>
    <row r="284" spans="1:19" x14ac:dyDescent="0.2">
      <c r="A284" s="51">
        <v>9700</v>
      </c>
      <c r="B284">
        <v>60000</v>
      </c>
      <c r="C284" s="25">
        <v>3</v>
      </c>
      <c r="D284" s="51">
        <v>4</v>
      </c>
      <c r="E284" s="25">
        <v>6</v>
      </c>
      <c r="G284" s="79"/>
      <c r="H284" s="79"/>
      <c r="I284" s="79"/>
      <c r="K284" s="79"/>
      <c r="L284" s="79"/>
      <c r="Q284" s="79">
        <v>281</v>
      </c>
      <c r="R284" s="79">
        <v>959.92132876640494</v>
      </c>
      <c r="S284" s="79">
        <v>340.07867123359506</v>
      </c>
    </row>
    <row r="285" spans="1:19" x14ac:dyDescent="0.2">
      <c r="A285" s="65">
        <v>1100</v>
      </c>
      <c r="B285">
        <v>5000</v>
      </c>
      <c r="C285" s="27">
        <v>1</v>
      </c>
      <c r="D285" s="65">
        <v>5</v>
      </c>
      <c r="E285" s="27">
        <v>7</v>
      </c>
      <c r="G285" s="79"/>
      <c r="H285" s="79"/>
      <c r="I285" s="79"/>
      <c r="K285" s="79"/>
      <c r="L285" s="79"/>
      <c r="Q285" s="79">
        <v>282</v>
      </c>
      <c r="R285" s="79">
        <v>1313.4516437560153</v>
      </c>
      <c r="S285" s="79">
        <v>-913.4516437560153</v>
      </c>
    </row>
    <row r="286" spans="1:19" x14ac:dyDescent="0.2">
      <c r="A286" s="51">
        <v>3900</v>
      </c>
      <c r="B286">
        <v>40000</v>
      </c>
      <c r="C286" s="25">
        <v>1</v>
      </c>
      <c r="D286" s="51">
        <v>3</v>
      </c>
      <c r="E286" s="25">
        <v>13</v>
      </c>
      <c r="G286" s="79"/>
      <c r="H286" s="79"/>
      <c r="I286" s="79"/>
      <c r="K286" s="79"/>
      <c r="L286" s="79"/>
      <c r="Q286" s="79">
        <v>283</v>
      </c>
      <c r="R286" s="79">
        <v>7982.2519935810069</v>
      </c>
      <c r="S286" s="79">
        <v>1717.7480064189931</v>
      </c>
    </row>
    <row r="287" spans="1:19" x14ac:dyDescent="0.2">
      <c r="A287" s="65">
        <v>3700</v>
      </c>
      <c r="B287">
        <v>60000</v>
      </c>
      <c r="C287" s="27">
        <v>2</v>
      </c>
      <c r="D287" s="65">
        <v>5</v>
      </c>
      <c r="E287" s="27">
        <v>12</v>
      </c>
      <c r="G287" s="79"/>
      <c r="H287" s="79"/>
      <c r="I287" s="79"/>
      <c r="K287" s="79"/>
      <c r="L287" s="79"/>
      <c r="Q287" s="79">
        <v>284</v>
      </c>
      <c r="R287" s="79">
        <v>1159.197477704528</v>
      </c>
      <c r="S287" s="79">
        <v>-59.197477704527955</v>
      </c>
    </row>
    <row r="288" spans="1:19" x14ac:dyDescent="0.2">
      <c r="A288" s="51">
        <v>550</v>
      </c>
      <c r="B288">
        <v>40000</v>
      </c>
      <c r="C288" s="25">
        <v>1</v>
      </c>
      <c r="D288" s="51">
        <v>2</v>
      </c>
      <c r="E288" s="25">
        <v>4</v>
      </c>
      <c r="G288" s="79"/>
      <c r="H288" s="79"/>
      <c r="I288" s="79"/>
      <c r="K288" s="79"/>
      <c r="L288" s="79"/>
      <c r="Q288" s="79">
        <v>285</v>
      </c>
      <c r="R288" s="79">
        <v>2116.3553529730561</v>
      </c>
      <c r="S288" s="79">
        <v>1783.6446470269439</v>
      </c>
    </row>
    <row r="289" spans="1:19" x14ac:dyDescent="0.2">
      <c r="A289" s="65">
        <v>11000</v>
      </c>
      <c r="B289">
        <v>40000</v>
      </c>
      <c r="C289" s="27">
        <v>2</v>
      </c>
      <c r="D289" s="65">
        <v>6</v>
      </c>
      <c r="E289" s="27">
        <v>7</v>
      </c>
      <c r="G289" s="79"/>
      <c r="H289" s="79"/>
      <c r="I289" s="79"/>
      <c r="K289" s="79"/>
      <c r="L289" s="79"/>
      <c r="Q289" s="79">
        <v>286</v>
      </c>
      <c r="R289" s="79">
        <v>6168.6040882509997</v>
      </c>
      <c r="S289" s="79">
        <v>-2468.6040882509997</v>
      </c>
    </row>
    <row r="290" spans="1:19" x14ac:dyDescent="0.2">
      <c r="A290" s="51">
        <v>1000</v>
      </c>
      <c r="B290">
        <v>5000</v>
      </c>
      <c r="C290" s="25">
        <v>1</v>
      </c>
      <c r="D290" s="51">
        <v>3</v>
      </c>
      <c r="E290" s="25">
        <v>7</v>
      </c>
      <c r="G290" s="79"/>
      <c r="H290" s="79"/>
      <c r="I290" s="79"/>
      <c r="K290" s="79"/>
      <c r="L290" s="79"/>
      <c r="Q290" s="79">
        <v>287</v>
      </c>
      <c r="R290" s="79">
        <v>950.58317674631462</v>
      </c>
      <c r="S290" s="79">
        <v>-400.58317674631462</v>
      </c>
    </row>
    <row r="291" spans="1:19" x14ac:dyDescent="0.2">
      <c r="A291" s="65">
        <v>4000</v>
      </c>
      <c r="B291">
        <v>40000</v>
      </c>
      <c r="C291" s="27">
        <v>2</v>
      </c>
      <c r="D291" s="65">
        <v>5</v>
      </c>
      <c r="E291" s="27">
        <v>11</v>
      </c>
      <c r="G291" s="79"/>
      <c r="H291" s="79"/>
      <c r="I291" s="79"/>
      <c r="K291" s="79"/>
      <c r="L291" s="79"/>
      <c r="Q291" s="79">
        <v>288</v>
      </c>
      <c r="R291" s="79">
        <v>5430.0140557200039</v>
      </c>
      <c r="S291" s="79">
        <v>5569.9859442799961</v>
      </c>
    </row>
    <row r="292" spans="1:19" x14ac:dyDescent="0.2">
      <c r="A292" s="51">
        <v>1550</v>
      </c>
      <c r="B292">
        <v>40000</v>
      </c>
      <c r="C292" s="25">
        <v>1</v>
      </c>
      <c r="D292" s="51">
        <v>5</v>
      </c>
      <c r="E292" s="25">
        <v>11</v>
      </c>
      <c r="G292" s="79"/>
      <c r="H292" s="79"/>
      <c r="I292" s="79"/>
      <c r="K292" s="79"/>
      <c r="L292" s="79"/>
      <c r="Q292" s="79">
        <v>289</v>
      </c>
      <c r="R292" s="79">
        <v>409.19207899605681</v>
      </c>
      <c r="S292" s="79">
        <v>590.80792100394319</v>
      </c>
    </row>
    <row r="293" spans="1:19" x14ac:dyDescent="0.2">
      <c r="A293" s="65">
        <v>780</v>
      </c>
      <c r="B293">
        <v>5000</v>
      </c>
      <c r="C293" s="27">
        <v>1</v>
      </c>
      <c r="D293" s="65">
        <v>5</v>
      </c>
      <c r="E293" s="27">
        <v>6</v>
      </c>
      <c r="G293" s="79"/>
      <c r="H293" s="79"/>
      <c r="I293" s="79"/>
      <c r="K293" s="79"/>
      <c r="L293" s="79"/>
      <c r="Q293" s="79">
        <v>290</v>
      </c>
      <c r="R293" s="79">
        <v>5406.4644571979934</v>
      </c>
      <c r="S293" s="79">
        <v>-1406.4644571979934</v>
      </c>
    </row>
    <row r="294" spans="1:19" x14ac:dyDescent="0.2">
      <c r="A294" s="51">
        <v>11500</v>
      </c>
      <c r="B294">
        <v>40000</v>
      </c>
      <c r="C294" s="25">
        <v>2</v>
      </c>
      <c r="D294" s="51">
        <v>6</v>
      </c>
      <c r="E294" s="25">
        <v>8</v>
      </c>
      <c r="G294" s="79"/>
      <c r="H294" s="79"/>
      <c r="I294" s="79"/>
      <c r="K294" s="79"/>
      <c r="L294" s="79"/>
      <c r="Q294" s="79">
        <v>291</v>
      </c>
      <c r="R294" s="79">
        <v>2690.634201265415</v>
      </c>
      <c r="S294" s="79">
        <v>-1140.634201265415</v>
      </c>
    </row>
    <row r="295" spans="1:19" x14ac:dyDescent="0.2">
      <c r="A295" s="65">
        <v>4000</v>
      </c>
      <c r="B295">
        <v>40000</v>
      </c>
      <c r="C295" s="27">
        <v>1</v>
      </c>
      <c r="D295" s="65">
        <v>4</v>
      </c>
      <c r="E295" s="27">
        <v>14</v>
      </c>
      <c r="G295" s="79"/>
      <c r="H295" s="79"/>
      <c r="I295" s="79"/>
      <c r="K295" s="79"/>
      <c r="L295" s="79"/>
      <c r="Q295" s="79">
        <v>292</v>
      </c>
      <c r="R295" s="79">
        <v>1071.3342024964718</v>
      </c>
      <c r="S295" s="79">
        <v>-291.33420249647179</v>
      </c>
    </row>
    <row r="296" spans="1:19" x14ac:dyDescent="0.2">
      <c r="A296" s="51">
        <v>4200</v>
      </c>
      <c r="B296">
        <v>60000</v>
      </c>
      <c r="C296" s="25">
        <v>2</v>
      </c>
      <c r="D296" s="51">
        <v>5</v>
      </c>
      <c r="E296" s="25">
        <v>13</v>
      </c>
      <c r="G296" s="79"/>
      <c r="H296" s="79"/>
      <c r="I296" s="79"/>
      <c r="K296" s="79"/>
      <c r="L296" s="79"/>
      <c r="Q296" s="79">
        <v>293</v>
      </c>
      <c r="R296" s="79">
        <v>5517.8773309280605</v>
      </c>
      <c r="S296" s="79">
        <v>5982.1226690719395</v>
      </c>
    </row>
    <row r="297" spans="1:19" x14ac:dyDescent="0.2">
      <c r="A297" s="65">
        <v>1100</v>
      </c>
      <c r="B297">
        <v>5000</v>
      </c>
      <c r="C297" s="27">
        <v>1</v>
      </c>
      <c r="D297" s="65">
        <v>4</v>
      </c>
      <c r="E297" s="27">
        <v>7</v>
      </c>
      <c r="G297" s="79"/>
      <c r="H297" s="79"/>
      <c r="I297" s="79"/>
      <c r="K297" s="79"/>
      <c r="L297" s="79"/>
      <c r="Q297" s="79">
        <v>294</v>
      </c>
      <c r="R297" s="79">
        <v>2579.2213275353479</v>
      </c>
      <c r="S297" s="79">
        <v>1420.7786724646521</v>
      </c>
    </row>
    <row r="298" spans="1:19" x14ac:dyDescent="0.2">
      <c r="A298" s="51">
        <v>12000</v>
      </c>
      <c r="B298">
        <v>60000</v>
      </c>
      <c r="C298" s="25">
        <v>2</v>
      </c>
      <c r="D298" s="51">
        <v>5</v>
      </c>
      <c r="E298" s="25">
        <v>9</v>
      </c>
      <c r="G298" s="79"/>
      <c r="H298" s="79"/>
      <c r="I298" s="79"/>
      <c r="K298" s="79"/>
      <c r="L298" s="79"/>
      <c r="Q298" s="79">
        <v>295</v>
      </c>
      <c r="R298" s="79">
        <v>6256.4673634590563</v>
      </c>
      <c r="S298" s="79">
        <v>-2056.4673634590563</v>
      </c>
    </row>
    <row r="299" spans="1:19" x14ac:dyDescent="0.2">
      <c r="A299" s="65">
        <v>4700</v>
      </c>
      <c r="B299">
        <v>40000</v>
      </c>
      <c r="C299" s="27">
        <v>1</v>
      </c>
      <c r="D299" s="65">
        <v>3</v>
      </c>
      <c r="E299" s="27">
        <v>15</v>
      </c>
      <c r="G299" s="79"/>
      <c r="H299" s="79"/>
      <c r="I299" s="79"/>
      <c r="K299" s="79"/>
      <c r="L299" s="79"/>
      <c r="Q299" s="79">
        <v>296</v>
      </c>
      <c r="R299" s="79">
        <v>784.19477835029238</v>
      </c>
      <c r="S299" s="79">
        <v>315.80522164970762</v>
      </c>
    </row>
    <row r="300" spans="1:19" x14ac:dyDescent="0.2">
      <c r="A300" s="51">
        <v>520</v>
      </c>
      <c r="B300">
        <v>20000</v>
      </c>
      <c r="C300" s="25">
        <v>1</v>
      </c>
      <c r="D300" s="51">
        <v>5</v>
      </c>
      <c r="E300" s="25">
        <v>3</v>
      </c>
      <c r="G300" s="79"/>
      <c r="H300" s="79"/>
      <c r="I300" s="79"/>
      <c r="K300" s="79"/>
      <c r="L300" s="79"/>
      <c r="Q300" s="79">
        <v>297</v>
      </c>
      <c r="R300" s="79">
        <v>5905.0142626268307</v>
      </c>
      <c r="S300" s="79">
        <v>6094.9857373731693</v>
      </c>
    </row>
    <row r="301" spans="1:19" x14ac:dyDescent="0.2">
      <c r="A301" s="65">
        <v>4200</v>
      </c>
      <c r="B301">
        <v>60000</v>
      </c>
      <c r="C301" s="27">
        <v>2</v>
      </c>
      <c r="D301" s="65">
        <v>4</v>
      </c>
      <c r="E301" s="27">
        <v>13</v>
      </c>
      <c r="G301" s="79"/>
      <c r="H301" s="79"/>
      <c r="I301" s="79"/>
      <c r="K301" s="79"/>
      <c r="L301" s="79"/>
      <c r="Q301" s="79">
        <v>298</v>
      </c>
      <c r="R301" s="79">
        <v>2292.0819033891685</v>
      </c>
      <c r="S301" s="79">
        <v>2407.9180966108315</v>
      </c>
    </row>
    <row r="302" spans="1:19" x14ac:dyDescent="0.2">
      <c r="A302" s="51">
        <v>1450</v>
      </c>
      <c r="B302">
        <v>40000</v>
      </c>
      <c r="C302" s="25">
        <v>1</v>
      </c>
      <c r="D302" s="51">
        <v>4</v>
      </c>
      <c r="E302" s="25">
        <v>10</v>
      </c>
      <c r="G302" s="79"/>
      <c r="H302" s="79"/>
      <c r="I302" s="79"/>
      <c r="K302" s="79"/>
      <c r="L302" s="79"/>
      <c r="Q302" s="79">
        <v>299</v>
      </c>
      <c r="R302" s="79">
        <v>1313.4516437560153</v>
      </c>
      <c r="S302" s="79">
        <v>-793.4516437560153</v>
      </c>
    </row>
    <row r="303" spans="1:19" x14ac:dyDescent="0.2">
      <c r="A303" s="65">
        <v>650</v>
      </c>
      <c r="B303">
        <v>5000</v>
      </c>
      <c r="C303" s="27">
        <v>1</v>
      </c>
      <c r="D303" s="65">
        <v>3</v>
      </c>
      <c r="E303" s="27">
        <v>4</v>
      </c>
      <c r="G303" s="79"/>
      <c r="H303" s="79"/>
      <c r="I303" s="79"/>
      <c r="K303" s="79"/>
      <c r="L303" s="79"/>
      <c r="Q303" s="79">
        <v>300</v>
      </c>
      <c r="R303" s="79">
        <v>5881.4646641048203</v>
      </c>
      <c r="S303" s="79">
        <v>-1681.4646641048203</v>
      </c>
    </row>
    <row r="304" spans="1:19" x14ac:dyDescent="0.2">
      <c r="A304" s="51">
        <v>12800</v>
      </c>
      <c r="B304">
        <v>60000</v>
      </c>
      <c r="C304" s="25">
        <v>2</v>
      </c>
      <c r="D304" s="51">
        <v>4</v>
      </c>
      <c r="E304" s="25">
        <v>9</v>
      </c>
      <c r="G304" s="79"/>
      <c r="H304" s="79"/>
      <c r="I304" s="79"/>
      <c r="K304" s="79"/>
      <c r="L304" s="79"/>
      <c r="Q304" s="79">
        <v>301</v>
      </c>
      <c r="R304" s="79">
        <v>2227.7682267031232</v>
      </c>
      <c r="S304" s="79">
        <v>-777.76822670312322</v>
      </c>
    </row>
    <row r="305" spans="1:19" x14ac:dyDescent="0.2">
      <c r="A305" s="65">
        <v>4000</v>
      </c>
      <c r="B305">
        <v>40000</v>
      </c>
      <c r="C305" s="27">
        <v>1</v>
      </c>
      <c r="D305" s="65">
        <v>3</v>
      </c>
      <c r="E305" s="27">
        <v>14</v>
      </c>
      <c r="G305" s="79"/>
      <c r="H305" s="79"/>
      <c r="I305" s="79"/>
      <c r="K305" s="79"/>
      <c r="L305" s="79"/>
      <c r="Q305" s="79">
        <v>302</v>
      </c>
      <c r="R305" s="79">
        <v>145.60225337188814</v>
      </c>
      <c r="S305" s="79">
        <v>504.39774662811186</v>
      </c>
    </row>
    <row r="306" spans="1:19" x14ac:dyDescent="0.2">
      <c r="A306" s="51">
        <v>4000</v>
      </c>
      <c r="B306">
        <v>60000</v>
      </c>
      <c r="C306" s="25">
        <v>2</v>
      </c>
      <c r="D306" s="51">
        <v>6</v>
      </c>
      <c r="E306" s="25">
        <v>8</v>
      </c>
      <c r="G306" s="79"/>
      <c r="H306" s="79"/>
      <c r="I306" s="79"/>
      <c r="K306" s="79"/>
      <c r="L306" s="79"/>
      <c r="Q306" s="79">
        <v>303</v>
      </c>
      <c r="R306" s="79">
        <v>5530.0115632725947</v>
      </c>
      <c r="S306" s="79">
        <v>7269.9884367274053</v>
      </c>
    </row>
    <row r="307" spans="1:19" x14ac:dyDescent="0.2">
      <c r="A307" s="65">
        <v>650</v>
      </c>
      <c r="B307">
        <v>40000</v>
      </c>
      <c r="C307" s="27">
        <v>1</v>
      </c>
      <c r="D307" s="65">
        <v>4</v>
      </c>
      <c r="E307" s="27">
        <v>5</v>
      </c>
      <c r="G307" s="79"/>
      <c r="H307" s="79"/>
      <c r="I307" s="79"/>
      <c r="K307" s="79"/>
      <c r="L307" s="79"/>
      <c r="Q307" s="79">
        <v>304</v>
      </c>
      <c r="R307" s="79">
        <v>2204.2186281811123</v>
      </c>
      <c r="S307" s="79">
        <v>1795.7813718188877</v>
      </c>
    </row>
    <row r="308" spans="1:19" x14ac:dyDescent="0.2">
      <c r="A308" s="51">
        <v>11800</v>
      </c>
      <c r="B308">
        <v>40000</v>
      </c>
      <c r="C308" s="25">
        <v>2</v>
      </c>
      <c r="D308" s="51">
        <v>6</v>
      </c>
      <c r="E308" s="25">
        <v>8</v>
      </c>
      <c r="G308" s="79"/>
      <c r="H308" s="79"/>
      <c r="I308" s="79"/>
      <c r="K308" s="79"/>
      <c r="L308" s="79"/>
      <c r="Q308" s="79">
        <v>305</v>
      </c>
      <c r="R308" s="79">
        <v>6192.1536867730101</v>
      </c>
      <c r="S308" s="79">
        <v>-2192.1536867730101</v>
      </c>
    </row>
    <row r="309" spans="1:19" x14ac:dyDescent="0.2">
      <c r="A309" s="65">
        <v>4400</v>
      </c>
      <c r="B309">
        <v>40000</v>
      </c>
      <c r="C309" s="27">
        <v>1</v>
      </c>
      <c r="D309" s="65">
        <v>4</v>
      </c>
      <c r="E309" s="27">
        <v>16</v>
      </c>
      <c r="G309" s="79"/>
      <c r="H309" s="79"/>
      <c r="I309" s="79"/>
      <c r="K309" s="79"/>
      <c r="L309" s="79"/>
      <c r="Q309" s="79">
        <v>306</v>
      </c>
      <c r="R309" s="79">
        <v>1788.4518506628419</v>
      </c>
      <c r="S309" s="79">
        <v>-1138.4518506628419</v>
      </c>
    </row>
    <row r="310" spans="1:19" x14ac:dyDescent="0.2">
      <c r="A310" s="51">
        <v>520</v>
      </c>
      <c r="B310">
        <v>20000</v>
      </c>
      <c r="C310" s="25">
        <v>1</v>
      </c>
      <c r="D310" s="51">
        <v>4</v>
      </c>
      <c r="E310" s="25">
        <v>3</v>
      </c>
      <c r="G310" s="79"/>
      <c r="H310" s="79"/>
      <c r="I310" s="79"/>
      <c r="K310" s="79"/>
      <c r="L310" s="79"/>
      <c r="Q310" s="79">
        <v>307</v>
      </c>
      <c r="R310" s="79">
        <v>5517.8773309280605</v>
      </c>
      <c r="S310" s="79">
        <v>6282.1226690719395</v>
      </c>
    </row>
    <row r="311" spans="1:19" x14ac:dyDescent="0.2">
      <c r="A311" s="65">
        <v>4500</v>
      </c>
      <c r="B311">
        <v>60000</v>
      </c>
      <c r="C311" s="27">
        <v>2</v>
      </c>
      <c r="D311" s="65">
        <v>4</v>
      </c>
      <c r="E311" s="27">
        <v>14</v>
      </c>
      <c r="G311" s="79"/>
      <c r="H311" s="79"/>
      <c r="I311" s="79"/>
      <c r="K311" s="79"/>
      <c r="L311" s="79"/>
      <c r="Q311" s="79">
        <v>308</v>
      </c>
      <c r="R311" s="79">
        <v>2754.9478779514602</v>
      </c>
      <c r="S311" s="79">
        <v>1645.0521220485398</v>
      </c>
    </row>
    <row r="312" spans="1:19" x14ac:dyDescent="0.2">
      <c r="A312" s="51">
        <v>1300</v>
      </c>
      <c r="B312">
        <v>40000</v>
      </c>
      <c r="C312" s="25">
        <v>1</v>
      </c>
      <c r="D312" s="51">
        <v>3</v>
      </c>
      <c r="E312" s="25">
        <v>9</v>
      </c>
      <c r="G312" s="79"/>
      <c r="H312" s="79"/>
      <c r="I312" s="79"/>
      <c r="K312" s="79"/>
      <c r="L312" s="79"/>
      <c r="Q312" s="79">
        <v>309</v>
      </c>
      <c r="R312" s="79">
        <v>938.44894440177973</v>
      </c>
      <c r="S312" s="79">
        <v>-418.44894440177973</v>
      </c>
    </row>
    <row r="313" spans="1:19" x14ac:dyDescent="0.2">
      <c r="A313" s="65">
        <v>3600</v>
      </c>
      <c r="B313">
        <v>40000</v>
      </c>
      <c r="C313" s="27">
        <v>2</v>
      </c>
      <c r="D313" s="65">
        <v>5</v>
      </c>
      <c r="E313" s="27">
        <v>12</v>
      </c>
      <c r="G313" s="79"/>
      <c r="H313" s="79"/>
      <c r="I313" s="79"/>
      <c r="K313" s="79"/>
      <c r="L313" s="79"/>
      <c r="Q313" s="79">
        <v>310</v>
      </c>
      <c r="R313" s="79">
        <v>5969.327939312876</v>
      </c>
      <c r="S313" s="79">
        <v>-1469.327939312876</v>
      </c>
    </row>
    <row r="314" spans="1:19" x14ac:dyDescent="0.2">
      <c r="A314" s="51">
        <v>11000</v>
      </c>
      <c r="B314">
        <v>40000</v>
      </c>
      <c r="C314" s="25">
        <v>2</v>
      </c>
      <c r="D314" s="51">
        <v>5</v>
      </c>
      <c r="E314" s="25">
        <v>7</v>
      </c>
      <c r="G314" s="79"/>
      <c r="H314" s="79"/>
      <c r="I314" s="79"/>
      <c r="K314" s="79"/>
      <c r="L314" s="79"/>
      <c r="Q314" s="79">
        <v>311</v>
      </c>
      <c r="R314" s="79">
        <v>1764.9022521408313</v>
      </c>
      <c r="S314" s="79">
        <v>-464.90225214083125</v>
      </c>
    </row>
    <row r="315" spans="1:19" x14ac:dyDescent="0.2">
      <c r="A315" s="65">
        <v>650</v>
      </c>
      <c r="B315">
        <v>5000</v>
      </c>
      <c r="C315" s="27">
        <v>1</v>
      </c>
      <c r="D315" s="65">
        <v>4</v>
      </c>
      <c r="E315" s="27">
        <v>4</v>
      </c>
      <c r="G315" s="79"/>
      <c r="H315" s="79"/>
      <c r="I315" s="79"/>
      <c r="K315" s="79"/>
      <c r="L315" s="79"/>
      <c r="Q315" s="79">
        <v>312</v>
      </c>
      <c r="R315" s="79">
        <v>5494.32773240605</v>
      </c>
      <c r="S315" s="79">
        <v>-1894.32773240605</v>
      </c>
    </row>
    <row r="316" spans="1:19" x14ac:dyDescent="0.2">
      <c r="A316" s="51">
        <v>1000</v>
      </c>
      <c r="B316">
        <v>40000</v>
      </c>
      <c r="C316" s="25">
        <v>1</v>
      </c>
      <c r="D316" s="51">
        <v>4</v>
      </c>
      <c r="E316" s="25">
        <v>5</v>
      </c>
      <c r="G316" s="79"/>
      <c r="H316" s="79"/>
      <c r="I316" s="79"/>
      <c r="K316" s="79"/>
      <c r="L316" s="79"/>
      <c r="Q316" s="79">
        <v>313</v>
      </c>
      <c r="R316" s="79">
        <v>5055.0113563657687</v>
      </c>
      <c r="S316" s="79">
        <v>5944.9886436342313</v>
      </c>
    </row>
    <row r="317" spans="1:19" x14ac:dyDescent="0.2">
      <c r="A317" s="65">
        <v>420</v>
      </c>
      <c r="B317">
        <v>20000</v>
      </c>
      <c r="C317" s="27">
        <v>1</v>
      </c>
      <c r="D317" s="65">
        <v>4</v>
      </c>
      <c r="E317" s="27">
        <v>3</v>
      </c>
      <c r="G317" s="79"/>
      <c r="H317" s="79"/>
      <c r="I317" s="79"/>
      <c r="K317" s="79"/>
      <c r="L317" s="79"/>
      <c r="Q317" s="79">
        <v>314</v>
      </c>
      <c r="R317" s="79">
        <v>520.60495272612366</v>
      </c>
      <c r="S317" s="79">
        <v>129.39504727387634</v>
      </c>
    </row>
    <row r="318" spans="1:19" x14ac:dyDescent="0.2">
      <c r="A318" s="51">
        <v>10800</v>
      </c>
      <c r="B318">
        <v>60000</v>
      </c>
      <c r="C318" s="25">
        <v>2</v>
      </c>
      <c r="D318" s="51">
        <v>5</v>
      </c>
      <c r="E318" s="25">
        <v>6</v>
      </c>
      <c r="G318" s="79"/>
      <c r="H318" s="79"/>
      <c r="I318" s="79"/>
      <c r="K318" s="79"/>
      <c r="L318" s="79"/>
      <c r="Q318" s="79">
        <v>315</v>
      </c>
      <c r="R318" s="79">
        <v>1788.4518506628419</v>
      </c>
      <c r="S318" s="79">
        <v>-788.45185066284193</v>
      </c>
    </row>
    <row r="319" spans="1:19" x14ac:dyDescent="0.2">
      <c r="A319" s="65">
        <v>4000</v>
      </c>
      <c r="B319">
        <v>60000</v>
      </c>
      <c r="C319" s="27">
        <v>1</v>
      </c>
      <c r="D319" s="65">
        <v>4</v>
      </c>
      <c r="E319" s="27">
        <v>9</v>
      </c>
      <c r="G319" s="79"/>
      <c r="H319" s="79"/>
      <c r="I319" s="79"/>
      <c r="K319" s="79"/>
      <c r="L319" s="79"/>
      <c r="Q319" s="79">
        <v>316</v>
      </c>
      <c r="R319" s="79">
        <v>938.44894440177973</v>
      </c>
      <c r="S319" s="79">
        <v>-518.44894440177973</v>
      </c>
    </row>
    <row r="320" spans="1:19" x14ac:dyDescent="0.2">
      <c r="A320" s="51">
        <v>1000</v>
      </c>
      <c r="B320">
        <v>20000</v>
      </c>
      <c r="C320" s="25">
        <v>1</v>
      </c>
      <c r="D320" s="51">
        <v>6</v>
      </c>
      <c r="E320" s="25">
        <v>7</v>
      </c>
      <c r="G320" s="79"/>
      <c r="H320" s="79"/>
      <c r="I320" s="79"/>
      <c r="K320" s="79"/>
      <c r="L320" s="79"/>
      <c r="Q320" s="79">
        <v>317</v>
      </c>
      <c r="R320" s="79">
        <v>5641.4244370026627</v>
      </c>
      <c r="S320" s="79">
        <v>5158.5755629973373</v>
      </c>
    </row>
    <row r="321" spans="1:19" x14ac:dyDescent="0.2">
      <c r="A321" s="65">
        <v>4000</v>
      </c>
      <c r="B321">
        <v>40000</v>
      </c>
      <c r="C321" s="27">
        <v>2</v>
      </c>
      <c r="D321" s="65">
        <v>5</v>
      </c>
      <c r="E321" s="27">
        <v>5</v>
      </c>
      <c r="G321" s="79"/>
      <c r="H321" s="79"/>
      <c r="I321" s="79"/>
      <c r="K321" s="79"/>
      <c r="L321" s="79"/>
      <c r="Q321" s="79">
        <v>318</v>
      </c>
      <c r="R321" s="79">
        <v>2814.1813073400162</v>
      </c>
      <c r="S321" s="79">
        <v>1185.8186926599838</v>
      </c>
    </row>
    <row r="322" spans="1:19" x14ac:dyDescent="0.2">
      <c r="A322" s="51">
        <v>1300</v>
      </c>
      <c r="B322">
        <v>40000</v>
      </c>
      <c r="C322" s="25">
        <v>1</v>
      </c>
      <c r="D322" s="51">
        <v>5</v>
      </c>
      <c r="E322" s="25">
        <v>8</v>
      </c>
      <c r="G322" s="79"/>
      <c r="H322" s="79"/>
      <c r="I322" s="79"/>
      <c r="K322" s="79"/>
      <c r="L322" s="79"/>
      <c r="Q322" s="79">
        <v>319</v>
      </c>
      <c r="R322" s="79">
        <v>2039.9074439424753</v>
      </c>
      <c r="S322" s="79">
        <v>-1039.9074439424753</v>
      </c>
    </row>
    <row r="323" spans="1:19" x14ac:dyDescent="0.2">
      <c r="A323" s="65">
        <v>390</v>
      </c>
      <c r="B323">
        <v>5000</v>
      </c>
      <c r="C323" s="27">
        <v>1</v>
      </c>
      <c r="D323" s="65">
        <v>4</v>
      </c>
      <c r="E323" s="27">
        <v>2</v>
      </c>
      <c r="G323" s="79"/>
      <c r="H323" s="79"/>
      <c r="I323" s="79"/>
      <c r="K323" s="79"/>
      <c r="L323" s="79"/>
      <c r="Q323" s="79">
        <v>320</v>
      </c>
      <c r="R323" s="79">
        <v>4879.2848059496564</v>
      </c>
      <c r="S323" s="79">
        <v>-879.2848059496564</v>
      </c>
    </row>
    <row r="324" spans="1:19" x14ac:dyDescent="0.2">
      <c r="A324" s="51">
        <v>3000</v>
      </c>
      <c r="B324">
        <v>20000</v>
      </c>
      <c r="C324" s="25">
        <v>1</v>
      </c>
      <c r="D324" s="51">
        <v>5</v>
      </c>
      <c r="E324" s="25">
        <v>11</v>
      </c>
      <c r="G324" s="79"/>
      <c r="H324" s="79"/>
      <c r="I324" s="79"/>
      <c r="K324" s="79"/>
      <c r="L324" s="79"/>
      <c r="Q324" s="79">
        <v>321</v>
      </c>
      <c r="R324" s="79">
        <v>2427.044375641246</v>
      </c>
      <c r="S324" s="79">
        <v>-1127.044375641246</v>
      </c>
    </row>
    <row r="325" spans="1:19" x14ac:dyDescent="0.2">
      <c r="A325" s="65">
        <v>11600</v>
      </c>
      <c r="B325">
        <v>40000</v>
      </c>
      <c r="C325" s="27">
        <v>2</v>
      </c>
      <c r="D325" s="65">
        <v>4</v>
      </c>
      <c r="E325" s="27">
        <v>7</v>
      </c>
      <c r="G325" s="79"/>
      <c r="H325" s="79"/>
      <c r="I325" s="79"/>
      <c r="K325" s="79"/>
      <c r="L325" s="79"/>
      <c r="Q325" s="79">
        <v>322</v>
      </c>
      <c r="R325" s="79">
        <v>344.87840231001121</v>
      </c>
      <c r="S325" s="79">
        <v>45.121597689988789</v>
      </c>
    </row>
    <row r="326" spans="1:19" x14ac:dyDescent="0.2">
      <c r="A326" s="51">
        <v>650</v>
      </c>
      <c r="B326">
        <v>40000</v>
      </c>
      <c r="C326" s="25">
        <v>1</v>
      </c>
      <c r="D326" s="51">
        <v>4</v>
      </c>
      <c r="E326" s="25">
        <v>4</v>
      </c>
      <c r="G326" s="79"/>
      <c r="H326" s="79"/>
      <c r="I326" s="79"/>
      <c r="K326" s="79"/>
      <c r="L326" s="79"/>
      <c r="Q326" s="79">
        <v>323</v>
      </c>
      <c r="R326" s="79">
        <v>2016.3578454204653</v>
      </c>
      <c r="S326" s="79">
        <v>983.64215457953469</v>
      </c>
    </row>
    <row r="327" spans="1:19" x14ac:dyDescent="0.2">
      <c r="A327" s="65">
        <v>4300</v>
      </c>
      <c r="B327">
        <v>60000</v>
      </c>
      <c r="C327" s="27">
        <v>2</v>
      </c>
      <c r="D327" s="65">
        <v>4</v>
      </c>
      <c r="E327" s="27">
        <v>13</v>
      </c>
      <c r="G327" s="79"/>
      <c r="H327" s="79"/>
      <c r="I327" s="79"/>
      <c r="K327" s="79"/>
      <c r="L327" s="79"/>
      <c r="Q327" s="79">
        <v>324</v>
      </c>
      <c r="R327" s="79">
        <v>4680.0086570115327</v>
      </c>
      <c r="S327" s="79">
        <v>6919.9913429884673</v>
      </c>
    </row>
    <row r="328" spans="1:19" x14ac:dyDescent="0.2">
      <c r="A328" s="51">
        <v>850</v>
      </c>
      <c r="B328">
        <v>5000</v>
      </c>
      <c r="C328" s="25">
        <v>1</v>
      </c>
      <c r="D328" s="51">
        <v>4</v>
      </c>
      <c r="E328" s="25">
        <v>6</v>
      </c>
      <c r="G328" s="79"/>
      <c r="H328" s="79"/>
      <c r="I328" s="79"/>
      <c r="K328" s="79"/>
      <c r="L328" s="79"/>
      <c r="Q328" s="79">
        <v>325</v>
      </c>
      <c r="R328" s="79">
        <v>1700.5885754547855</v>
      </c>
      <c r="S328" s="79">
        <v>-1050.5885754547855</v>
      </c>
    </row>
    <row r="329" spans="1:19" x14ac:dyDescent="0.2">
      <c r="A329" s="65">
        <v>3000</v>
      </c>
      <c r="B329">
        <v>40000</v>
      </c>
      <c r="C329" s="27">
        <v>1</v>
      </c>
      <c r="D329" s="65">
        <v>4</v>
      </c>
      <c r="E329" s="27">
        <v>12</v>
      </c>
      <c r="G329" s="79"/>
      <c r="H329" s="79"/>
      <c r="I329" s="79"/>
      <c r="K329" s="79"/>
      <c r="L329" s="79"/>
      <c r="Q329" s="79">
        <v>326</v>
      </c>
      <c r="R329" s="79">
        <v>5881.4646641048203</v>
      </c>
      <c r="S329" s="79">
        <v>-1581.4646641048203</v>
      </c>
    </row>
    <row r="330" spans="1:19" x14ac:dyDescent="0.2">
      <c r="A330" s="51">
        <v>300</v>
      </c>
      <c r="B330">
        <v>20000</v>
      </c>
      <c r="C330" s="25">
        <v>1</v>
      </c>
      <c r="D330" s="51">
        <v>6</v>
      </c>
      <c r="E330" s="25">
        <v>3</v>
      </c>
      <c r="G330" s="79"/>
      <c r="H330" s="79"/>
      <c r="I330" s="79"/>
      <c r="K330" s="79"/>
      <c r="L330" s="79"/>
      <c r="Q330" s="79">
        <v>327</v>
      </c>
      <c r="R330" s="79">
        <v>696.33150314223622</v>
      </c>
      <c r="S330" s="79">
        <v>153.66849685776378</v>
      </c>
    </row>
    <row r="331" spans="1:19" x14ac:dyDescent="0.2">
      <c r="A331" s="65">
        <v>2800</v>
      </c>
      <c r="B331">
        <v>40000</v>
      </c>
      <c r="C331" s="27">
        <v>1</v>
      </c>
      <c r="D331" s="65">
        <v>3</v>
      </c>
      <c r="E331" s="27">
        <v>14</v>
      </c>
      <c r="G331" s="79"/>
      <c r="H331" s="79"/>
      <c r="I331" s="79"/>
      <c r="K331" s="79"/>
      <c r="L331" s="79"/>
      <c r="Q331" s="79">
        <v>328</v>
      </c>
      <c r="R331" s="79">
        <v>2403.4947771192356</v>
      </c>
      <c r="S331" s="79">
        <v>596.50522288076445</v>
      </c>
    </row>
    <row r="332" spans="1:19" x14ac:dyDescent="0.2">
      <c r="A332" s="51">
        <v>900</v>
      </c>
      <c r="B332">
        <v>40000</v>
      </c>
      <c r="C332" s="25">
        <v>1</v>
      </c>
      <c r="D332" s="51">
        <v>4</v>
      </c>
      <c r="E332" s="25">
        <v>7</v>
      </c>
      <c r="G332" s="79"/>
      <c r="H332" s="79"/>
      <c r="I332" s="79"/>
      <c r="K332" s="79"/>
      <c r="L332" s="79"/>
      <c r="Q332" s="79">
        <v>329</v>
      </c>
      <c r="R332" s="79">
        <v>1688.4543431102504</v>
      </c>
      <c r="S332" s="79">
        <v>-1388.4543431102504</v>
      </c>
    </row>
    <row r="333" spans="1:19" x14ac:dyDescent="0.2">
      <c r="A333" s="65">
        <v>4000</v>
      </c>
      <c r="B333">
        <v>40000</v>
      </c>
      <c r="C333" s="27">
        <v>2</v>
      </c>
      <c r="D333" s="65">
        <v>5</v>
      </c>
      <c r="E333" s="27">
        <v>12</v>
      </c>
      <c r="G333" s="79"/>
      <c r="H333" s="79"/>
      <c r="I333" s="79"/>
      <c r="K333" s="79"/>
      <c r="L333" s="79"/>
      <c r="Q333" s="79">
        <v>330</v>
      </c>
      <c r="R333" s="79">
        <v>2204.2186281811123</v>
      </c>
      <c r="S333" s="79">
        <v>595.78137181888769</v>
      </c>
    </row>
    <row r="334" spans="1:19" x14ac:dyDescent="0.2">
      <c r="A334" s="51">
        <v>650</v>
      </c>
      <c r="B334">
        <v>5000</v>
      </c>
      <c r="C334" s="25">
        <v>1</v>
      </c>
      <c r="D334" s="51">
        <v>5</v>
      </c>
      <c r="E334" s="25">
        <v>4</v>
      </c>
      <c r="G334" s="79"/>
      <c r="H334" s="79"/>
      <c r="I334" s="79"/>
      <c r="K334" s="79"/>
      <c r="L334" s="79"/>
      <c r="Q334" s="79">
        <v>331</v>
      </c>
      <c r="R334" s="79">
        <v>1964.1784010789543</v>
      </c>
      <c r="S334" s="79">
        <v>-1064.1784010789543</v>
      </c>
    </row>
    <row r="335" spans="1:19" x14ac:dyDescent="0.2">
      <c r="A335" s="65">
        <v>12000</v>
      </c>
      <c r="B335">
        <v>40000</v>
      </c>
      <c r="C335" s="27">
        <v>2</v>
      </c>
      <c r="D335" s="65">
        <v>4</v>
      </c>
      <c r="E335" s="27">
        <v>8</v>
      </c>
      <c r="G335" s="79"/>
      <c r="H335" s="79"/>
      <c r="I335" s="79"/>
      <c r="K335" s="79"/>
      <c r="L335" s="79"/>
      <c r="Q335" s="79">
        <v>332</v>
      </c>
      <c r="R335" s="79">
        <v>5494.32773240605</v>
      </c>
      <c r="S335" s="79">
        <v>-1494.32773240605</v>
      </c>
    </row>
    <row r="336" spans="1:19" x14ac:dyDescent="0.2">
      <c r="A336" s="51">
        <v>1000</v>
      </c>
      <c r="B336">
        <v>20000</v>
      </c>
      <c r="C336" s="25">
        <v>1</v>
      </c>
      <c r="D336" s="51">
        <v>4</v>
      </c>
      <c r="E336" s="25">
        <v>8</v>
      </c>
      <c r="G336" s="79"/>
      <c r="H336" s="79"/>
      <c r="I336" s="79"/>
      <c r="K336" s="79"/>
      <c r="L336" s="79"/>
      <c r="Q336" s="79">
        <v>333</v>
      </c>
      <c r="R336" s="79">
        <v>895.60765208035923</v>
      </c>
      <c r="S336" s="79">
        <v>-245.60765208035923</v>
      </c>
    </row>
    <row r="337" spans="1:19" x14ac:dyDescent="0.2">
      <c r="A337" s="65">
        <v>3000</v>
      </c>
      <c r="B337">
        <v>60000</v>
      </c>
      <c r="C337" s="27">
        <v>1</v>
      </c>
      <c r="D337" s="65">
        <v>4</v>
      </c>
      <c r="E337" s="27">
        <v>13</v>
      </c>
      <c r="G337" s="79"/>
      <c r="H337" s="79"/>
      <c r="I337" s="79"/>
      <c r="K337" s="79"/>
      <c r="L337" s="79"/>
      <c r="Q337" s="79">
        <v>334</v>
      </c>
      <c r="R337" s="79">
        <v>4767.8719322195893</v>
      </c>
      <c r="S337" s="79">
        <v>7232.1280677804107</v>
      </c>
    </row>
    <row r="338" spans="1:19" x14ac:dyDescent="0.2">
      <c r="A338" s="51">
        <v>850</v>
      </c>
      <c r="B338">
        <v>5000</v>
      </c>
      <c r="C338" s="25">
        <v>1</v>
      </c>
      <c r="D338" s="51">
        <v>5</v>
      </c>
      <c r="E338" s="25">
        <v>6</v>
      </c>
      <c r="G338" s="79"/>
      <c r="H338" s="79"/>
      <c r="I338" s="79"/>
      <c r="K338" s="79"/>
      <c r="L338" s="79"/>
      <c r="Q338" s="79">
        <v>335</v>
      </c>
      <c r="R338" s="79">
        <v>1377.7653204420608</v>
      </c>
      <c r="S338" s="79">
        <v>-377.76532044206078</v>
      </c>
    </row>
    <row r="339" spans="1:19" x14ac:dyDescent="0.2">
      <c r="A339" s="65">
        <v>11800</v>
      </c>
      <c r="B339">
        <v>60000</v>
      </c>
      <c r="C339" s="27">
        <v>2</v>
      </c>
      <c r="D339" s="65">
        <v>5</v>
      </c>
      <c r="E339" s="27">
        <v>7</v>
      </c>
      <c r="G339" s="79"/>
      <c r="H339" s="79"/>
      <c r="I339" s="79"/>
      <c r="K339" s="79"/>
      <c r="L339" s="79"/>
      <c r="Q339" s="79">
        <v>336</v>
      </c>
      <c r="R339" s="79">
        <v>3165.6344081722414</v>
      </c>
      <c r="S339" s="79">
        <v>-165.63440817224136</v>
      </c>
    </row>
    <row r="340" spans="1:19" x14ac:dyDescent="0.2">
      <c r="A340" s="51">
        <v>3000</v>
      </c>
      <c r="B340">
        <v>40000</v>
      </c>
      <c r="C340" s="25">
        <v>1</v>
      </c>
      <c r="D340" s="51">
        <v>5</v>
      </c>
      <c r="E340" s="25">
        <v>15</v>
      </c>
      <c r="G340" s="79"/>
      <c r="H340" s="79"/>
      <c r="I340" s="79"/>
      <c r="K340" s="79"/>
      <c r="L340" s="79"/>
      <c r="Q340" s="79">
        <v>337</v>
      </c>
      <c r="R340" s="79">
        <v>1071.3342024964718</v>
      </c>
      <c r="S340" s="79">
        <v>-221.33420249647179</v>
      </c>
    </row>
    <row r="341" spans="1:19" x14ac:dyDescent="0.2">
      <c r="A341" s="65">
        <v>390</v>
      </c>
      <c r="B341">
        <v>5000</v>
      </c>
      <c r="C341" s="27">
        <v>1</v>
      </c>
      <c r="D341" s="65">
        <v>5</v>
      </c>
      <c r="E341" s="27">
        <v>2</v>
      </c>
      <c r="G341" s="79"/>
      <c r="H341" s="79"/>
      <c r="I341" s="79"/>
      <c r="K341" s="79"/>
      <c r="L341" s="79"/>
      <c r="Q341" s="79">
        <v>338</v>
      </c>
      <c r="R341" s="79">
        <v>5729.2877122107184</v>
      </c>
      <c r="S341" s="79">
        <v>6070.7122877892816</v>
      </c>
    </row>
    <row r="342" spans="1:19" x14ac:dyDescent="0.2">
      <c r="A342" s="51">
        <v>4000</v>
      </c>
      <c r="B342">
        <v>40000</v>
      </c>
      <c r="C342" s="25">
        <v>2</v>
      </c>
      <c r="D342" s="51">
        <v>4</v>
      </c>
      <c r="E342" s="25">
        <v>13</v>
      </c>
      <c r="G342" s="79"/>
      <c r="H342" s="79"/>
      <c r="I342" s="79"/>
      <c r="K342" s="79"/>
      <c r="L342" s="79"/>
      <c r="Q342" s="79">
        <v>339</v>
      </c>
      <c r="R342" s="79">
        <v>3042.0873020976396</v>
      </c>
      <c r="S342" s="79">
        <v>-42.087302097639622</v>
      </c>
    </row>
    <row r="343" spans="1:19" x14ac:dyDescent="0.2">
      <c r="A343" s="65">
        <v>650</v>
      </c>
      <c r="B343">
        <v>40000</v>
      </c>
      <c r="C343" s="27">
        <v>1</v>
      </c>
      <c r="D343" s="65">
        <v>5</v>
      </c>
      <c r="E343" s="27">
        <v>4</v>
      </c>
      <c r="G343" s="79"/>
      <c r="H343" s="79"/>
      <c r="I343" s="79"/>
      <c r="K343" s="79"/>
      <c r="L343" s="79"/>
      <c r="Q343" s="79">
        <v>340</v>
      </c>
      <c r="R343" s="79">
        <v>719.88110166424678</v>
      </c>
      <c r="S343" s="79">
        <v>-329.88110166424678</v>
      </c>
    </row>
    <row r="344" spans="1:19" x14ac:dyDescent="0.2">
      <c r="A344" s="51">
        <v>780</v>
      </c>
      <c r="B344">
        <v>40000</v>
      </c>
      <c r="C344" s="25">
        <v>1</v>
      </c>
      <c r="D344" s="51">
        <v>4</v>
      </c>
      <c r="E344" s="25">
        <v>4</v>
      </c>
      <c r="G344" s="79"/>
      <c r="H344" s="79"/>
      <c r="I344" s="79"/>
      <c r="K344" s="79"/>
      <c r="L344" s="79"/>
      <c r="Q344" s="79">
        <v>341</v>
      </c>
      <c r="R344" s="79">
        <v>5207.1883082598706</v>
      </c>
      <c r="S344" s="79">
        <v>-1207.1883082598706</v>
      </c>
    </row>
    <row r="345" spans="1:19" x14ac:dyDescent="0.2">
      <c r="A345" s="65">
        <v>8300</v>
      </c>
      <c r="B345">
        <v>60000</v>
      </c>
      <c r="C345" s="27">
        <v>1</v>
      </c>
      <c r="D345" s="65">
        <v>4</v>
      </c>
      <c r="E345" s="27">
        <v>6</v>
      </c>
      <c r="G345" s="79"/>
      <c r="H345" s="79"/>
      <c r="I345" s="79"/>
      <c r="K345" s="79"/>
      <c r="L345" s="79"/>
      <c r="Q345" s="79">
        <v>342</v>
      </c>
      <c r="R345" s="79">
        <v>2075.5912748090213</v>
      </c>
      <c r="S345" s="79">
        <v>-1425.5912748090213</v>
      </c>
    </row>
    <row r="346" spans="1:19" x14ac:dyDescent="0.2">
      <c r="A346" s="51">
        <v>4000</v>
      </c>
      <c r="B346">
        <v>40000</v>
      </c>
      <c r="C346" s="25">
        <v>2</v>
      </c>
      <c r="D346" s="51">
        <v>4</v>
      </c>
      <c r="E346" s="25">
        <v>13</v>
      </c>
      <c r="G346" s="79"/>
      <c r="H346" s="79"/>
      <c r="I346" s="79"/>
      <c r="K346" s="79"/>
      <c r="L346" s="79"/>
      <c r="Q346" s="79">
        <v>343</v>
      </c>
      <c r="R346" s="79">
        <v>1700.5885754547855</v>
      </c>
      <c r="S346" s="79">
        <v>-920.58857545478554</v>
      </c>
    </row>
    <row r="347" spans="1:19" x14ac:dyDescent="0.2">
      <c r="A347" s="65">
        <v>520</v>
      </c>
      <c r="B347">
        <v>20000</v>
      </c>
      <c r="C347" s="27">
        <v>1</v>
      </c>
      <c r="D347" s="65">
        <v>5</v>
      </c>
      <c r="E347" s="27">
        <v>4</v>
      </c>
      <c r="G347" s="79"/>
      <c r="H347" s="79"/>
      <c r="I347" s="79"/>
      <c r="K347" s="79"/>
      <c r="L347" s="79"/>
      <c r="Q347" s="79">
        <v>344</v>
      </c>
      <c r="R347" s="79">
        <v>2550.5914817158477</v>
      </c>
      <c r="S347" s="79">
        <v>5749.4085182841518</v>
      </c>
    </row>
    <row r="348" spans="1:19" x14ac:dyDescent="0.2">
      <c r="A348" s="51">
        <v>1500</v>
      </c>
      <c r="B348">
        <v>40000</v>
      </c>
      <c r="C348" s="25">
        <v>1</v>
      </c>
      <c r="D348" s="51">
        <v>5</v>
      </c>
      <c r="E348" s="25">
        <v>11</v>
      </c>
      <c r="G348" s="79"/>
      <c r="H348" s="79"/>
      <c r="I348" s="79"/>
      <c r="K348" s="79"/>
      <c r="L348" s="79"/>
      <c r="Q348" s="79">
        <v>345</v>
      </c>
      <c r="R348" s="79">
        <v>5207.1883082598706</v>
      </c>
      <c r="S348" s="79">
        <v>-1207.1883082598706</v>
      </c>
    </row>
    <row r="349" spans="1:19" x14ac:dyDescent="0.2">
      <c r="A349" s="65">
        <v>330</v>
      </c>
      <c r="B349">
        <v>60000</v>
      </c>
      <c r="C349" s="27">
        <v>2</v>
      </c>
      <c r="D349" s="65">
        <v>4</v>
      </c>
      <c r="E349" s="27">
        <v>10</v>
      </c>
      <c r="G349" s="79"/>
      <c r="H349" s="79"/>
      <c r="I349" s="79"/>
      <c r="K349" s="79"/>
      <c r="L349" s="79"/>
      <c r="Q349" s="79">
        <v>346</v>
      </c>
      <c r="R349" s="79">
        <v>1401.3149189640715</v>
      </c>
      <c r="S349" s="79">
        <v>-881.31491896407147</v>
      </c>
    </row>
    <row r="350" spans="1:19" x14ac:dyDescent="0.2">
      <c r="A350" s="51">
        <v>520</v>
      </c>
      <c r="B350">
        <v>5000</v>
      </c>
      <c r="C350" s="25">
        <v>1</v>
      </c>
      <c r="D350" s="51">
        <v>5</v>
      </c>
      <c r="E350" s="25">
        <v>4</v>
      </c>
      <c r="G350" s="79"/>
      <c r="H350" s="79"/>
      <c r="I350" s="79"/>
      <c r="K350" s="79"/>
      <c r="L350" s="79"/>
      <c r="Q350" s="79">
        <v>347</v>
      </c>
      <c r="R350" s="79">
        <v>2690.634201265415</v>
      </c>
      <c r="S350" s="79">
        <v>-1190.634201265415</v>
      </c>
    </row>
    <row r="351" spans="1:19" x14ac:dyDescent="0.2">
      <c r="A351" s="65">
        <v>9000</v>
      </c>
      <c r="B351">
        <v>40000</v>
      </c>
      <c r="C351" s="27">
        <v>1</v>
      </c>
      <c r="D351" s="65">
        <v>5</v>
      </c>
      <c r="E351" s="27">
        <v>5</v>
      </c>
      <c r="G351" s="79"/>
      <c r="H351" s="79"/>
      <c r="I351" s="79"/>
      <c r="K351" s="79"/>
      <c r="L351" s="79"/>
      <c r="Q351" s="79">
        <v>348</v>
      </c>
      <c r="R351" s="79">
        <v>5617.8748384806513</v>
      </c>
      <c r="S351" s="79">
        <v>-5287.8748384806513</v>
      </c>
    </row>
    <row r="352" spans="1:19" x14ac:dyDescent="0.2">
      <c r="A352" s="51">
        <v>2200</v>
      </c>
      <c r="B352">
        <v>40000</v>
      </c>
      <c r="C352" s="25">
        <v>2</v>
      </c>
      <c r="D352" s="51">
        <v>3</v>
      </c>
      <c r="E352" s="25">
        <v>11</v>
      </c>
      <c r="G352" s="79"/>
      <c r="H352" s="79"/>
      <c r="I352" s="79"/>
      <c r="K352" s="79"/>
      <c r="L352" s="79"/>
      <c r="Q352" s="79">
        <v>349</v>
      </c>
      <c r="R352" s="79">
        <v>895.60765208035923</v>
      </c>
      <c r="S352" s="79">
        <v>-375.60765208035923</v>
      </c>
    </row>
    <row r="353" spans="1:19" x14ac:dyDescent="0.2">
      <c r="A353" s="65">
        <v>1300</v>
      </c>
      <c r="B353">
        <v>20000</v>
      </c>
      <c r="C353" s="27">
        <v>1</v>
      </c>
      <c r="D353" s="65">
        <v>5</v>
      </c>
      <c r="E353" s="27">
        <v>9</v>
      </c>
      <c r="G353" s="79"/>
      <c r="H353" s="79"/>
      <c r="I353" s="79"/>
      <c r="K353" s="79"/>
      <c r="L353" s="79"/>
      <c r="Q353" s="79">
        <v>350</v>
      </c>
      <c r="R353" s="79">
        <v>2163.4545500170775</v>
      </c>
      <c r="S353" s="79">
        <v>6836.5454499829229</v>
      </c>
    </row>
    <row r="354" spans="1:19" x14ac:dyDescent="0.2">
      <c r="A354" s="51">
        <v>520</v>
      </c>
      <c r="B354">
        <v>5000</v>
      </c>
      <c r="C354" s="25">
        <v>1</v>
      </c>
      <c r="D354" s="51">
        <v>5</v>
      </c>
      <c r="E354" s="25">
        <v>3</v>
      </c>
      <c r="G354" s="79"/>
      <c r="H354" s="79"/>
      <c r="I354" s="79"/>
      <c r="K354" s="79"/>
      <c r="L354" s="79"/>
      <c r="Q354" s="79">
        <v>351</v>
      </c>
      <c r="R354" s="79">
        <v>4656.4590584895222</v>
      </c>
      <c r="S354" s="79">
        <v>-2456.4590584895222</v>
      </c>
    </row>
    <row r="355" spans="1:19" x14ac:dyDescent="0.2">
      <c r="A355" s="65">
        <v>3200</v>
      </c>
      <c r="B355">
        <v>60000</v>
      </c>
      <c r="C355" s="27">
        <v>2</v>
      </c>
      <c r="D355" s="65">
        <v>4</v>
      </c>
      <c r="E355" s="27">
        <v>10</v>
      </c>
      <c r="G355" s="79"/>
      <c r="H355" s="79"/>
      <c r="I355" s="79"/>
      <c r="K355" s="79"/>
      <c r="L355" s="79"/>
      <c r="Q355" s="79">
        <v>352</v>
      </c>
      <c r="R355" s="79">
        <v>1840.6312950043528</v>
      </c>
      <c r="S355" s="79">
        <v>-540.63129500435275</v>
      </c>
    </row>
    <row r="356" spans="1:19" x14ac:dyDescent="0.2">
      <c r="A356" s="51">
        <v>910</v>
      </c>
      <c r="B356">
        <v>5000</v>
      </c>
      <c r="C356" s="25">
        <v>1</v>
      </c>
      <c r="D356" s="51">
        <v>4</v>
      </c>
      <c r="E356" s="25">
        <v>4</v>
      </c>
      <c r="G356" s="79"/>
      <c r="H356" s="79"/>
      <c r="I356" s="79"/>
      <c r="K356" s="79"/>
      <c r="L356" s="79"/>
      <c r="Q356" s="79">
        <v>353</v>
      </c>
      <c r="R356" s="79">
        <v>807.74437687230306</v>
      </c>
      <c r="S356" s="79">
        <v>-287.74437687230306</v>
      </c>
    </row>
    <row r="357" spans="1:19" x14ac:dyDescent="0.2">
      <c r="A357" s="65">
        <v>10600</v>
      </c>
      <c r="B357">
        <v>60000</v>
      </c>
      <c r="C357" s="27">
        <v>2</v>
      </c>
      <c r="D357" s="65">
        <v>5</v>
      </c>
      <c r="E357" s="27">
        <v>6</v>
      </c>
      <c r="G357" s="79"/>
      <c r="H357" s="79"/>
      <c r="I357" s="79"/>
      <c r="K357" s="79"/>
      <c r="L357" s="79"/>
      <c r="Q357" s="79">
        <v>354</v>
      </c>
      <c r="R357" s="79">
        <v>5617.8748384806513</v>
      </c>
      <c r="S357" s="79">
        <v>-2417.8748384806513</v>
      </c>
    </row>
    <row r="358" spans="1:19" x14ac:dyDescent="0.2">
      <c r="A358" s="51">
        <v>3900</v>
      </c>
      <c r="B358">
        <v>40000</v>
      </c>
      <c r="C358" s="25">
        <v>1</v>
      </c>
      <c r="D358" s="51">
        <v>4</v>
      </c>
      <c r="E358" s="25">
        <v>13</v>
      </c>
      <c r="G358" s="79"/>
      <c r="H358" s="79"/>
      <c r="I358" s="79"/>
      <c r="K358" s="79"/>
      <c r="L358" s="79"/>
      <c r="Q358" s="79">
        <v>355</v>
      </c>
      <c r="R358" s="79">
        <v>520.60495272612366</v>
      </c>
      <c r="S358" s="79">
        <v>389.39504727387634</v>
      </c>
    </row>
    <row r="359" spans="1:19" x14ac:dyDescent="0.2">
      <c r="A359" s="65">
        <v>350</v>
      </c>
      <c r="B359">
        <v>20000</v>
      </c>
      <c r="C359" s="27">
        <v>1</v>
      </c>
      <c r="D359" s="65">
        <v>5</v>
      </c>
      <c r="E359" s="27">
        <v>2</v>
      </c>
      <c r="G359" s="79"/>
      <c r="H359" s="79"/>
      <c r="I359" s="79"/>
      <c r="K359" s="79"/>
      <c r="L359" s="79"/>
      <c r="Q359" s="79">
        <v>356</v>
      </c>
      <c r="R359" s="79">
        <v>5641.4244370026627</v>
      </c>
      <c r="S359" s="79">
        <v>4958.5755629973373</v>
      </c>
    </row>
    <row r="360" spans="1:19" x14ac:dyDescent="0.2">
      <c r="A360" s="51">
        <v>3700</v>
      </c>
      <c r="B360">
        <v>40000</v>
      </c>
      <c r="C360" s="25">
        <v>2</v>
      </c>
      <c r="D360" s="51">
        <v>4</v>
      </c>
      <c r="E360" s="25">
        <v>11</v>
      </c>
      <c r="G360" s="79"/>
      <c r="H360" s="79"/>
      <c r="I360" s="79"/>
      <c r="K360" s="79"/>
      <c r="L360" s="79"/>
      <c r="Q360" s="79">
        <v>357</v>
      </c>
      <c r="R360" s="79">
        <v>2491.3580523272917</v>
      </c>
      <c r="S360" s="79">
        <v>1408.6419476727083</v>
      </c>
    </row>
    <row r="361" spans="1:19" x14ac:dyDescent="0.2">
      <c r="A361" s="65">
        <v>1300</v>
      </c>
      <c r="B361">
        <v>40000</v>
      </c>
      <c r="C361" s="27">
        <v>1</v>
      </c>
      <c r="D361" s="65">
        <v>4</v>
      </c>
      <c r="E361" s="27">
        <v>8</v>
      </c>
      <c r="G361" s="79"/>
      <c r="H361" s="79"/>
      <c r="I361" s="79"/>
      <c r="K361" s="79"/>
      <c r="L361" s="79"/>
      <c r="Q361" s="79">
        <v>358</v>
      </c>
      <c r="R361" s="79">
        <v>1225.5883685479591</v>
      </c>
      <c r="S361" s="79">
        <v>-875.58836854795913</v>
      </c>
    </row>
    <row r="362" spans="1:19" x14ac:dyDescent="0.2">
      <c r="A362" s="51">
        <v>1000</v>
      </c>
      <c r="B362">
        <v>40000</v>
      </c>
      <c r="C362" s="25">
        <v>1</v>
      </c>
      <c r="D362" s="51">
        <v>5</v>
      </c>
      <c r="E362" s="25">
        <v>8</v>
      </c>
      <c r="G362" s="79"/>
      <c r="H362" s="79"/>
      <c r="I362" s="79"/>
      <c r="K362" s="79"/>
      <c r="L362" s="79"/>
      <c r="Q362" s="79">
        <v>359</v>
      </c>
      <c r="R362" s="79">
        <v>5031.4617578437583</v>
      </c>
      <c r="S362" s="79">
        <v>-1331.4617578437583</v>
      </c>
    </row>
    <row r="363" spans="1:19" x14ac:dyDescent="0.2">
      <c r="A363" s="65">
        <v>780</v>
      </c>
      <c r="B363">
        <v>40000</v>
      </c>
      <c r="C363" s="27">
        <v>1</v>
      </c>
      <c r="D363" s="65">
        <v>4</v>
      </c>
      <c r="E363" s="27">
        <v>4</v>
      </c>
      <c r="G363" s="79"/>
      <c r="H363" s="79"/>
      <c r="I363" s="79"/>
      <c r="K363" s="79"/>
      <c r="L363" s="79"/>
      <c r="Q363" s="79">
        <v>360</v>
      </c>
      <c r="R363" s="79">
        <v>2052.0416762870104</v>
      </c>
      <c r="S363" s="79">
        <v>-752.04167628701043</v>
      </c>
    </row>
    <row r="364" spans="1:19" x14ac:dyDescent="0.2">
      <c r="A364" s="51">
        <v>3800</v>
      </c>
      <c r="B364">
        <v>40000</v>
      </c>
      <c r="C364" s="25">
        <v>2</v>
      </c>
      <c r="D364" s="51">
        <v>4</v>
      </c>
      <c r="E364" s="25">
        <v>11</v>
      </c>
      <c r="G364" s="79"/>
      <c r="H364" s="79"/>
      <c r="I364" s="79"/>
      <c r="K364" s="79"/>
      <c r="L364" s="79"/>
      <c r="Q364" s="79">
        <v>361</v>
      </c>
      <c r="R364" s="79">
        <v>2427.044375641246</v>
      </c>
      <c r="S364" s="79">
        <v>-1427.044375641246</v>
      </c>
    </row>
    <row r="365" spans="1:19" x14ac:dyDescent="0.2">
      <c r="A365" s="65">
        <v>520</v>
      </c>
      <c r="B365">
        <v>40000</v>
      </c>
      <c r="C365" s="27">
        <v>1</v>
      </c>
      <c r="D365" s="65">
        <v>4</v>
      </c>
      <c r="E365" s="27">
        <v>3</v>
      </c>
      <c r="G365" s="79"/>
      <c r="H365" s="79"/>
      <c r="I365" s="79"/>
      <c r="K365" s="79"/>
      <c r="L365" s="79"/>
      <c r="Q365" s="79">
        <v>362</v>
      </c>
      <c r="R365" s="79">
        <v>1700.5885754547855</v>
      </c>
      <c r="S365" s="79">
        <v>-920.58857545478554</v>
      </c>
    </row>
    <row r="366" spans="1:19" x14ac:dyDescent="0.2">
      <c r="A366" s="51">
        <v>900</v>
      </c>
      <c r="B366">
        <v>5000</v>
      </c>
      <c r="C366" s="25">
        <v>1</v>
      </c>
      <c r="D366" s="51">
        <v>4</v>
      </c>
      <c r="E366" s="25">
        <v>4</v>
      </c>
      <c r="G366" s="79"/>
      <c r="H366" s="79"/>
      <c r="I366" s="79"/>
      <c r="K366" s="79"/>
      <c r="L366" s="79"/>
      <c r="Q366" s="79">
        <v>363</v>
      </c>
      <c r="R366" s="79">
        <v>5031.4617578437583</v>
      </c>
      <c r="S366" s="79">
        <v>-1231.4617578437583</v>
      </c>
    </row>
    <row r="367" spans="1:19" x14ac:dyDescent="0.2">
      <c r="A367" s="65">
        <v>9900</v>
      </c>
      <c r="B367">
        <v>40000</v>
      </c>
      <c r="C367" s="27">
        <v>2</v>
      </c>
      <c r="D367" s="65">
        <v>6</v>
      </c>
      <c r="E367" s="27">
        <v>6</v>
      </c>
      <c r="G367" s="79"/>
      <c r="H367" s="79"/>
      <c r="I367" s="79"/>
      <c r="K367" s="79"/>
      <c r="L367" s="79"/>
      <c r="Q367" s="79">
        <v>364</v>
      </c>
      <c r="R367" s="79">
        <v>1612.7253002467294</v>
      </c>
      <c r="S367" s="79">
        <v>-1092.7253002467294</v>
      </c>
    </row>
    <row r="368" spans="1:19" x14ac:dyDescent="0.2">
      <c r="A368" s="51">
        <v>11430</v>
      </c>
      <c r="B368">
        <v>40000</v>
      </c>
      <c r="C368" s="25">
        <v>1</v>
      </c>
      <c r="D368" s="51">
        <v>3</v>
      </c>
      <c r="E368" s="25">
        <v>10</v>
      </c>
      <c r="G368" s="79"/>
      <c r="H368" s="79"/>
      <c r="I368" s="79"/>
      <c r="K368" s="79"/>
      <c r="L368" s="79"/>
      <c r="Q368" s="79">
        <v>365</v>
      </c>
      <c r="R368" s="79">
        <v>520.60495272612366</v>
      </c>
      <c r="S368" s="79">
        <v>379.39504727387634</v>
      </c>
    </row>
    <row r="369" spans="1:19" x14ac:dyDescent="0.2">
      <c r="A369" s="65">
        <v>390</v>
      </c>
      <c r="B369">
        <v>40000</v>
      </c>
      <c r="C369" s="27">
        <v>1</v>
      </c>
      <c r="D369" s="65">
        <v>5</v>
      </c>
      <c r="E369" s="27">
        <v>3</v>
      </c>
      <c r="G369" s="79"/>
      <c r="H369" s="79"/>
      <c r="I369" s="79"/>
      <c r="K369" s="79"/>
      <c r="L369" s="79"/>
      <c r="Q369" s="79">
        <v>366</v>
      </c>
      <c r="R369" s="79">
        <v>5342.1507805119472</v>
      </c>
      <c r="S369" s="79">
        <v>4557.8492194880528</v>
      </c>
    </row>
    <row r="370" spans="1:19" x14ac:dyDescent="0.2">
      <c r="A370" s="51">
        <v>4000</v>
      </c>
      <c r="B370">
        <v>40000</v>
      </c>
      <c r="C370" s="25">
        <v>2</v>
      </c>
      <c r="D370" s="51">
        <v>5</v>
      </c>
      <c r="E370" s="25">
        <v>12</v>
      </c>
      <c r="G370" s="79"/>
      <c r="H370" s="79"/>
      <c r="I370" s="79"/>
      <c r="K370" s="79"/>
      <c r="L370" s="79"/>
      <c r="Q370" s="79">
        <v>367</v>
      </c>
      <c r="R370" s="79">
        <v>1852.7655273488874</v>
      </c>
      <c r="S370" s="79">
        <v>9577.2344726511128</v>
      </c>
    </row>
    <row r="371" spans="1:19" x14ac:dyDescent="0.2">
      <c r="A371" s="65">
        <v>2900</v>
      </c>
      <c r="B371">
        <v>60000</v>
      </c>
      <c r="C371" s="27">
        <v>1</v>
      </c>
      <c r="D371" s="65">
        <v>4</v>
      </c>
      <c r="E371" s="27">
        <v>9</v>
      </c>
      <c r="G371" s="79"/>
      <c r="H371" s="79"/>
      <c r="I371" s="79"/>
      <c r="K371" s="79"/>
      <c r="L371" s="79"/>
      <c r="Q371" s="79">
        <v>368</v>
      </c>
      <c r="R371" s="79">
        <v>1987.7279996009649</v>
      </c>
      <c r="S371" s="79">
        <v>-1597.7279996009649</v>
      </c>
    </row>
    <row r="372" spans="1:19" x14ac:dyDescent="0.2">
      <c r="A372" s="51">
        <v>1070</v>
      </c>
      <c r="B372">
        <v>40000</v>
      </c>
      <c r="C372" s="25">
        <v>1</v>
      </c>
      <c r="D372" s="51">
        <v>4</v>
      </c>
      <c r="E372" s="25">
        <v>7</v>
      </c>
      <c r="G372" s="79"/>
      <c r="H372" s="79"/>
      <c r="I372" s="79"/>
      <c r="K372" s="79"/>
      <c r="L372" s="79"/>
      <c r="Q372" s="79">
        <v>369</v>
      </c>
      <c r="R372" s="79">
        <v>5494.32773240605</v>
      </c>
      <c r="S372" s="79">
        <v>-1494.32773240605</v>
      </c>
    </row>
    <row r="373" spans="1:19" x14ac:dyDescent="0.2">
      <c r="A373" s="65">
        <v>1300</v>
      </c>
      <c r="B373">
        <v>5000</v>
      </c>
      <c r="C373" s="27">
        <v>1</v>
      </c>
      <c r="D373" s="65">
        <v>4</v>
      </c>
      <c r="E373" s="27">
        <v>5</v>
      </c>
      <c r="G373" s="79"/>
      <c r="H373" s="79"/>
      <c r="I373" s="79"/>
      <c r="K373" s="79"/>
      <c r="L373" s="79"/>
      <c r="Q373" s="79">
        <v>370</v>
      </c>
      <c r="R373" s="79">
        <v>2814.1813073400162</v>
      </c>
      <c r="S373" s="79">
        <v>85.818692659983753</v>
      </c>
    </row>
    <row r="374" spans="1:19" x14ac:dyDescent="0.2">
      <c r="A374" s="51">
        <v>2400</v>
      </c>
      <c r="B374">
        <v>40000</v>
      </c>
      <c r="C374" s="25">
        <v>2</v>
      </c>
      <c r="D374" s="51">
        <v>4</v>
      </c>
      <c r="E374" s="25">
        <v>7</v>
      </c>
      <c r="G374" s="79"/>
      <c r="H374" s="79"/>
      <c r="I374" s="79"/>
      <c r="K374" s="79"/>
      <c r="L374" s="79"/>
      <c r="Q374" s="79">
        <v>371</v>
      </c>
      <c r="R374" s="79">
        <v>1964.1784010789543</v>
      </c>
      <c r="S374" s="79">
        <v>-894.17840107895427</v>
      </c>
    </row>
    <row r="375" spans="1:19" x14ac:dyDescent="0.2">
      <c r="A375" s="65">
        <v>1700</v>
      </c>
      <c r="B375">
        <v>40000</v>
      </c>
      <c r="C375" s="27">
        <v>1</v>
      </c>
      <c r="D375" s="65">
        <v>5</v>
      </c>
      <c r="E375" s="27">
        <v>7</v>
      </c>
      <c r="G375" s="79"/>
      <c r="H375" s="79"/>
      <c r="I375" s="79"/>
      <c r="K375" s="79"/>
      <c r="L375" s="79"/>
      <c r="Q375" s="79">
        <v>372</v>
      </c>
      <c r="R375" s="79">
        <v>608.46822793417994</v>
      </c>
      <c r="S375" s="79">
        <v>691.53177206582006</v>
      </c>
    </row>
    <row r="376" spans="1:19" x14ac:dyDescent="0.2">
      <c r="A376" s="51">
        <v>6500</v>
      </c>
      <c r="B376">
        <v>40000</v>
      </c>
      <c r="C376" s="25">
        <v>1</v>
      </c>
      <c r="D376" s="51">
        <v>4</v>
      </c>
      <c r="E376" s="25">
        <v>12</v>
      </c>
      <c r="G376" s="79"/>
      <c r="H376" s="79"/>
      <c r="I376" s="79"/>
      <c r="K376" s="79"/>
      <c r="L376" s="79"/>
      <c r="Q376" s="79">
        <v>373</v>
      </c>
      <c r="R376" s="79">
        <v>4680.0086570115327</v>
      </c>
      <c r="S376" s="79">
        <v>-2280.0086570115327</v>
      </c>
    </row>
    <row r="377" spans="1:19" x14ac:dyDescent="0.2">
      <c r="A377" s="65">
        <v>900</v>
      </c>
      <c r="B377">
        <v>5000</v>
      </c>
      <c r="C377" s="27">
        <v>1</v>
      </c>
      <c r="D377" s="65">
        <v>5</v>
      </c>
      <c r="E377" s="27">
        <v>3</v>
      </c>
      <c r="G377" s="79"/>
      <c r="H377" s="79"/>
      <c r="I377" s="79"/>
      <c r="K377" s="79"/>
      <c r="L377" s="79"/>
      <c r="Q377" s="79">
        <v>374</v>
      </c>
      <c r="R377" s="79">
        <v>2339.1811004331898</v>
      </c>
      <c r="S377" s="79">
        <v>-639.18110043318984</v>
      </c>
    </row>
    <row r="378" spans="1:19" x14ac:dyDescent="0.2">
      <c r="A378" s="51">
        <v>2000</v>
      </c>
      <c r="B378">
        <v>60000</v>
      </c>
      <c r="C378" s="25">
        <v>1</v>
      </c>
      <c r="D378" s="51">
        <v>5</v>
      </c>
      <c r="E378" s="25">
        <v>6</v>
      </c>
      <c r="G378" s="79"/>
      <c r="H378" s="79"/>
      <c r="I378" s="79"/>
      <c r="K378" s="79"/>
      <c r="L378" s="79"/>
      <c r="Q378" s="79">
        <v>375</v>
      </c>
      <c r="R378" s="79">
        <v>2403.4947771192356</v>
      </c>
      <c r="S378" s="79">
        <v>4096.5052228807644</v>
      </c>
    </row>
    <row r="379" spans="1:19" x14ac:dyDescent="0.2">
      <c r="A379" s="65">
        <v>2600</v>
      </c>
      <c r="B379">
        <v>40000</v>
      </c>
      <c r="C379" s="27">
        <v>1</v>
      </c>
      <c r="D379" s="65">
        <v>4</v>
      </c>
      <c r="E379" s="27">
        <v>7</v>
      </c>
      <c r="G379" s="79"/>
      <c r="H379" s="79"/>
      <c r="I379" s="79"/>
      <c r="K379" s="79"/>
      <c r="L379" s="79"/>
      <c r="Q379" s="79">
        <v>376</v>
      </c>
      <c r="R379" s="79">
        <v>807.74437687230306</v>
      </c>
      <c r="S379" s="79">
        <v>92.255623127696936</v>
      </c>
    </row>
    <row r="380" spans="1:19" x14ac:dyDescent="0.2">
      <c r="A380" s="51">
        <v>2200</v>
      </c>
      <c r="B380">
        <v>60000</v>
      </c>
      <c r="C380" s="25">
        <v>2</v>
      </c>
      <c r="D380" s="51">
        <v>6</v>
      </c>
      <c r="E380" s="25">
        <v>6</v>
      </c>
      <c r="G380" s="79"/>
      <c r="H380" s="79"/>
      <c r="I380" s="79"/>
      <c r="K380" s="79"/>
      <c r="L380" s="79"/>
      <c r="Q380" s="79">
        <v>377</v>
      </c>
      <c r="R380" s="79">
        <v>2925.5941810700833</v>
      </c>
      <c r="S380" s="79">
        <v>-925.59418107008332</v>
      </c>
    </row>
    <row r="381" spans="1:19" x14ac:dyDescent="0.2">
      <c r="A381" s="65">
        <v>3800</v>
      </c>
      <c r="B381">
        <v>40000</v>
      </c>
      <c r="C381" s="27">
        <v>1</v>
      </c>
      <c r="D381" s="65">
        <v>5</v>
      </c>
      <c r="E381" s="27">
        <v>13</v>
      </c>
      <c r="G381" s="79"/>
      <c r="H381" s="79"/>
      <c r="I381" s="79"/>
      <c r="K381" s="79"/>
      <c r="L381" s="79"/>
      <c r="Q381" s="79">
        <v>378</v>
      </c>
      <c r="R381" s="79">
        <v>1964.1784010789543</v>
      </c>
      <c r="S381" s="79">
        <v>635.82159892104573</v>
      </c>
    </row>
    <row r="382" spans="1:19" x14ac:dyDescent="0.2">
      <c r="A382" s="51">
        <v>520</v>
      </c>
      <c r="B382">
        <v>5000</v>
      </c>
      <c r="C382" s="25">
        <v>1</v>
      </c>
      <c r="D382" s="51">
        <v>4</v>
      </c>
      <c r="E382" s="25">
        <v>3</v>
      </c>
      <c r="G382" s="79"/>
      <c r="H382" s="79"/>
      <c r="I382" s="79"/>
      <c r="K382" s="79"/>
      <c r="L382" s="79"/>
      <c r="Q382" s="79">
        <v>379</v>
      </c>
      <c r="R382" s="79">
        <v>6016.4271363568969</v>
      </c>
      <c r="S382" s="79">
        <v>-3816.4271363568969</v>
      </c>
    </row>
    <row r="383" spans="1:19" x14ac:dyDescent="0.2">
      <c r="A383" s="65">
        <v>11000</v>
      </c>
      <c r="B383">
        <v>60000</v>
      </c>
      <c r="C383" s="27">
        <v>2</v>
      </c>
      <c r="D383" s="65">
        <v>5</v>
      </c>
      <c r="E383" s="27">
        <v>6</v>
      </c>
      <c r="G383" s="79"/>
      <c r="H383" s="79"/>
      <c r="I383" s="79"/>
      <c r="K383" s="79"/>
      <c r="L383" s="79"/>
      <c r="Q383" s="79">
        <v>380</v>
      </c>
      <c r="R383" s="79">
        <v>2866.3607516815273</v>
      </c>
      <c r="S383" s="79">
        <v>933.63924831847271</v>
      </c>
    </row>
    <row r="384" spans="1:19" x14ac:dyDescent="0.2">
      <c r="A384" s="51">
        <v>1000</v>
      </c>
      <c r="B384">
        <v>40000</v>
      </c>
      <c r="C384" s="25">
        <v>1</v>
      </c>
      <c r="D384" s="51">
        <v>3</v>
      </c>
      <c r="E384" s="25">
        <v>7</v>
      </c>
      <c r="G384" s="79"/>
      <c r="H384" s="79"/>
      <c r="I384" s="79"/>
      <c r="K384" s="79"/>
      <c r="L384" s="79"/>
      <c r="Q384" s="79">
        <v>381</v>
      </c>
      <c r="R384" s="79">
        <v>432.74167751806749</v>
      </c>
      <c r="S384" s="79">
        <v>87.25832248193251</v>
      </c>
    </row>
    <row r="385" spans="1:19" x14ac:dyDescent="0.2">
      <c r="A385" s="65">
        <v>9400</v>
      </c>
      <c r="B385">
        <v>40000</v>
      </c>
      <c r="C385" s="27">
        <v>1</v>
      </c>
      <c r="D385" s="65">
        <v>5</v>
      </c>
      <c r="E385" s="27">
        <v>6</v>
      </c>
      <c r="G385" s="79"/>
      <c r="H385" s="79"/>
      <c r="I385" s="79"/>
      <c r="K385" s="79"/>
      <c r="L385" s="79"/>
      <c r="Q385" s="79">
        <v>382</v>
      </c>
      <c r="R385" s="79">
        <v>5641.4244370026627</v>
      </c>
      <c r="S385" s="79">
        <v>5358.5755629973373</v>
      </c>
    </row>
    <row r="386" spans="1:19" x14ac:dyDescent="0.2">
      <c r="A386" s="51">
        <v>6800</v>
      </c>
      <c r="B386">
        <v>40000</v>
      </c>
      <c r="C386" s="25">
        <v>1</v>
      </c>
      <c r="D386" s="51">
        <v>5</v>
      </c>
      <c r="E386" s="25">
        <v>5</v>
      </c>
      <c r="G386" s="79"/>
      <c r="H386" s="79"/>
      <c r="I386" s="79"/>
      <c r="K386" s="79"/>
      <c r="L386" s="79"/>
      <c r="Q386" s="79">
        <v>383</v>
      </c>
      <c r="R386" s="79">
        <v>1589.1757017247187</v>
      </c>
      <c r="S386" s="79">
        <v>-589.17570172471869</v>
      </c>
    </row>
    <row r="387" spans="1:19" x14ac:dyDescent="0.2">
      <c r="A387" s="65">
        <v>4000</v>
      </c>
      <c r="B387">
        <v>40000</v>
      </c>
      <c r="C387" s="27">
        <v>2</v>
      </c>
      <c r="D387" s="65">
        <v>4</v>
      </c>
      <c r="E387" s="27">
        <v>12</v>
      </c>
      <c r="G387" s="79"/>
      <c r="H387" s="79"/>
      <c r="I387" s="79"/>
      <c r="K387" s="79"/>
      <c r="L387" s="79"/>
      <c r="Q387" s="79">
        <v>384</v>
      </c>
      <c r="R387" s="79">
        <v>2251.3178252251337</v>
      </c>
      <c r="S387" s="79">
        <v>7148.6821747748663</v>
      </c>
    </row>
    <row r="388" spans="1:19" x14ac:dyDescent="0.2">
      <c r="A388" s="51">
        <v>390</v>
      </c>
      <c r="B388">
        <v>20000</v>
      </c>
      <c r="C388" s="25">
        <v>1</v>
      </c>
      <c r="D388" s="51">
        <v>5</v>
      </c>
      <c r="E388" s="25">
        <v>2</v>
      </c>
      <c r="G388" s="79"/>
      <c r="H388" s="79"/>
      <c r="I388" s="79"/>
      <c r="K388" s="79"/>
      <c r="L388" s="79"/>
      <c r="Q388" s="79">
        <v>385</v>
      </c>
      <c r="R388" s="79">
        <v>2163.4545500170775</v>
      </c>
      <c r="S388" s="79">
        <v>4636.5454499829229</v>
      </c>
    </row>
    <row r="389" spans="1:19" x14ac:dyDescent="0.2">
      <c r="A389" s="65">
        <v>3900</v>
      </c>
      <c r="B389">
        <v>60000</v>
      </c>
      <c r="C389" s="27">
        <v>2</v>
      </c>
      <c r="D389" s="65">
        <v>4</v>
      </c>
      <c r="E389" s="27">
        <v>12</v>
      </c>
      <c r="G389" s="79"/>
      <c r="H389" s="79"/>
      <c r="I389" s="79"/>
      <c r="K389" s="79"/>
      <c r="L389" s="79"/>
      <c r="Q389" s="79">
        <v>386</v>
      </c>
      <c r="R389" s="79">
        <v>5119.3250330518149</v>
      </c>
      <c r="S389" s="79">
        <v>-1119.3250330518149</v>
      </c>
    </row>
    <row r="390" spans="1:19" x14ac:dyDescent="0.2">
      <c r="A390" s="51">
        <v>1070</v>
      </c>
      <c r="B390">
        <v>40000</v>
      </c>
      <c r="C390" s="25">
        <v>1</v>
      </c>
      <c r="D390" s="51">
        <v>5</v>
      </c>
      <c r="E390" s="25">
        <v>8</v>
      </c>
      <c r="G390" s="79"/>
      <c r="H390" s="79"/>
      <c r="I390" s="79"/>
      <c r="K390" s="79"/>
      <c r="L390" s="79"/>
      <c r="Q390" s="79">
        <v>387</v>
      </c>
      <c r="R390" s="79">
        <v>1225.5883685479591</v>
      </c>
      <c r="S390" s="79">
        <v>-835.58836854795913</v>
      </c>
    </row>
    <row r="391" spans="1:19" x14ac:dyDescent="0.2">
      <c r="A391" s="65">
        <v>1300</v>
      </c>
      <c r="B391">
        <v>40000</v>
      </c>
      <c r="C391" s="27">
        <v>1</v>
      </c>
      <c r="D391" s="65">
        <v>4</v>
      </c>
      <c r="E391" s="27">
        <v>8</v>
      </c>
      <c r="G391" s="79"/>
      <c r="H391" s="79"/>
      <c r="I391" s="79"/>
      <c r="K391" s="79"/>
      <c r="L391" s="79"/>
      <c r="Q391" s="79">
        <v>388</v>
      </c>
      <c r="R391" s="79">
        <v>5793.6013888967636</v>
      </c>
      <c r="S391" s="79">
        <v>-1893.6013888967636</v>
      </c>
    </row>
    <row r="392" spans="1:19" x14ac:dyDescent="0.2">
      <c r="A392" s="51">
        <v>1300</v>
      </c>
      <c r="B392">
        <v>60000</v>
      </c>
      <c r="C392" s="25">
        <v>2</v>
      </c>
      <c r="D392" s="51">
        <v>4</v>
      </c>
      <c r="E392" s="25">
        <v>6</v>
      </c>
      <c r="G392" s="79"/>
      <c r="H392" s="79"/>
      <c r="I392" s="79"/>
      <c r="K392" s="79"/>
      <c r="L392" s="79"/>
      <c r="Q392" s="79">
        <v>389</v>
      </c>
      <c r="R392" s="79">
        <v>2427.044375641246</v>
      </c>
      <c r="S392" s="79">
        <v>-1357.044375641246</v>
      </c>
    </row>
    <row r="393" spans="1:19" x14ac:dyDescent="0.2">
      <c r="A393" s="65">
        <v>650</v>
      </c>
      <c r="B393">
        <v>40000</v>
      </c>
      <c r="C393" s="27">
        <v>1</v>
      </c>
      <c r="D393" s="65">
        <v>5</v>
      </c>
      <c r="E393" s="27">
        <v>4</v>
      </c>
      <c r="G393" s="79"/>
      <c r="H393" s="79"/>
      <c r="I393" s="79"/>
      <c r="K393" s="79"/>
      <c r="L393" s="79"/>
      <c r="Q393" s="79">
        <v>390</v>
      </c>
      <c r="R393" s="79">
        <v>2052.0416762870104</v>
      </c>
      <c r="S393" s="79">
        <v>-752.04167628701043</v>
      </c>
    </row>
    <row r="394" spans="1:19" x14ac:dyDescent="0.2">
      <c r="A394" s="51">
        <v>520</v>
      </c>
      <c r="B394">
        <v>40000</v>
      </c>
      <c r="C394" s="25">
        <v>1</v>
      </c>
      <c r="D394" s="51">
        <v>4</v>
      </c>
      <c r="E394" s="25">
        <v>4</v>
      </c>
      <c r="G394" s="79"/>
      <c r="H394" s="79"/>
      <c r="I394" s="79"/>
      <c r="K394" s="79"/>
      <c r="L394" s="79"/>
      <c r="Q394" s="79">
        <v>391</v>
      </c>
      <c r="R394" s="79">
        <v>5266.4217376484266</v>
      </c>
      <c r="S394" s="79">
        <v>-3966.4217376484266</v>
      </c>
    </row>
    <row r="395" spans="1:19" x14ac:dyDescent="0.2">
      <c r="A395" s="65">
        <v>390</v>
      </c>
      <c r="B395">
        <v>20000</v>
      </c>
      <c r="C395" s="27">
        <v>1</v>
      </c>
      <c r="D395" s="65">
        <v>5</v>
      </c>
      <c r="E395" s="27">
        <v>2</v>
      </c>
      <c r="G395" s="79"/>
      <c r="H395" s="79"/>
      <c r="I395" s="79"/>
      <c r="K395" s="79"/>
      <c r="L395" s="79"/>
      <c r="Q395" s="79">
        <v>392</v>
      </c>
      <c r="R395" s="79">
        <v>2075.5912748090213</v>
      </c>
      <c r="S395" s="79">
        <v>-1425.5912748090213</v>
      </c>
    </row>
    <row r="396" spans="1:19" x14ac:dyDescent="0.2">
      <c r="A396" s="51">
        <v>4500</v>
      </c>
      <c r="B396">
        <v>60000</v>
      </c>
      <c r="C396" s="25">
        <v>3</v>
      </c>
      <c r="D396" s="51">
        <v>4</v>
      </c>
      <c r="E396" s="25">
        <v>10</v>
      </c>
      <c r="G396" s="79"/>
      <c r="H396" s="79"/>
      <c r="I396" s="79"/>
      <c r="K396" s="79"/>
      <c r="L396" s="79"/>
      <c r="Q396" s="79">
        <v>393</v>
      </c>
      <c r="R396" s="79">
        <v>1700.5885754547855</v>
      </c>
      <c r="S396" s="79">
        <v>-1180.5885754547855</v>
      </c>
    </row>
    <row r="397" spans="1:19" x14ac:dyDescent="0.2">
      <c r="A397" s="65">
        <v>1430</v>
      </c>
      <c r="B397">
        <v>40000</v>
      </c>
      <c r="C397" s="27">
        <v>1</v>
      </c>
      <c r="D397" s="65">
        <v>5</v>
      </c>
      <c r="E397" s="27">
        <v>9</v>
      </c>
      <c r="G397" s="79"/>
      <c r="H397" s="79"/>
      <c r="I397" s="79"/>
      <c r="K397" s="79"/>
      <c r="L397" s="79"/>
      <c r="Q397" s="79">
        <v>394</v>
      </c>
      <c r="R397" s="79">
        <v>1225.5883685479591</v>
      </c>
      <c r="S397" s="79">
        <v>-835.58836854795913</v>
      </c>
    </row>
    <row r="398" spans="1:19" x14ac:dyDescent="0.2">
      <c r="A398" s="51">
        <v>260</v>
      </c>
      <c r="B398">
        <v>20000</v>
      </c>
      <c r="C398" s="25">
        <v>1</v>
      </c>
      <c r="D398" s="51">
        <v>5</v>
      </c>
      <c r="E398" s="25">
        <v>2</v>
      </c>
      <c r="G398" s="79"/>
      <c r="H398" s="79"/>
      <c r="I398" s="79"/>
      <c r="K398" s="79"/>
      <c r="L398" s="79"/>
      <c r="Q398" s="79">
        <v>395</v>
      </c>
      <c r="R398" s="79">
        <v>8333.7050944132316</v>
      </c>
      <c r="S398" s="79">
        <v>-3833.7050944132316</v>
      </c>
    </row>
    <row r="399" spans="1:19" x14ac:dyDescent="0.2">
      <c r="A399" s="65">
        <v>1560</v>
      </c>
      <c r="B399">
        <v>5000</v>
      </c>
      <c r="C399" s="27">
        <v>1</v>
      </c>
      <c r="D399" s="65">
        <v>4</v>
      </c>
      <c r="E399" s="27">
        <v>10</v>
      </c>
      <c r="G399" s="79"/>
      <c r="H399" s="79"/>
      <c r="I399" s="79"/>
      <c r="K399" s="79"/>
      <c r="L399" s="79"/>
      <c r="Q399" s="79">
        <v>396</v>
      </c>
      <c r="R399" s="79">
        <v>2514.9076508493026</v>
      </c>
      <c r="S399" s="79">
        <v>-1084.9076508493026</v>
      </c>
    </row>
    <row r="400" spans="1:19" x14ac:dyDescent="0.2">
      <c r="A400" s="51">
        <v>1690</v>
      </c>
      <c r="B400">
        <v>40000</v>
      </c>
      <c r="C400" s="25">
        <v>1</v>
      </c>
      <c r="D400" s="51">
        <v>5</v>
      </c>
      <c r="E400" s="25">
        <v>11</v>
      </c>
      <c r="G400" s="79"/>
      <c r="H400" s="79"/>
      <c r="I400" s="79"/>
      <c r="K400" s="79"/>
      <c r="L400" s="79"/>
      <c r="Q400" s="79">
        <v>397</v>
      </c>
      <c r="R400" s="79">
        <v>1225.5883685479591</v>
      </c>
      <c r="S400" s="79">
        <v>-965.58836854795913</v>
      </c>
    </row>
    <row r="401" spans="1:19" x14ac:dyDescent="0.2">
      <c r="A401" s="65">
        <v>390</v>
      </c>
      <c r="B401">
        <v>20000</v>
      </c>
      <c r="C401" s="27">
        <v>1</v>
      </c>
      <c r="D401" s="65">
        <v>5</v>
      </c>
      <c r="E401" s="27">
        <v>2</v>
      </c>
      <c r="G401" s="79"/>
      <c r="H401" s="79"/>
      <c r="I401" s="79"/>
      <c r="K401" s="79"/>
      <c r="L401" s="79"/>
      <c r="Q401" s="79">
        <v>398</v>
      </c>
      <c r="R401" s="79">
        <v>1047.7846039744611</v>
      </c>
      <c r="S401" s="79">
        <v>512.21539602553889</v>
      </c>
    </row>
    <row r="402" spans="1:19" x14ac:dyDescent="0.2">
      <c r="A402" s="51">
        <v>3600</v>
      </c>
      <c r="B402">
        <v>40000</v>
      </c>
      <c r="C402" s="25">
        <v>2</v>
      </c>
      <c r="D402" s="51">
        <v>4</v>
      </c>
      <c r="E402" s="25">
        <v>11</v>
      </c>
      <c r="G402" s="79"/>
      <c r="H402" s="79"/>
      <c r="I402" s="79"/>
      <c r="K402" s="79"/>
      <c r="L402" s="79"/>
      <c r="Q402" s="79">
        <v>399</v>
      </c>
      <c r="R402" s="79">
        <v>2690.634201265415</v>
      </c>
      <c r="S402" s="79">
        <v>-1000.634201265415</v>
      </c>
    </row>
    <row r="403" spans="1:19" x14ac:dyDescent="0.2">
      <c r="A403" s="65">
        <v>650</v>
      </c>
      <c r="B403">
        <v>40000</v>
      </c>
      <c r="C403" s="27">
        <v>1</v>
      </c>
      <c r="D403" s="65">
        <v>5</v>
      </c>
      <c r="E403" s="27">
        <v>4</v>
      </c>
      <c r="G403" s="79"/>
      <c r="H403" s="79"/>
      <c r="I403" s="79"/>
      <c r="K403" s="79"/>
      <c r="L403" s="79"/>
      <c r="Q403" s="79">
        <v>400</v>
      </c>
      <c r="R403" s="79">
        <v>1225.5883685479591</v>
      </c>
      <c r="S403" s="79">
        <v>-835.58836854795913</v>
      </c>
    </row>
    <row r="404" spans="1:19" x14ac:dyDescent="0.2">
      <c r="A404" s="51">
        <v>9600</v>
      </c>
      <c r="B404">
        <v>85000</v>
      </c>
      <c r="C404" s="25">
        <v>1</v>
      </c>
      <c r="D404" s="51">
        <v>6</v>
      </c>
      <c r="E404" s="25">
        <v>30</v>
      </c>
      <c r="G404" s="79"/>
      <c r="H404" s="79"/>
      <c r="I404" s="79"/>
      <c r="K404" s="79"/>
      <c r="L404" s="79"/>
      <c r="Q404" s="79">
        <v>401</v>
      </c>
      <c r="R404" s="79">
        <v>5031.4617578437583</v>
      </c>
      <c r="S404" s="79">
        <v>-1431.4617578437583</v>
      </c>
    </row>
    <row r="405" spans="1:19" x14ac:dyDescent="0.2">
      <c r="A405" s="65">
        <v>1430</v>
      </c>
      <c r="B405">
        <v>5000</v>
      </c>
      <c r="C405" s="27">
        <v>1</v>
      </c>
      <c r="D405" s="65">
        <v>4</v>
      </c>
      <c r="E405" s="27">
        <v>9</v>
      </c>
      <c r="G405" s="79"/>
      <c r="H405" s="79"/>
      <c r="I405" s="79"/>
      <c r="K405" s="79"/>
      <c r="L405" s="79"/>
      <c r="Q405" s="79">
        <v>402</v>
      </c>
      <c r="R405" s="79">
        <v>2075.5912748090213</v>
      </c>
      <c r="S405" s="79">
        <v>-1425.5912748090213</v>
      </c>
    </row>
    <row r="406" spans="1:19" x14ac:dyDescent="0.2">
      <c r="A406" s="51">
        <v>9200</v>
      </c>
      <c r="B406">
        <v>60000</v>
      </c>
      <c r="C406" s="25">
        <v>2</v>
      </c>
      <c r="D406" s="51">
        <v>5</v>
      </c>
      <c r="E406" s="25">
        <v>5</v>
      </c>
      <c r="G406" s="79"/>
      <c r="H406" s="79"/>
      <c r="I406" s="79"/>
      <c r="K406" s="79"/>
      <c r="L406" s="79"/>
      <c r="Q406" s="79">
        <v>403</v>
      </c>
      <c r="R406" s="79">
        <v>6252.1609302238558</v>
      </c>
      <c r="S406" s="79">
        <v>3347.8390697761442</v>
      </c>
    </row>
    <row r="407" spans="1:19" x14ac:dyDescent="0.2">
      <c r="A407" s="65">
        <v>520</v>
      </c>
      <c r="B407">
        <v>5000</v>
      </c>
      <c r="C407" s="27">
        <v>1</v>
      </c>
      <c r="D407" s="65">
        <v>5</v>
      </c>
      <c r="E407" s="27">
        <v>3</v>
      </c>
      <c r="G407" s="79"/>
      <c r="H407" s="79"/>
      <c r="I407" s="79"/>
      <c r="K407" s="79"/>
      <c r="L407" s="79"/>
      <c r="Q407" s="79">
        <v>404</v>
      </c>
      <c r="R407" s="79">
        <v>959.92132876640494</v>
      </c>
      <c r="S407" s="79">
        <v>470.07867123359506</v>
      </c>
    </row>
    <row r="408" spans="1:19" x14ac:dyDescent="0.2">
      <c r="A408" s="51">
        <v>1560</v>
      </c>
      <c r="B408">
        <v>40000</v>
      </c>
      <c r="C408" s="25">
        <v>1</v>
      </c>
      <c r="D408" s="51">
        <v>5</v>
      </c>
      <c r="E408" s="25">
        <v>6</v>
      </c>
      <c r="G408" s="79"/>
      <c r="H408" s="79"/>
      <c r="I408" s="79"/>
      <c r="K408" s="79"/>
      <c r="L408" s="79"/>
      <c r="Q408" s="79">
        <v>405</v>
      </c>
      <c r="R408" s="79">
        <v>5553.5611617946061</v>
      </c>
      <c r="S408" s="79">
        <v>3646.4388382053939</v>
      </c>
    </row>
    <row r="409" spans="1:19" x14ac:dyDescent="0.2">
      <c r="A409" s="65">
        <v>390</v>
      </c>
      <c r="B409">
        <v>20000</v>
      </c>
      <c r="C409" s="27">
        <v>1</v>
      </c>
      <c r="D409" s="65">
        <v>5</v>
      </c>
      <c r="E409" s="27">
        <v>2</v>
      </c>
      <c r="G409" s="79"/>
      <c r="H409" s="79"/>
      <c r="I409" s="79"/>
      <c r="K409" s="79"/>
      <c r="L409" s="79"/>
      <c r="Q409" s="79">
        <v>406</v>
      </c>
      <c r="R409" s="79">
        <v>807.74437687230306</v>
      </c>
      <c r="S409" s="79">
        <v>-287.74437687230306</v>
      </c>
    </row>
    <row r="410" spans="1:19" x14ac:dyDescent="0.2">
      <c r="A410" s="51">
        <v>1820</v>
      </c>
      <c r="B410">
        <v>20000</v>
      </c>
      <c r="C410" s="25">
        <v>1</v>
      </c>
      <c r="D410" s="51">
        <v>5</v>
      </c>
      <c r="E410" s="25">
        <v>12</v>
      </c>
      <c r="G410" s="79"/>
      <c r="H410" s="79"/>
      <c r="I410" s="79"/>
      <c r="K410" s="79"/>
      <c r="L410" s="79"/>
      <c r="Q410" s="79">
        <v>407</v>
      </c>
      <c r="R410" s="79">
        <v>2251.3178252251337</v>
      </c>
      <c r="S410" s="79">
        <v>-691.31782522513367</v>
      </c>
    </row>
    <row r="411" spans="1:19" x14ac:dyDescent="0.2">
      <c r="A411" s="65">
        <v>260</v>
      </c>
      <c r="B411">
        <v>20000</v>
      </c>
      <c r="C411" s="27">
        <v>1</v>
      </c>
      <c r="D411" s="65">
        <v>5</v>
      </c>
      <c r="E411" s="27">
        <v>2</v>
      </c>
      <c r="G411" s="79"/>
      <c r="H411" s="79"/>
      <c r="I411" s="79"/>
      <c r="K411" s="79"/>
      <c r="L411" s="79"/>
      <c r="Q411" s="79">
        <v>408</v>
      </c>
      <c r="R411" s="79">
        <v>1225.5883685479591</v>
      </c>
      <c r="S411" s="79">
        <v>-835.58836854795913</v>
      </c>
    </row>
    <row r="412" spans="1:19" x14ac:dyDescent="0.2">
      <c r="A412" s="51">
        <v>3900</v>
      </c>
      <c r="B412">
        <v>60000</v>
      </c>
      <c r="C412" s="25">
        <v>2</v>
      </c>
      <c r="D412" s="51">
        <v>4</v>
      </c>
      <c r="E412" s="25">
        <v>12</v>
      </c>
      <c r="G412" s="79"/>
      <c r="H412" s="79"/>
      <c r="I412" s="79"/>
      <c r="K412" s="79"/>
      <c r="L412" s="79"/>
      <c r="Q412" s="79">
        <v>409</v>
      </c>
      <c r="R412" s="79">
        <v>2104.2211206285215</v>
      </c>
      <c r="S412" s="79">
        <v>-284.22112062852148</v>
      </c>
    </row>
    <row r="413" spans="1:19" x14ac:dyDescent="0.2">
      <c r="A413" s="65">
        <v>390</v>
      </c>
      <c r="B413">
        <v>20000</v>
      </c>
      <c r="C413" s="27">
        <v>1</v>
      </c>
      <c r="D413" s="65">
        <v>5</v>
      </c>
      <c r="E413" s="27">
        <v>2</v>
      </c>
      <c r="G413" s="79"/>
      <c r="H413" s="79"/>
      <c r="I413" s="79"/>
      <c r="K413" s="79"/>
      <c r="L413" s="79"/>
      <c r="Q413" s="79">
        <v>410</v>
      </c>
      <c r="R413" s="79">
        <v>1225.5883685479591</v>
      </c>
      <c r="S413" s="79">
        <v>-965.58836854795913</v>
      </c>
    </row>
    <row r="414" spans="1:19" x14ac:dyDescent="0.2">
      <c r="A414" s="51">
        <v>1690</v>
      </c>
      <c r="B414">
        <v>5000</v>
      </c>
      <c r="C414" s="25">
        <v>1</v>
      </c>
      <c r="D414" s="51">
        <v>4</v>
      </c>
      <c r="E414" s="25">
        <v>11</v>
      </c>
      <c r="G414" s="79"/>
      <c r="H414" s="79"/>
      <c r="I414" s="79"/>
      <c r="K414" s="79"/>
      <c r="L414" s="79"/>
      <c r="Q414" s="79">
        <v>411</v>
      </c>
      <c r="R414" s="79">
        <v>5793.6013888967636</v>
      </c>
      <c r="S414" s="79">
        <v>-1893.6013888967636</v>
      </c>
    </row>
    <row r="415" spans="1:19" x14ac:dyDescent="0.2">
      <c r="A415" s="65">
        <v>11000</v>
      </c>
      <c r="B415">
        <v>40000</v>
      </c>
      <c r="C415" s="27">
        <v>2</v>
      </c>
      <c r="D415" s="65">
        <v>6</v>
      </c>
      <c r="E415" s="27">
        <v>6</v>
      </c>
      <c r="G415" s="79"/>
      <c r="H415" s="79"/>
      <c r="I415" s="79"/>
      <c r="K415" s="79"/>
      <c r="L415" s="79"/>
      <c r="Q415" s="79">
        <v>412</v>
      </c>
      <c r="R415" s="79">
        <v>1225.5883685479591</v>
      </c>
      <c r="S415" s="79">
        <v>-835.58836854795913</v>
      </c>
    </row>
    <row r="416" spans="1:19" x14ac:dyDescent="0.2">
      <c r="A416" s="51">
        <v>650</v>
      </c>
      <c r="B416">
        <v>40000</v>
      </c>
      <c r="C416" s="25">
        <v>1</v>
      </c>
      <c r="D416" s="51">
        <v>3</v>
      </c>
      <c r="E416" s="25">
        <v>4</v>
      </c>
      <c r="G416" s="79"/>
      <c r="H416" s="79"/>
      <c r="I416" s="79"/>
      <c r="K416" s="79"/>
      <c r="L416" s="79"/>
      <c r="Q416" s="79">
        <v>413</v>
      </c>
      <c r="R416" s="79">
        <v>1135.6478791825175</v>
      </c>
      <c r="S416" s="79">
        <v>554.3521208174825</v>
      </c>
    </row>
    <row r="417" spans="1:19" x14ac:dyDescent="0.2">
      <c r="A417" s="65">
        <v>4400</v>
      </c>
      <c r="B417">
        <v>85000</v>
      </c>
      <c r="C417" s="27">
        <v>3</v>
      </c>
      <c r="D417" s="65">
        <v>4</v>
      </c>
      <c r="E417" s="27">
        <v>12</v>
      </c>
      <c r="G417" s="79"/>
      <c r="H417" s="79"/>
      <c r="I417" s="79"/>
      <c r="K417" s="79"/>
      <c r="L417" s="79"/>
      <c r="Q417" s="79">
        <v>414</v>
      </c>
      <c r="R417" s="79">
        <v>5342.1507805119472</v>
      </c>
      <c r="S417" s="79">
        <v>5657.8492194880528</v>
      </c>
    </row>
    <row r="418" spans="1:19" x14ac:dyDescent="0.2">
      <c r="A418" s="51">
        <v>390</v>
      </c>
      <c r="B418">
        <v>20000</v>
      </c>
      <c r="C418" s="25">
        <v>1</v>
      </c>
      <c r="D418" s="51">
        <v>6</v>
      </c>
      <c r="E418" s="25">
        <v>2</v>
      </c>
      <c r="G418" s="79"/>
      <c r="H418" s="79"/>
      <c r="I418" s="79"/>
      <c r="K418" s="79"/>
      <c r="L418" s="79"/>
      <c r="Q418" s="79">
        <v>415</v>
      </c>
      <c r="R418" s="79">
        <v>1325.58587610055</v>
      </c>
      <c r="S418" s="79">
        <v>-675.58587610054997</v>
      </c>
    </row>
    <row r="419" spans="1:19" x14ac:dyDescent="0.2">
      <c r="A419" s="65">
        <v>4000</v>
      </c>
      <c r="B419">
        <v>60000</v>
      </c>
      <c r="C419" s="27">
        <v>1</v>
      </c>
      <c r="D419" s="65">
        <v>4</v>
      </c>
      <c r="E419" s="27">
        <v>14</v>
      </c>
      <c r="G419" s="79"/>
      <c r="H419" s="79"/>
      <c r="I419" s="79"/>
      <c r="K419" s="79"/>
      <c r="L419" s="79"/>
      <c r="Q419" s="79">
        <v>416</v>
      </c>
      <c r="R419" s="79">
        <v>9352.2770896355323</v>
      </c>
      <c r="S419" s="79">
        <v>-4952.2770896355323</v>
      </c>
    </row>
    <row r="420" spans="1:19" x14ac:dyDescent="0.2">
      <c r="A420" s="51">
        <v>1430</v>
      </c>
      <c r="B420">
        <v>40000</v>
      </c>
      <c r="C420" s="25">
        <v>1</v>
      </c>
      <c r="D420" s="51">
        <v>3</v>
      </c>
      <c r="E420" s="25">
        <v>9</v>
      </c>
      <c r="G420" s="79"/>
      <c r="H420" s="79"/>
      <c r="I420" s="79"/>
      <c r="K420" s="79"/>
      <c r="L420" s="79"/>
      <c r="Q420" s="79">
        <v>417</v>
      </c>
      <c r="R420" s="79">
        <v>1600.5910679021943</v>
      </c>
      <c r="S420" s="79">
        <v>-1210.5910679021943</v>
      </c>
    </row>
    <row r="421" spans="1:19" x14ac:dyDescent="0.2">
      <c r="A421" s="65">
        <v>9400</v>
      </c>
      <c r="B421">
        <v>40000</v>
      </c>
      <c r="C421" s="27">
        <v>3</v>
      </c>
      <c r="D421" s="65">
        <v>5</v>
      </c>
      <c r="E421" s="27">
        <v>7</v>
      </c>
      <c r="G421" s="79"/>
      <c r="H421" s="79"/>
      <c r="I421" s="79"/>
      <c r="K421" s="79"/>
      <c r="L421" s="79"/>
      <c r="Q421" s="79">
        <v>418</v>
      </c>
      <c r="R421" s="79">
        <v>3253.4976833802975</v>
      </c>
      <c r="S421" s="79">
        <v>746.50231661970247</v>
      </c>
    </row>
    <row r="422" spans="1:19" x14ac:dyDescent="0.2">
      <c r="A422" s="51">
        <v>8800</v>
      </c>
      <c r="B422">
        <v>40000</v>
      </c>
      <c r="C422" s="25">
        <v>2</v>
      </c>
      <c r="D422" s="51">
        <v>5</v>
      </c>
      <c r="E422" s="25">
        <v>5</v>
      </c>
      <c r="G422" s="79"/>
      <c r="H422" s="79"/>
      <c r="I422" s="79"/>
      <c r="K422" s="79"/>
      <c r="L422" s="79"/>
      <c r="Q422" s="79">
        <v>419</v>
      </c>
      <c r="R422" s="79">
        <v>1764.9022521408313</v>
      </c>
      <c r="S422" s="79">
        <v>-334.90225214083125</v>
      </c>
    </row>
    <row r="423" spans="1:19" x14ac:dyDescent="0.2">
      <c r="A423" s="65">
        <v>520</v>
      </c>
      <c r="B423">
        <v>5000</v>
      </c>
      <c r="C423" s="27">
        <v>1</v>
      </c>
      <c r="D423" s="65">
        <v>4</v>
      </c>
      <c r="E423" s="27">
        <v>3</v>
      </c>
      <c r="G423" s="79"/>
      <c r="H423" s="79"/>
      <c r="I423" s="79"/>
      <c r="K423" s="79"/>
      <c r="L423" s="79"/>
      <c r="Q423" s="79">
        <v>420</v>
      </c>
      <c r="R423" s="79">
        <v>7770.8416122983481</v>
      </c>
      <c r="S423" s="79">
        <v>1629.1583877016519</v>
      </c>
    </row>
    <row r="424" spans="1:19" x14ac:dyDescent="0.2">
      <c r="A424" s="51">
        <v>3700</v>
      </c>
      <c r="B424">
        <v>60000</v>
      </c>
      <c r="C424" s="25">
        <v>2</v>
      </c>
      <c r="D424" s="51">
        <v>4</v>
      </c>
      <c r="E424" s="25">
        <v>11</v>
      </c>
      <c r="G424" s="79"/>
      <c r="H424" s="79"/>
      <c r="I424" s="79"/>
      <c r="K424" s="79"/>
      <c r="L424" s="79"/>
      <c r="Q424" s="79">
        <v>421</v>
      </c>
      <c r="R424" s="79">
        <v>4879.2848059496564</v>
      </c>
      <c r="S424" s="79">
        <v>3920.7151940503436</v>
      </c>
    </row>
    <row r="425" spans="1:19" x14ac:dyDescent="0.2">
      <c r="A425" s="65">
        <v>9200</v>
      </c>
      <c r="B425">
        <v>40000</v>
      </c>
      <c r="C425" s="27">
        <v>1</v>
      </c>
      <c r="D425" s="65">
        <v>6</v>
      </c>
      <c r="E425" s="27">
        <v>6</v>
      </c>
      <c r="G425" s="79"/>
      <c r="H425" s="79"/>
      <c r="I425" s="79"/>
      <c r="K425" s="79"/>
      <c r="L425" s="79"/>
      <c r="Q425" s="79">
        <v>422</v>
      </c>
      <c r="R425" s="79">
        <v>432.74167751806749</v>
      </c>
      <c r="S425" s="79">
        <v>87.25832248193251</v>
      </c>
    </row>
    <row r="426" spans="1:19" x14ac:dyDescent="0.2">
      <c r="A426" s="51">
        <v>780</v>
      </c>
      <c r="B426">
        <v>60000</v>
      </c>
      <c r="C426" s="25">
        <v>1</v>
      </c>
      <c r="D426" s="51">
        <v>6</v>
      </c>
      <c r="E426" s="25">
        <v>3</v>
      </c>
      <c r="G426" s="79"/>
      <c r="H426" s="79"/>
      <c r="I426" s="79"/>
      <c r="K426" s="79"/>
      <c r="L426" s="79"/>
      <c r="Q426" s="79">
        <v>423</v>
      </c>
      <c r="R426" s="79">
        <v>5705.738113688707</v>
      </c>
      <c r="S426" s="79">
        <v>-2005.738113688707</v>
      </c>
    </row>
    <row r="427" spans="1:19" x14ac:dyDescent="0.2">
      <c r="A427" s="65">
        <v>780</v>
      </c>
      <c r="B427">
        <v>40000</v>
      </c>
      <c r="C427" s="27">
        <v>1</v>
      </c>
      <c r="D427" s="65">
        <v>5</v>
      </c>
      <c r="E427" s="27">
        <v>4</v>
      </c>
      <c r="G427" s="79"/>
      <c r="H427" s="79"/>
      <c r="I427" s="79"/>
      <c r="K427" s="79"/>
      <c r="L427" s="79"/>
      <c r="Q427" s="79">
        <v>424</v>
      </c>
      <c r="R427" s="79">
        <v>2626.3205245793688</v>
      </c>
      <c r="S427" s="79">
        <v>6573.6794754206312</v>
      </c>
    </row>
    <row r="428" spans="1:19" x14ac:dyDescent="0.2">
      <c r="A428" s="51">
        <v>1180</v>
      </c>
      <c r="B428">
        <v>5000</v>
      </c>
      <c r="C428" s="25">
        <v>1</v>
      </c>
      <c r="D428" s="51">
        <v>5</v>
      </c>
      <c r="E428" s="25">
        <v>9</v>
      </c>
      <c r="G428" s="79"/>
      <c r="H428" s="79"/>
      <c r="I428" s="79"/>
      <c r="K428" s="79"/>
      <c r="L428" s="79"/>
      <c r="Q428" s="79">
        <v>425</v>
      </c>
      <c r="R428" s="79">
        <v>3037.0070548001495</v>
      </c>
      <c r="S428" s="79">
        <v>-2257.0070548001495</v>
      </c>
    </row>
    <row r="429" spans="1:19" x14ac:dyDescent="0.2">
      <c r="A429" s="65">
        <v>3600</v>
      </c>
      <c r="B429">
        <v>60000</v>
      </c>
      <c r="C429" s="27">
        <v>2</v>
      </c>
      <c r="D429" s="65">
        <v>5</v>
      </c>
      <c r="E429" s="27">
        <v>13</v>
      </c>
      <c r="G429" s="79"/>
      <c r="H429" s="79"/>
      <c r="I429" s="79"/>
      <c r="K429" s="79"/>
      <c r="L429" s="79"/>
      <c r="Q429" s="79">
        <v>426</v>
      </c>
      <c r="R429" s="79">
        <v>2075.5912748090213</v>
      </c>
      <c r="S429" s="79">
        <v>-1295.5912748090213</v>
      </c>
    </row>
    <row r="430" spans="1:19" x14ac:dyDescent="0.2">
      <c r="A430" s="51">
        <v>520</v>
      </c>
      <c r="B430">
        <v>20000</v>
      </c>
      <c r="C430" s="25">
        <v>1</v>
      </c>
      <c r="D430" s="51">
        <v>5</v>
      </c>
      <c r="E430" s="25">
        <v>3</v>
      </c>
      <c r="G430" s="79"/>
      <c r="H430" s="79"/>
      <c r="I430" s="79"/>
      <c r="K430" s="79"/>
      <c r="L430" s="79"/>
      <c r="Q430" s="79">
        <v>427</v>
      </c>
      <c r="R430" s="79">
        <v>1334.9240281206405</v>
      </c>
      <c r="S430" s="79">
        <v>-154.92402812064051</v>
      </c>
    </row>
    <row r="431" spans="1:19" x14ac:dyDescent="0.2">
      <c r="A431" s="65">
        <v>2080</v>
      </c>
      <c r="B431">
        <v>60000</v>
      </c>
      <c r="C431" s="27">
        <v>1</v>
      </c>
      <c r="D431" s="65">
        <v>5</v>
      </c>
      <c r="E431" s="27">
        <v>12</v>
      </c>
      <c r="G431" s="79"/>
      <c r="H431" s="79"/>
      <c r="I431" s="79"/>
      <c r="K431" s="79"/>
      <c r="L431" s="79"/>
      <c r="Q431" s="79">
        <v>428</v>
      </c>
      <c r="R431" s="79">
        <v>6256.4673634590563</v>
      </c>
      <c r="S431" s="79">
        <v>-2656.4673634590563</v>
      </c>
    </row>
    <row r="432" spans="1:19" x14ac:dyDescent="0.2">
      <c r="A432" s="51">
        <v>390</v>
      </c>
      <c r="B432">
        <v>40000</v>
      </c>
      <c r="C432" s="25">
        <v>1</v>
      </c>
      <c r="D432" s="51">
        <v>5</v>
      </c>
      <c r="E432" s="25">
        <v>4</v>
      </c>
      <c r="G432" s="79"/>
      <c r="H432" s="79"/>
      <c r="I432" s="79"/>
      <c r="K432" s="79"/>
      <c r="L432" s="79"/>
      <c r="Q432" s="79">
        <v>429</v>
      </c>
      <c r="R432" s="79">
        <v>1313.4516437560153</v>
      </c>
      <c r="S432" s="79">
        <v>-793.4516437560153</v>
      </c>
    </row>
    <row r="433" spans="1:19" x14ac:dyDescent="0.2">
      <c r="A433" s="65">
        <v>4350</v>
      </c>
      <c r="B433">
        <v>40000</v>
      </c>
      <c r="C433" s="27">
        <v>1</v>
      </c>
      <c r="D433" s="65">
        <v>6</v>
      </c>
      <c r="E433" s="27">
        <v>15</v>
      </c>
      <c r="G433" s="79"/>
      <c r="H433" s="79"/>
      <c r="I433" s="79"/>
      <c r="K433" s="79"/>
      <c r="L433" s="79"/>
      <c r="Q433" s="79">
        <v>430</v>
      </c>
      <c r="R433" s="79">
        <v>3452.7738323184208</v>
      </c>
      <c r="S433" s="79">
        <v>-1372.7738323184208</v>
      </c>
    </row>
    <row r="434" spans="1:19" x14ac:dyDescent="0.2">
      <c r="A434" s="51">
        <v>520</v>
      </c>
      <c r="B434">
        <v>5000</v>
      </c>
      <c r="C434" s="25">
        <v>1</v>
      </c>
      <c r="D434" s="51">
        <v>5</v>
      </c>
      <c r="E434" s="25">
        <v>3</v>
      </c>
      <c r="G434" s="79"/>
      <c r="H434" s="79"/>
      <c r="I434" s="79"/>
      <c r="K434" s="79"/>
      <c r="L434" s="79"/>
      <c r="Q434" s="79">
        <v>431</v>
      </c>
      <c r="R434" s="79">
        <v>2075.5912748090213</v>
      </c>
      <c r="S434" s="79">
        <v>-1685.5912748090213</v>
      </c>
    </row>
    <row r="435" spans="1:19" x14ac:dyDescent="0.2">
      <c r="A435" s="65">
        <v>11430</v>
      </c>
      <c r="B435">
        <v>40000</v>
      </c>
      <c r="C435" s="27">
        <v>1</v>
      </c>
      <c r="D435" s="65">
        <v>5</v>
      </c>
      <c r="E435" s="27">
        <v>9</v>
      </c>
      <c r="G435" s="79"/>
      <c r="H435" s="79"/>
      <c r="I435" s="79"/>
      <c r="K435" s="79"/>
      <c r="L435" s="79"/>
      <c r="Q435" s="79">
        <v>432</v>
      </c>
      <c r="R435" s="79">
        <v>3417.0900014518747</v>
      </c>
      <c r="S435" s="79">
        <v>932.90999854812526</v>
      </c>
    </row>
    <row r="436" spans="1:19" x14ac:dyDescent="0.2">
      <c r="A436" s="51">
        <v>900</v>
      </c>
      <c r="B436">
        <v>40000</v>
      </c>
      <c r="C436" s="25">
        <v>1</v>
      </c>
      <c r="D436" s="51">
        <v>5</v>
      </c>
      <c r="E436" s="25">
        <v>6</v>
      </c>
      <c r="G436" s="79"/>
      <c r="H436" s="79"/>
      <c r="I436" s="79"/>
      <c r="K436" s="79"/>
      <c r="L436" s="79"/>
      <c r="Q436" s="79">
        <v>433</v>
      </c>
      <c r="R436" s="79">
        <v>807.74437687230306</v>
      </c>
      <c r="S436" s="79">
        <v>-287.74437687230306</v>
      </c>
    </row>
    <row r="437" spans="1:19" x14ac:dyDescent="0.2">
      <c r="A437" s="65">
        <v>910</v>
      </c>
      <c r="B437">
        <v>40000</v>
      </c>
      <c r="C437" s="27">
        <v>1</v>
      </c>
      <c r="D437" s="65">
        <v>4</v>
      </c>
      <c r="E437" s="27">
        <v>5</v>
      </c>
      <c r="G437" s="79"/>
      <c r="H437" s="79"/>
      <c r="I437" s="79"/>
      <c r="K437" s="79"/>
      <c r="L437" s="79"/>
      <c r="Q437" s="79">
        <v>434</v>
      </c>
      <c r="R437" s="79">
        <v>2514.9076508493026</v>
      </c>
      <c r="S437" s="79">
        <v>8915.0923491506983</v>
      </c>
    </row>
    <row r="438" spans="1:19" x14ac:dyDescent="0.2">
      <c r="A438" s="51">
        <v>1560</v>
      </c>
      <c r="B438">
        <v>5000</v>
      </c>
      <c r="C438" s="25">
        <v>1</v>
      </c>
      <c r="D438" s="51">
        <v>5</v>
      </c>
      <c r="E438" s="25">
        <v>10</v>
      </c>
      <c r="G438" s="79"/>
      <c r="H438" s="79"/>
      <c r="I438" s="79"/>
      <c r="K438" s="79"/>
      <c r="L438" s="79"/>
      <c r="Q438" s="79">
        <v>435</v>
      </c>
      <c r="R438" s="79">
        <v>2251.3178252251337</v>
      </c>
      <c r="S438" s="79">
        <v>-1351.3178252251337</v>
      </c>
    </row>
    <row r="439" spans="1:19" x14ac:dyDescent="0.2">
      <c r="A439" s="65">
        <v>4160</v>
      </c>
      <c r="B439">
        <v>60000</v>
      </c>
      <c r="C439" s="27">
        <v>2</v>
      </c>
      <c r="D439" s="65">
        <v>5</v>
      </c>
      <c r="E439" s="27">
        <v>15</v>
      </c>
      <c r="G439" s="79"/>
      <c r="H439" s="79"/>
      <c r="I439" s="79"/>
      <c r="K439" s="79"/>
      <c r="L439" s="79"/>
      <c r="Q439" s="79">
        <v>436</v>
      </c>
      <c r="R439" s="79">
        <v>1788.4518506628419</v>
      </c>
      <c r="S439" s="79">
        <v>-878.45185066284193</v>
      </c>
    </row>
    <row r="440" spans="1:19" x14ac:dyDescent="0.2">
      <c r="A440" s="51">
        <v>520</v>
      </c>
      <c r="B440">
        <v>5000</v>
      </c>
      <c r="C440" s="25">
        <v>1</v>
      </c>
      <c r="D440" s="51">
        <v>5</v>
      </c>
      <c r="E440" s="25">
        <v>3</v>
      </c>
      <c r="G440" s="79"/>
      <c r="H440" s="79"/>
      <c r="I440" s="79"/>
      <c r="K440" s="79"/>
      <c r="L440" s="79"/>
      <c r="Q440" s="79">
        <v>437</v>
      </c>
      <c r="R440" s="79">
        <v>1422.7873033286967</v>
      </c>
      <c r="S440" s="79">
        <v>137.21269667130332</v>
      </c>
    </row>
    <row r="441" spans="1:19" x14ac:dyDescent="0.2">
      <c r="A441" s="65">
        <v>1560</v>
      </c>
      <c r="B441">
        <v>40000</v>
      </c>
      <c r="C441" s="27">
        <v>1</v>
      </c>
      <c r="D441" s="65">
        <v>5</v>
      </c>
      <c r="E441" s="27">
        <v>12</v>
      </c>
      <c r="G441" s="79"/>
      <c r="H441" s="79"/>
      <c r="I441" s="79"/>
      <c r="K441" s="79"/>
      <c r="L441" s="79"/>
      <c r="Q441" s="79">
        <v>438</v>
      </c>
      <c r="R441" s="79">
        <v>6432.1939138751686</v>
      </c>
      <c r="S441" s="79">
        <v>-2272.1939138751686</v>
      </c>
    </row>
    <row r="442" spans="1:19" x14ac:dyDescent="0.2">
      <c r="A442" s="51">
        <v>390</v>
      </c>
      <c r="B442">
        <v>5000</v>
      </c>
      <c r="C442" s="25">
        <v>1</v>
      </c>
      <c r="D442" s="51">
        <v>5</v>
      </c>
      <c r="E442" s="25">
        <v>2</v>
      </c>
      <c r="G442" s="79"/>
      <c r="H442" s="79"/>
      <c r="I442" s="79"/>
      <c r="K442" s="79"/>
      <c r="L442" s="79"/>
      <c r="Q442" s="79">
        <v>439</v>
      </c>
      <c r="R442" s="79">
        <v>807.74437687230306</v>
      </c>
      <c r="S442" s="79">
        <v>-287.74437687230306</v>
      </c>
    </row>
    <row r="443" spans="1:19" x14ac:dyDescent="0.2">
      <c r="A443" s="65">
        <v>4550</v>
      </c>
      <c r="B443">
        <v>40000</v>
      </c>
      <c r="C443" s="27">
        <v>1</v>
      </c>
      <c r="D443" s="65">
        <v>4</v>
      </c>
      <c r="E443" s="27">
        <v>16</v>
      </c>
      <c r="G443" s="79"/>
      <c r="H443" s="79"/>
      <c r="I443" s="79"/>
      <c r="K443" s="79"/>
      <c r="L443" s="79"/>
      <c r="Q443" s="79">
        <v>440</v>
      </c>
      <c r="R443" s="79">
        <v>2778.4974764734711</v>
      </c>
      <c r="S443" s="79">
        <v>-1218.4974764734711</v>
      </c>
    </row>
    <row r="444" spans="1:19" x14ac:dyDescent="0.2">
      <c r="A444" s="51">
        <v>650</v>
      </c>
      <c r="B444">
        <v>40000</v>
      </c>
      <c r="C444" s="25">
        <v>1</v>
      </c>
      <c r="D444" s="51">
        <v>4</v>
      </c>
      <c r="E444" s="25">
        <v>4</v>
      </c>
      <c r="G444" s="79"/>
      <c r="H444" s="79"/>
      <c r="I444" s="79"/>
      <c r="K444" s="79"/>
      <c r="L444" s="79"/>
      <c r="Q444" s="79">
        <v>441</v>
      </c>
      <c r="R444" s="79">
        <v>719.88110166424678</v>
      </c>
      <c r="S444" s="79">
        <v>-329.88110166424678</v>
      </c>
    </row>
    <row r="445" spans="1:19" x14ac:dyDescent="0.2">
      <c r="A445" s="65">
        <v>1430</v>
      </c>
      <c r="B445">
        <v>60000</v>
      </c>
      <c r="C445" s="27">
        <v>2</v>
      </c>
      <c r="D445" s="65">
        <v>4</v>
      </c>
      <c r="E445" s="27">
        <v>6</v>
      </c>
      <c r="G445" s="79"/>
      <c r="H445" s="79"/>
      <c r="I445" s="79"/>
      <c r="K445" s="79"/>
      <c r="L445" s="79"/>
      <c r="Q445" s="79">
        <v>442</v>
      </c>
      <c r="R445" s="79">
        <v>2754.9478779514602</v>
      </c>
      <c r="S445" s="79">
        <v>1795.0521220485398</v>
      </c>
    </row>
    <row r="446" spans="1:19" x14ac:dyDescent="0.2">
      <c r="A446" s="51">
        <v>1040</v>
      </c>
      <c r="B446">
        <v>40000</v>
      </c>
      <c r="C446" s="25">
        <v>1</v>
      </c>
      <c r="D446" s="51">
        <v>5</v>
      </c>
      <c r="E446" s="25">
        <v>6</v>
      </c>
      <c r="G446" s="79"/>
      <c r="H446" s="79"/>
      <c r="I446" s="79"/>
      <c r="K446" s="79"/>
      <c r="L446" s="79"/>
      <c r="Q446" s="79">
        <v>443</v>
      </c>
      <c r="R446" s="79">
        <v>1700.5885754547855</v>
      </c>
      <c r="S446" s="79">
        <v>-1050.5885754547855</v>
      </c>
    </row>
    <row r="447" spans="1:19" x14ac:dyDescent="0.2">
      <c r="A447" s="65">
        <v>780</v>
      </c>
      <c r="B447">
        <v>40000</v>
      </c>
      <c r="C447" s="27">
        <v>1</v>
      </c>
      <c r="D447" s="65">
        <v>3</v>
      </c>
      <c r="E447" s="27">
        <v>5</v>
      </c>
      <c r="G447" s="79"/>
      <c r="H447" s="79"/>
      <c r="I447" s="79"/>
      <c r="K447" s="79"/>
      <c r="L447" s="79"/>
      <c r="Q447" s="79">
        <v>444</v>
      </c>
      <c r="R447" s="79">
        <v>5266.4217376484266</v>
      </c>
      <c r="S447" s="79">
        <v>-3836.4217376484266</v>
      </c>
    </row>
    <row r="448" spans="1:19" x14ac:dyDescent="0.2">
      <c r="A448" s="51">
        <v>7200</v>
      </c>
      <c r="B448">
        <v>60000</v>
      </c>
      <c r="C448" s="25">
        <v>1</v>
      </c>
      <c r="D448" s="51">
        <v>4</v>
      </c>
      <c r="E448" s="25">
        <v>35</v>
      </c>
      <c r="G448" s="79"/>
      <c r="H448" s="79"/>
      <c r="I448" s="79"/>
      <c r="K448" s="79"/>
      <c r="L448" s="79"/>
      <c r="Q448" s="79">
        <v>445</v>
      </c>
      <c r="R448" s="79">
        <v>2251.3178252251337</v>
      </c>
      <c r="S448" s="79">
        <v>-1211.3178252251337</v>
      </c>
    </row>
    <row r="449" spans="1:19" x14ac:dyDescent="0.2">
      <c r="A449" s="65">
        <v>1170</v>
      </c>
      <c r="B449">
        <v>5000</v>
      </c>
      <c r="C449" s="27">
        <v>1</v>
      </c>
      <c r="D449" s="65">
        <v>4</v>
      </c>
      <c r="E449" s="27">
        <v>7</v>
      </c>
      <c r="G449" s="79"/>
      <c r="H449" s="79"/>
      <c r="I449" s="79"/>
      <c r="K449" s="79"/>
      <c r="L449" s="79"/>
      <c r="Q449" s="79">
        <v>446</v>
      </c>
      <c r="R449" s="79">
        <v>1413.4491513086064</v>
      </c>
      <c r="S449" s="79">
        <v>-633.44915130860636</v>
      </c>
    </row>
    <row r="450" spans="1:19" x14ac:dyDescent="0.2">
      <c r="A450" s="51">
        <v>3250</v>
      </c>
      <c r="B450">
        <v>85000</v>
      </c>
      <c r="C450" s="25">
        <v>2</v>
      </c>
      <c r="D450" s="51">
        <v>5</v>
      </c>
      <c r="E450" s="25">
        <v>11</v>
      </c>
      <c r="G450" s="79"/>
      <c r="H450" s="79"/>
      <c r="I450" s="79"/>
      <c r="K450" s="79"/>
      <c r="L450" s="79"/>
      <c r="Q450" s="79">
        <v>447</v>
      </c>
      <c r="R450" s="79">
        <v>5098.6264627494784</v>
      </c>
      <c r="S450" s="79">
        <v>2101.3735372505216</v>
      </c>
    </row>
    <row r="451" spans="1:19" x14ac:dyDescent="0.2">
      <c r="A451" s="65">
        <v>4550</v>
      </c>
      <c r="B451">
        <v>40000</v>
      </c>
      <c r="C451" s="27">
        <v>1</v>
      </c>
      <c r="D451" s="65">
        <v>3</v>
      </c>
      <c r="E451" s="27">
        <v>25</v>
      </c>
      <c r="G451" s="79"/>
      <c r="H451" s="79"/>
      <c r="I451" s="79"/>
      <c r="K451" s="79"/>
      <c r="L451" s="79"/>
      <c r="Q451" s="79">
        <v>448</v>
      </c>
      <c r="R451" s="79">
        <v>784.19477835029238</v>
      </c>
      <c r="S451" s="79">
        <v>385.80522164970762</v>
      </c>
    </row>
    <row r="452" spans="1:19" x14ac:dyDescent="0.2">
      <c r="A452" s="51">
        <v>520</v>
      </c>
      <c r="B452">
        <v>20000</v>
      </c>
      <c r="C452" s="25">
        <v>1</v>
      </c>
      <c r="D452" s="51">
        <v>4</v>
      </c>
      <c r="E452" s="25">
        <v>3</v>
      </c>
      <c r="G452" s="79"/>
      <c r="H452" s="79"/>
      <c r="I452" s="79"/>
      <c r="K452" s="79"/>
      <c r="L452" s="79"/>
      <c r="Q452" s="79">
        <v>449</v>
      </c>
      <c r="R452" s="79">
        <v>6923.5862578491306</v>
      </c>
      <c r="S452" s="79">
        <v>-3673.5862578491306</v>
      </c>
    </row>
    <row r="453" spans="1:19" x14ac:dyDescent="0.2">
      <c r="A453" s="65">
        <v>1430</v>
      </c>
      <c r="B453">
        <v>5000</v>
      </c>
      <c r="C453" s="27">
        <v>1</v>
      </c>
      <c r="D453" s="65">
        <v>5</v>
      </c>
      <c r="E453" s="27">
        <v>9</v>
      </c>
      <c r="G453" s="79"/>
      <c r="H453" s="79"/>
      <c r="I453" s="79"/>
      <c r="K453" s="79"/>
      <c r="L453" s="79"/>
      <c r="Q453" s="79">
        <v>450</v>
      </c>
      <c r="R453" s="79">
        <v>3170.714655469731</v>
      </c>
      <c r="S453" s="79">
        <v>1379.285344530269</v>
      </c>
    </row>
    <row r="454" spans="1:19" x14ac:dyDescent="0.2">
      <c r="A454" s="51">
        <v>780</v>
      </c>
      <c r="B454">
        <v>60000</v>
      </c>
      <c r="C454" s="25">
        <v>1</v>
      </c>
      <c r="D454" s="51">
        <v>6</v>
      </c>
      <c r="E454" s="25">
        <v>4</v>
      </c>
      <c r="G454" s="79"/>
      <c r="H454" s="79"/>
      <c r="I454" s="79"/>
      <c r="K454" s="79"/>
      <c r="L454" s="79"/>
      <c r="Q454" s="79">
        <v>451</v>
      </c>
      <c r="R454" s="79">
        <v>938.44894440177973</v>
      </c>
      <c r="S454" s="79">
        <v>-418.44894440177973</v>
      </c>
    </row>
    <row r="455" spans="1:19" x14ac:dyDescent="0.2">
      <c r="A455" s="65">
        <v>4100</v>
      </c>
      <c r="B455">
        <v>125000</v>
      </c>
      <c r="C455" s="27">
        <v>1</v>
      </c>
      <c r="D455" s="65">
        <v>3</v>
      </c>
      <c r="E455" s="27">
        <v>14</v>
      </c>
      <c r="G455" s="79"/>
      <c r="H455" s="79"/>
      <c r="I455" s="79"/>
      <c r="K455" s="79"/>
      <c r="L455" s="79"/>
      <c r="Q455" s="79">
        <v>452</v>
      </c>
      <c r="R455" s="79">
        <v>1334.9240281206405</v>
      </c>
      <c r="S455" s="79">
        <v>95.075971879359486</v>
      </c>
    </row>
    <row r="456" spans="1:19" x14ac:dyDescent="0.2">
      <c r="A456" s="51">
        <v>910</v>
      </c>
      <c r="B456">
        <v>20000</v>
      </c>
      <c r="C456" s="25">
        <v>1</v>
      </c>
      <c r="D456" s="51">
        <v>5</v>
      </c>
      <c r="E456" s="25">
        <v>5</v>
      </c>
      <c r="G456" s="79"/>
      <c r="H456" s="79"/>
      <c r="I456" s="79"/>
      <c r="K456" s="79"/>
      <c r="L456" s="79"/>
      <c r="Q456" s="79">
        <v>453</v>
      </c>
      <c r="R456" s="79">
        <v>3124.8703300082061</v>
      </c>
      <c r="S456" s="79">
        <v>-2344.8703300082061</v>
      </c>
    </row>
    <row r="457" spans="1:19" x14ac:dyDescent="0.2">
      <c r="A457" s="65">
        <v>910</v>
      </c>
      <c r="B457">
        <v>40000</v>
      </c>
      <c r="C457" s="27">
        <v>1</v>
      </c>
      <c r="D457" s="65">
        <v>3</v>
      </c>
      <c r="E457" s="27">
        <v>6</v>
      </c>
      <c r="G457" s="79"/>
      <c r="H457" s="79"/>
      <c r="I457" s="79"/>
      <c r="K457" s="79"/>
      <c r="L457" s="79"/>
      <c r="Q457" s="79">
        <v>454</v>
      </c>
      <c r="R457" s="79">
        <v>5069.8931405221483</v>
      </c>
      <c r="S457" s="79">
        <v>-969.89314052214831</v>
      </c>
    </row>
    <row r="458" spans="1:19" x14ac:dyDescent="0.2">
      <c r="A458" s="51">
        <v>1300</v>
      </c>
      <c r="B458">
        <v>20000</v>
      </c>
      <c r="C458" s="25">
        <v>1</v>
      </c>
      <c r="D458" s="51">
        <v>4</v>
      </c>
      <c r="E458" s="25">
        <v>8</v>
      </c>
      <c r="G458" s="79"/>
      <c r="H458" s="79"/>
      <c r="I458" s="79"/>
      <c r="K458" s="79"/>
      <c r="L458" s="79"/>
      <c r="Q458" s="79">
        <v>455</v>
      </c>
      <c r="R458" s="79">
        <v>1489.1781941721279</v>
      </c>
      <c r="S458" s="79">
        <v>-579.17819417212786</v>
      </c>
    </row>
    <row r="459" spans="1:19" x14ac:dyDescent="0.2">
      <c r="A459" s="65">
        <v>3640</v>
      </c>
      <c r="B459">
        <v>60000</v>
      </c>
      <c r="C459" s="27">
        <v>2</v>
      </c>
      <c r="D459" s="65">
        <v>6</v>
      </c>
      <c r="E459" s="27">
        <v>12</v>
      </c>
      <c r="G459" s="79"/>
      <c r="H459" s="79"/>
      <c r="I459" s="79"/>
      <c r="K459" s="79"/>
      <c r="L459" s="79"/>
      <c r="Q459" s="79">
        <v>456</v>
      </c>
      <c r="R459" s="79">
        <v>1501.3124265166625</v>
      </c>
      <c r="S459" s="79">
        <v>-591.31242651666253</v>
      </c>
    </row>
    <row r="460" spans="1:19" x14ac:dyDescent="0.2">
      <c r="A460" s="51">
        <v>390</v>
      </c>
      <c r="B460">
        <v>20000</v>
      </c>
      <c r="C460" s="25">
        <v>1</v>
      </c>
      <c r="D460" s="51">
        <v>4</v>
      </c>
      <c r="E460" s="25">
        <v>2</v>
      </c>
      <c r="G460" s="79"/>
      <c r="H460" s="79"/>
      <c r="I460" s="79"/>
      <c r="K460" s="79"/>
      <c r="L460" s="79"/>
      <c r="Q460" s="79">
        <v>457</v>
      </c>
      <c r="R460" s="79">
        <v>1377.7653204420608</v>
      </c>
      <c r="S460" s="79">
        <v>-77.765320442060784</v>
      </c>
    </row>
    <row r="461" spans="1:19" x14ac:dyDescent="0.2">
      <c r="A461" s="65">
        <v>1820</v>
      </c>
      <c r="B461">
        <v>60000</v>
      </c>
      <c r="C461" s="27">
        <v>1</v>
      </c>
      <c r="D461" s="65">
        <v>3</v>
      </c>
      <c r="E461" s="27">
        <v>11</v>
      </c>
      <c r="G461" s="79"/>
      <c r="H461" s="79"/>
      <c r="I461" s="79"/>
      <c r="K461" s="79"/>
      <c r="L461" s="79"/>
      <c r="Q461" s="79">
        <v>458</v>
      </c>
      <c r="R461" s="79">
        <v>6543.6067876052348</v>
      </c>
      <c r="S461" s="79">
        <v>-2903.6067876052348</v>
      </c>
    </row>
    <row r="462" spans="1:19" x14ac:dyDescent="0.2">
      <c r="A462" s="51">
        <v>520</v>
      </c>
      <c r="B462">
        <v>20000</v>
      </c>
      <c r="C462" s="25">
        <v>1</v>
      </c>
      <c r="D462" s="51">
        <v>5</v>
      </c>
      <c r="E462" s="25">
        <v>3</v>
      </c>
      <c r="G462" s="79"/>
      <c r="H462" s="79"/>
      <c r="I462" s="79"/>
      <c r="K462" s="79"/>
      <c r="L462" s="79"/>
      <c r="Q462" s="79">
        <v>459</v>
      </c>
      <c r="R462" s="79">
        <v>850.58566919372345</v>
      </c>
      <c r="S462" s="79">
        <v>-460.58566919372345</v>
      </c>
    </row>
    <row r="463" spans="1:19" x14ac:dyDescent="0.2">
      <c r="A463" s="65">
        <v>3900</v>
      </c>
      <c r="B463">
        <v>85000</v>
      </c>
      <c r="C463" s="27">
        <v>1</v>
      </c>
      <c r="D463" s="65">
        <v>4</v>
      </c>
      <c r="E463" s="27">
        <v>13</v>
      </c>
      <c r="G463" s="79"/>
      <c r="H463" s="79"/>
      <c r="I463" s="79"/>
      <c r="K463" s="79"/>
      <c r="L463" s="79"/>
      <c r="Q463" s="79">
        <v>460</v>
      </c>
      <c r="R463" s="79">
        <v>2614.9051584018935</v>
      </c>
      <c r="S463" s="79">
        <v>-794.90515840189346</v>
      </c>
    </row>
    <row r="464" spans="1:19" x14ac:dyDescent="0.2">
      <c r="A464" s="51">
        <v>1170</v>
      </c>
      <c r="B464">
        <v>5000</v>
      </c>
      <c r="C464" s="25">
        <v>1</v>
      </c>
      <c r="D464" s="51">
        <v>4</v>
      </c>
      <c r="E464" s="25">
        <v>7</v>
      </c>
      <c r="G464" s="79"/>
      <c r="H464" s="79"/>
      <c r="I464" s="79"/>
      <c r="K464" s="79"/>
      <c r="L464" s="79"/>
      <c r="Q464" s="79">
        <v>461</v>
      </c>
      <c r="R464" s="79">
        <v>1313.4516437560153</v>
      </c>
      <c r="S464" s="79">
        <v>-793.4516437560153</v>
      </c>
    </row>
    <row r="465" spans="1:19" x14ac:dyDescent="0.2">
      <c r="A465" s="65">
        <v>780</v>
      </c>
      <c r="B465">
        <v>40000</v>
      </c>
      <c r="C465" s="27">
        <v>1</v>
      </c>
      <c r="D465" s="65">
        <v>3</v>
      </c>
      <c r="E465" s="27">
        <v>5</v>
      </c>
      <c r="G465" s="79"/>
      <c r="H465" s="79"/>
      <c r="I465" s="79"/>
      <c r="K465" s="79"/>
      <c r="L465" s="79"/>
      <c r="Q465" s="79">
        <v>462</v>
      </c>
      <c r="R465" s="79">
        <v>4008.4798529784284</v>
      </c>
      <c r="S465" s="79">
        <v>-108.47985297842843</v>
      </c>
    </row>
    <row r="466" spans="1:19" x14ac:dyDescent="0.2">
      <c r="A466" s="51">
        <v>910</v>
      </c>
      <c r="B466">
        <v>40000</v>
      </c>
      <c r="C466" s="25">
        <v>1</v>
      </c>
      <c r="D466" s="51">
        <v>4</v>
      </c>
      <c r="E466" s="25">
        <v>5</v>
      </c>
      <c r="G466" s="79"/>
      <c r="H466" s="79"/>
      <c r="I466" s="79"/>
      <c r="K466" s="79"/>
      <c r="L466" s="79"/>
      <c r="Q466" s="79">
        <v>463</v>
      </c>
      <c r="R466" s="79">
        <v>784.19477835029238</v>
      </c>
      <c r="S466" s="79">
        <v>385.80522164970762</v>
      </c>
    </row>
    <row r="467" spans="1:19" x14ac:dyDescent="0.2">
      <c r="A467" s="65">
        <v>650</v>
      </c>
      <c r="B467">
        <v>40000</v>
      </c>
      <c r="C467" s="27">
        <v>1</v>
      </c>
      <c r="D467" s="65">
        <v>3</v>
      </c>
      <c r="E467" s="27">
        <v>4</v>
      </c>
      <c r="G467" s="79"/>
      <c r="H467" s="79"/>
      <c r="I467" s="79"/>
      <c r="K467" s="79"/>
      <c r="L467" s="79"/>
      <c r="Q467" s="79">
        <v>464</v>
      </c>
      <c r="R467" s="79">
        <v>1413.4491513086064</v>
      </c>
      <c r="S467" s="79">
        <v>-633.44915130860636</v>
      </c>
    </row>
    <row r="468" spans="1:19" x14ac:dyDescent="0.2">
      <c r="A468" s="51">
        <v>1560</v>
      </c>
      <c r="B468">
        <v>5000</v>
      </c>
      <c r="C468" s="25">
        <v>1</v>
      </c>
      <c r="D468" s="51">
        <v>5</v>
      </c>
      <c r="E468" s="25">
        <v>10</v>
      </c>
      <c r="G468" s="79"/>
      <c r="H468" s="79"/>
      <c r="I468" s="79"/>
      <c r="K468" s="79"/>
      <c r="L468" s="79"/>
      <c r="Q468" s="79">
        <v>465</v>
      </c>
      <c r="R468" s="79">
        <v>1788.4518506628419</v>
      </c>
      <c r="S468" s="79">
        <v>-878.45185066284193</v>
      </c>
    </row>
    <row r="469" spans="1:19" x14ac:dyDescent="0.2">
      <c r="A469" s="65">
        <v>3510</v>
      </c>
      <c r="B469">
        <v>60000</v>
      </c>
      <c r="C469" s="27">
        <v>2</v>
      </c>
      <c r="D469" s="65">
        <v>6</v>
      </c>
      <c r="E469" s="27">
        <v>12</v>
      </c>
      <c r="G469" s="79"/>
      <c r="H469" s="79"/>
      <c r="I469" s="79"/>
      <c r="K469" s="79"/>
      <c r="L469" s="79"/>
      <c r="Q469" s="79">
        <v>466</v>
      </c>
      <c r="R469" s="79">
        <v>1325.58587610055</v>
      </c>
      <c r="S469" s="79">
        <v>-675.58587610054997</v>
      </c>
    </row>
    <row r="470" spans="1:19" x14ac:dyDescent="0.2">
      <c r="A470" s="51">
        <v>390</v>
      </c>
      <c r="B470">
        <v>20000</v>
      </c>
      <c r="C470" s="25">
        <v>1</v>
      </c>
      <c r="D470" s="51">
        <v>4</v>
      </c>
      <c r="E470" s="25">
        <v>2</v>
      </c>
      <c r="G470" s="79"/>
      <c r="H470" s="79"/>
      <c r="I470" s="79"/>
      <c r="K470" s="79"/>
      <c r="L470" s="79"/>
      <c r="Q470" s="79">
        <v>467</v>
      </c>
      <c r="R470" s="79">
        <v>1422.7873033286967</v>
      </c>
      <c r="S470" s="79">
        <v>137.21269667130332</v>
      </c>
    </row>
    <row r="471" spans="1:19" x14ac:dyDescent="0.2">
      <c r="A471" s="65">
        <v>2080</v>
      </c>
      <c r="B471">
        <v>60000</v>
      </c>
      <c r="C471" s="27">
        <v>1</v>
      </c>
      <c r="D471" s="65">
        <v>3</v>
      </c>
      <c r="E471" s="27">
        <v>13</v>
      </c>
      <c r="G471" s="79"/>
      <c r="H471" s="79"/>
      <c r="I471" s="79"/>
      <c r="K471" s="79"/>
      <c r="L471" s="79"/>
      <c r="Q471" s="79">
        <v>468</v>
      </c>
      <c r="R471" s="79">
        <v>6543.6067876052348</v>
      </c>
      <c r="S471" s="79">
        <v>-3033.6067876052348</v>
      </c>
    </row>
    <row r="472" spans="1:19" x14ac:dyDescent="0.2">
      <c r="A472" s="51">
        <v>390</v>
      </c>
      <c r="B472">
        <v>20000</v>
      </c>
      <c r="C472" s="25">
        <v>1</v>
      </c>
      <c r="D472" s="51">
        <v>5</v>
      </c>
      <c r="E472" s="25">
        <v>2</v>
      </c>
      <c r="G472" s="79"/>
      <c r="H472" s="79"/>
      <c r="I472" s="79"/>
      <c r="K472" s="79"/>
      <c r="L472" s="79"/>
      <c r="Q472" s="79">
        <v>469</v>
      </c>
      <c r="R472" s="79">
        <v>850.58566919372345</v>
      </c>
      <c r="S472" s="79">
        <v>-460.58566919372345</v>
      </c>
    </row>
    <row r="473" spans="1:19" x14ac:dyDescent="0.2">
      <c r="A473" s="65">
        <v>4160</v>
      </c>
      <c r="B473">
        <v>85000</v>
      </c>
      <c r="C473" s="27">
        <v>1</v>
      </c>
      <c r="D473" s="65">
        <v>4</v>
      </c>
      <c r="E473" s="27">
        <v>14</v>
      </c>
      <c r="G473" s="79"/>
      <c r="H473" s="79"/>
      <c r="I473" s="79"/>
      <c r="K473" s="79"/>
      <c r="L473" s="79"/>
      <c r="Q473" s="79">
        <v>470</v>
      </c>
      <c r="R473" s="79">
        <v>2790.6317088180058</v>
      </c>
      <c r="S473" s="79">
        <v>-710.63170881800579</v>
      </c>
    </row>
    <row r="474" spans="1:19" x14ac:dyDescent="0.2">
      <c r="A474" s="51">
        <v>520</v>
      </c>
      <c r="B474">
        <v>5000</v>
      </c>
      <c r="C474" s="25">
        <v>1</v>
      </c>
      <c r="D474" s="51">
        <v>6</v>
      </c>
      <c r="E474" s="25">
        <v>3</v>
      </c>
      <c r="G474" s="79"/>
      <c r="H474" s="79"/>
      <c r="I474" s="79"/>
      <c r="K474" s="79"/>
      <c r="L474" s="79"/>
      <c r="Q474" s="79">
        <v>471</v>
      </c>
      <c r="R474" s="79">
        <v>1225.5883685479591</v>
      </c>
      <c r="S474" s="79">
        <v>-835.58836854795913</v>
      </c>
    </row>
    <row r="475" spans="1:19" x14ac:dyDescent="0.2">
      <c r="A475" s="65">
        <v>1430</v>
      </c>
      <c r="B475">
        <v>40000</v>
      </c>
      <c r="C475" s="27">
        <v>1</v>
      </c>
      <c r="D475" s="65">
        <v>3</v>
      </c>
      <c r="E475" s="27">
        <v>8</v>
      </c>
      <c r="G475" s="79"/>
      <c r="H475" s="79"/>
      <c r="I475" s="79"/>
      <c r="K475" s="79"/>
      <c r="L475" s="79"/>
      <c r="Q475" s="79">
        <v>472</v>
      </c>
      <c r="R475" s="79">
        <v>4096.343128186485</v>
      </c>
      <c r="S475" s="79">
        <v>63.656871813514954</v>
      </c>
    </row>
    <row r="476" spans="1:19" x14ac:dyDescent="0.2">
      <c r="A476" s="51">
        <v>910</v>
      </c>
      <c r="B476">
        <v>40000</v>
      </c>
      <c r="C476" s="25">
        <v>1</v>
      </c>
      <c r="D476" s="51">
        <v>4</v>
      </c>
      <c r="E476" s="25">
        <v>5</v>
      </c>
      <c r="G476" s="79"/>
      <c r="H476" s="79"/>
      <c r="I476" s="79"/>
      <c r="K476" s="79"/>
      <c r="L476" s="79"/>
      <c r="Q476" s="79">
        <v>473</v>
      </c>
      <c r="R476" s="79">
        <v>1182.7470762265382</v>
      </c>
      <c r="S476" s="79">
        <v>-662.74707622653818</v>
      </c>
    </row>
    <row r="477" spans="1:19" x14ac:dyDescent="0.2">
      <c r="A477" s="65">
        <v>650</v>
      </c>
      <c r="B477">
        <v>40000</v>
      </c>
      <c r="C477" s="27">
        <v>1</v>
      </c>
      <c r="D477" s="65">
        <v>3</v>
      </c>
      <c r="E477" s="27">
        <v>4</v>
      </c>
      <c r="G477" s="79"/>
      <c r="H477" s="79"/>
      <c r="I477" s="79"/>
      <c r="K477" s="79"/>
      <c r="L477" s="79"/>
      <c r="Q477" s="79">
        <v>474</v>
      </c>
      <c r="R477" s="79">
        <v>1677.0389769327749</v>
      </c>
      <c r="S477" s="79">
        <v>-247.03897693277486</v>
      </c>
    </row>
    <row r="478" spans="1:19" x14ac:dyDescent="0.2">
      <c r="A478" s="51">
        <v>1170</v>
      </c>
      <c r="B478">
        <v>5000</v>
      </c>
      <c r="C478" s="25">
        <v>1</v>
      </c>
      <c r="D478" s="51">
        <v>5</v>
      </c>
      <c r="E478" s="25">
        <v>7</v>
      </c>
      <c r="G478" s="79"/>
      <c r="H478" s="79"/>
      <c r="I478" s="79"/>
      <c r="K478" s="79"/>
      <c r="L478" s="79"/>
      <c r="Q478" s="79">
        <v>475</v>
      </c>
      <c r="R478" s="79">
        <v>1788.4518506628419</v>
      </c>
      <c r="S478" s="79">
        <v>-878.45185066284193</v>
      </c>
    </row>
    <row r="479" spans="1:19" x14ac:dyDescent="0.2">
      <c r="A479" s="65">
        <v>900</v>
      </c>
      <c r="B479">
        <v>5000</v>
      </c>
      <c r="C479" s="27">
        <v>1</v>
      </c>
      <c r="D479" s="65">
        <v>4</v>
      </c>
      <c r="E479" s="27">
        <v>7</v>
      </c>
      <c r="G479" s="79"/>
      <c r="H479" s="79"/>
      <c r="I479" s="79"/>
      <c r="K479" s="79"/>
      <c r="L479" s="79"/>
      <c r="Q479" s="79">
        <v>476</v>
      </c>
      <c r="R479" s="79">
        <v>1325.58587610055</v>
      </c>
      <c r="S479" s="79">
        <v>-675.58587610054997</v>
      </c>
    </row>
    <row r="480" spans="1:19" x14ac:dyDescent="0.2">
      <c r="A480" s="51">
        <v>3380</v>
      </c>
      <c r="B480">
        <v>60000</v>
      </c>
      <c r="C480" s="25">
        <v>2</v>
      </c>
      <c r="D480" s="51">
        <v>6</v>
      </c>
      <c r="E480" s="25">
        <v>12</v>
      </c>
      <c r="G480" s="79"/>
      <c r="H480" s="79"/>
      <c r="I480" s="79"/>
      <c r="K480" s="79"/>
      <c r="L480" s="79"/>
      <c r="Q480" s="79">
        <v>477</v>
      </c>
      <c r="R480" s="79">
        <v>1159.197477704528</v>
      </c>
      <c r="S480" s="79">
        <v>10.802522295472045</v>
      </c>
    </row>
    <row r="481" spans="1:19" x14ac:dyDescent="0.2">
      <c r="A481" s="65">
        <v>390</v>
      </c>
      <c r="B481">
        <v>20000</v>
      </c>
      <c r="C481" s="27">
        <v>1</v>
      </c>
      <c r="D481" s="65">
        <v>4</v>
      </c>
      <c r="E481" s="27">
        <v>2</v>
      </c>
      <c r="G481" s="79"/>
      <c r="H481" s="79"/>
      <c r="I481" s="79"/>
      <c r="K481" s="79"/>
      <c r="L481" s="79"/>
      <c r="Q481" s="79">
        <v>478</v>
      </c>
      <c r="R481" s="79">
        <v>784.19477835029238</v>
      </c>
      <c r="S481" s="79">
        <v>115.80522164970762</v>
      </c>
    </row>
    <row r="482" spans="1:19" x14ac:dyDescent="0.2">
      <c r="A482" s="51">
        <v>1950</v>
      </c>
      <c r="B482">
        <v>60000</v>
      </c>
      <c r="C482" s="25">
        <v>1</v>
      </c>
      <c r="D482" s="51">
        <v>3</v>
      </c>
      <c r="E482" s="25">
        <v>11</v>
      </c>
      <c r="G482" s="79"/>
      <c r="H482" s="79"/>
      <c r="I482" s="79"/>
      <c r="K482" s="79"/>
      <c r="L482" s="79"/>
      <c r="Q482" s="79">
        <v>479</v>
      </c>
      <c r="R482" s="79">
        <v>6543.6067876052348</v>
      </c>
      <c r="S482" s="79">
        <v>-3163.6067876052348</v>
      </c>
    </row>
    <row r="483" spans="1:19" x14ac:dyDescent="0.2">
      <c r="A483" s="65">
        <v>390</v>
      </c>
      <c r="B483">
        <v>20000</v>
      </c>
      <c r="C483" s="27">
        <v>1</v>
      </c>
      <c r="D483" s="65">
        <v>5</v>
      </c>
      <c r="E483" s="27">
        <v>2</v>
      </c>
      <c r="G483" s="79"/>
      <c r="H483" s="79"/>
      <c r="I483" s="79"/>
      <c r="K483" s="79"/>
      <c r="L483" s="79"/>
      <c r="Q483" s="79">
        <v>480</v>
      </c>
      <c r="R483" s="79">
        <v>850.58566919372345</v>
      </c>
      <c r="S483" s="79">
        <v>-460.58566919372345</v>
      </c>
    </row>
    <row r="484" spans="1:19" x14ac:dyDescent="0.2">
      <c r="A484" s="51">
        <v>4350</v>
      </c>
      <c r="B484">
        <v>85000</v>
      </c>
      <c r="C484" s="25">
        <v>1</v>
      </c>
      <c r="D484" s="51">
        <v>4</v>
      </c>
      <c r="E484" s="25">
        <v>15</v>
      </c>
      <c r="G484" s="79"/>
      <c r="H484" s="79"/>
      <c r="I484" s="79"/>
      <c r="K484" s="79"/>
      <c r="L484" s="79"/>
      <c r="Q484" s="79">
        <v>481</v>
      </c>
      <c r="R484" s="79">
        <v>2614.9051584018935</v>
      </c>
      <c r="S484" s="79">
        <v>-664.90515840189346</v>
      </c>
    </row>
    <row r="485" spans="1:19" x14ac:dyDescent="0.2">
      <c r="A485" s="65">
        <v>520</v>
      </c>
      <c r="B485">
        <v>5000</v>
      </c>
      <c r="C485" s="27">
        <v>1</v>
      </c>
      <c r="D485" s="65">
        <v>6</v>
      </c>
      <c r="E485" s="27">
        <v>3</v>
      </c>
      <c r="G485" s="79"/>
      <c r="H485" s="79"/>
      <c r="I485" s="79"/>
      <c r="K485" s="79"/>
      <c r="L485" s="79"/>
      <c r="Q485" s="79">
        <v>482</v>
      </c>
      <c r="R485" s="79">
        <v>1225.5883685479591</v>
      </c>
      <c r="S485" s="79">
        <v>-835.58836854795913</v>
      </c>
    </row>
    <row r="486" spans="1:19" x14ac:dyDescent="0.2">
      <c r="A486" s="51">
        <v>1560</v>
      </c>
      <c r="B486">
        <v>40000</v>
      </c>
      <c r="C486" s="25">
        <v>1</v>
      </c>
      <c r="D486" s="51">
        <v>3</v>
      </c>
      <c r="E486" s="25">
        <v>9</v>
      </c>
      <c r="G486" s="79"/>
      <c r="H486" s="79"/>
      <c r="I486" s="79"/>
      <c r="K486" s="79"/>
      <c r="L486" s="79"/>
      <c r="Q486" s="79">
        <v>483</v>
      </c>
      <c r="R486" s="79">
        <v>4184.2064033945408</v>
      </c>
      <c r="S486" s="79">
        <v>165.79359660545924</v>
      </c>
    </row>
    <row r="487" spans="1:19" x14ac:dyDescent="0.2">
      <c r="A487" s="65">
        <v>420</v>
      </c>
      <c r="B487">
        <v>5000</v>
      </c>
      <c r="C487" s="27">
        <v>1</v>
      </c>
      <c r="D487" s="65">
        <v>5</v>
      </c>
      <c r="E487" s="27">
        <v>3</v>
      </c>
      <c r="G487" s="79"/>
      <c r="H487" s="79"/>
      <c r="I487" s="79"/>
      <c r="K487" s="79"/>
      <c r="L487" s="79"/>
      <c r="Q487" s="79">
        <v>484</v>
      </c>
      <c r="R487" s="79">
        <v>1182.7470762265382</v>
      </c>
      <c r="S487" s="79">
        <v>-662.74707622653818</v>
      </c>
    </row>
    <row r="488" spans="1:19" x14ac:dyDescent="0.2">
      <c r="A488" s="51">
        <v>3840</v>
      </c>
      <c r="B488">
        <v>40000</v>
      </c>
      <c r="C488" s="25">
        <v>1</v>
      </c>
      <c r="D488" s="51">
        <v>5</v>
      </c>
      <c r="E488" s="25">
        <v>14</v>
      </c>
      <c r="G488" s="79"/>
      <c r="H488" s="79"/>
      <c r="I488" s="79"/>
      <c r="K488" s="79"/>
      <c r="L488" s="79"/>
      <c r="Q488" s="79">
        <v>485</v>
      </c>
      <c r="R488" s="79">
        <v>1764.9022521408313</v>
      </c>
      <c r="S488" s="79">
        <v>-204.90225214083125</v>
      </c>
    </row>
    <row r="489" spans="1:19" x14ac:dyDescent="0.2">
      <c r="A489" s="65">
        <v>5400</v>
      </c>
      <c r="B489">
        <v>60000</v>
      </c>
      <c r="C489" s="27">
        <v>2</v>
      </c>
      <c r="D489" s="65">
        <v>5</v>
      </c>
      <c r="E489" s="27">
        <v>4</v>
      </c>
      <c r="G489" s="79"/>
      <c r="H489" s="79"/>
      <c r="I489" s="79"/>
      <c r="K489" s="79"/>
      <c r="L489" s="79"/>
      <c r="Q489" s="79">
        <v>486</v>
      </c>
      <c r="R489" s="79">
        <v>807.74437687230306</v>
      </c>
      <c r="S489" s="79">
        <v>-387.74437687230306</v>
      </c>
    </row>
    <row r="490" spans="1:19" x14ac:dyDescent="0.2">
      <c r="A490" s="51">
        <v>880</v>
      </c>
      <c r="B490">
        <v>40000</v>
      </c>
      <c r="C490" s="25">
        <v>1</v>
      </c>
      <c r="D490" s="51">
        <v>4</v>
      </c>
      <c r="E490" s="25">
        <v>5</v>
      </c>
      <c r="G490" s="79"/>
      <c r="H490" s="79"/>
      <c r="I490" s="79"/>
      <c r="K490" s="79"/>
      <c r="L490" s="79"/>
      <c r="Q490" s="79">
        <v>487</v>
      </c>
      <c r="R490" s="79">
        <v>2954.2240268895835</v>
      </c>
      <c r="S490" s="79">
        <v>885.77597311041654</v>
      </c>
    </row>
    <row r="491" spans="1:19" x14ac:dyDescent="0.2">
      <c r="A491" s="65">
        <v>2000</v>
      </c>
      <c r="B491">
        <v>60000</v>
      </c>
      <c r="C491" s="27">
        <v>1</v>
      </c>
      <c r="D491" s="65">
        <v>5</v>
      </c>
      <c r="E491" s="27">
        <v>9</v>
      </c>
      <c r="G491" s="79"/>
      <c r="H491" s="79"/>
      <c r="I491" s="79"/>
      <c r="K491" s="79"/>
      <c r="L491" s="79"/>
      <c r="Q491" s="79">
        <v>488</v>
      </c>
      <c r="R491" s="79">
        <v>5465.6978865865494</v>
      </c>
      <c r="S491" s="79">
        <v>-65.69788658654943</v>
      </c>
    </row>
    <row r="492" spans="1:19" x14ac:dyDescent="0.2">
      <c r="A492" s="51">
        <v>2300</v>
      </c>
      <c r="B492">
        <v>40000</v>
      </c>
      <c r="C492" s="25">
        <v>1</v>
      </c>
      <c r="D492" s="51">
        <v>3</v>
      </c>
      <c r="E492" s="25">
        <v>12</v>
      </c>
      <c r="G492" s="79"/>
      <c r="H492" s="79"/>
      <c r="I492" s="79"/>
      <c r="K492" s="79"/>
      <c r="L492" s="79"/>
      <c r="Q492" s="79">
        <v>489</v>
      </c>
      <c r="R492" s="79">
        <v>1788.4518506628419</v>
      </c>
      <c r="S492" s="79">
        <v>-908.45185066284193</v>
      </c>
    </row>
    <row r="493" spans="1:19" x14ac:dyDescent="0.2">
      <c r="A493" s="65">
        <v>1000</v>
      </c>
      <c r="B493">
        <v>5000</v>
      </c>
      <c r="C493" s="27">
        <v>1</v>
      </c>
      <c r="D493" s="65">
        <v>5</v>
      </c>
      <c r="E493" s="27">
        <v>4</v>
      </c>
      <c r="G493" s="79"/>
      <c r="H493" s="79"/>
      <c r="I493" s="79"/>
      <c r="K493" s="79"/>
      <c r="L493" s="79"/>
      <c r="Q493" s="79">
        <v>490</v>
      </c>
      <c r="R493" s="79">
        <v>3189.1840066942523</v>
      </c>
      <c r="S493" s="79">
        <v>-1189.1840066942523</v>
      </c>
    </row>
    <row r="494" spans="1:19" x14ac:dyDescent="0.2">
      <c r="A494" s="51">
        <v>2800</v>
      </c>
      <c r="B494">
        <v>60000</v>
      </c>
      <c r="C494" s="25">
        <v>1</v>
      </c>
      <c r="D494" s="51">
        <v>4</v>
      </c>
      <c r="E494" s="25">
        <v>12</v>
      </c>
      <c r="G494" s="79"/>
      <c r="H494" s="79"/>
      <c r="I494" s="79"/>
      <c r="K494" s="79"/>
      <c r="L494" s="79"/>
      <c r="Q494" s="79">
        <v>491</v>
      </c>
      <c r="R494" s="79">
        <v>2028.492077765</v>
      </c>
      <c r="S494" s="79">
        <v>271.50792223500002</v>
      </c>
    </row>
    <row r="495" spans="1:19" x14ac:dyDescent="0.2">
      <c r="A495" s="65">
        <v>580</v>
      </c>
      <c r="B495">
        <v>40000</v>
      </c>
      <c r="C495" s="27">
        <v>1</v>
      </c>
      <c r="D495" s="65">
        <v>6</v>
      </c>
      <c r="E495" s="27">
        <v>3</v>
      </c>
      <c r="G495" s="79"/>
      <c r="H495" s="79"/>
      <c r="I495" s="79"/>
      <c r="K495" s="79"/>
      <c r="L495" s="79"/>
      <c r="Q495" s="79">
        <v>492</v>
      </c>
      <c r="R495" s="79">
        <v>895.60765208035923</v>
      </c>
      <c r="S495" s="79">
        <v>104.39234791964077</v>
      </c>
    </row>
    <row r="496" spans="1:19" x14ac:dyDescent="0.2">
      <c r="A496" s="51">
        <v>1430</v>
      </c>
      <c r="B496">
        <v>40000</v>
      </c>
      <c r="C496" s="25">
        <v>1</v>
      </c>
      <c r="D496" s="51">
        <v>4</v>
      </c>
      <c r="E496" s="25">
        <v>9</v>
      </c>
      <c r="G496" s="79"/>
      <c r="H496" s="79"/>
      <c r="I496" s="79"/>
      <c r="K496" s="79"/>
      <c r="L496" s="79"/>
      <c r="Q496" s="79">
        <v>493</v>
      </c>
      <c r="R496" s="79">
        <v>3077.7711329641852</v>
      </c>
      <c r="S496" s="79">
        <v>-277.7711329641852</v>
      </c>
    </row>
    <row r="497" spans="1:19" x14ac:dyDescent="0.2">
      <c r="A497" s="65">
        <v>650</v>
      </c>
      <c r="B497">
        <v>20000</v>
      </c>
      <c r="C497" s="27">
        <v>1</v>
      </c>
      <c r="D497" s="65">
        <v>3</v>
      </c>
      <c r="E497" s="27">
        <v>4</v>
      </c>
      <c r="G497" s="79"/>
      <c r="H497" s="79"/>
      <c r="I497" s="79"/>
      <c r="K497" s="79"/>
      <c r="L497" s="79"/>
      <c r="Q497" s="79">
        <v>494</v>
      </c>
      <c r="R497" s="79">
        <v>2362.7306989551998</v>
      </c>
      <c r="S497" s="79">
        <v>-1782.7306989551998</v>
      </c>
    </row>
    <row r="498" spans="1:19" x14ac:dyDescent="0.2">
      <c r="A498" s="51">
        <v>7800</v>
      </c>
      <c r="B498">
        <v>60000</v>
      </c>
      <c r="C498" s="25">
        <v>2</v>
      </c>
      <c r="D498" s="51">
        <v>6</v>
      </c>
      <c r="E498" s="25">
        <v>3</v>
      </c>
      <c r="G498" s="79"/>
      <c r="H498" s="79"/>
      <c r="I498" s="79"/>
      <c r="K498" s="79"/>
      <c r="L498" s="79"/>
      <c r="Q498" s="79">
        <v>495</v>
      </c>
      <c r="R498" s="79">
        <v>2139.9049514950666</v>
      </c>
      <c r="S498" s="79">
        <v>-709.9049514950666</v>
      </c>
    </row>
    <row r="499" spans="1:19" x14ac:dyDescent="0.2">
      <c r="A499" s="65">
        <v>4800</v>
      </c>
      <c r="B499">
        <v>85000</v>
      </c>
      <c r="C499" s="27">
        <v>1</v>
      </c>
      <c r="D499" s="65">
        <v>3</v>
      </c>
      <c r="E499" s="27">
        <v>18</v>
      </c>
      <c r="G499" s="79"/>
      <c r="H499" s="79"/>
      <c r="I499" s="79"/>
      <c r="K499" s="79"/>
      <c r="L499" s="79"/>
      <c r="Q499" s="79">
        <v>496</v>
      </c>
      <c r="R499" s="79">
        <v>651.30952025560032</v>
      </c>
      <c r="S499" s="79">
        <v>-1.3095202556003187</v>
      </c>
    </row>
    <row r="500" spans="1:19" x14ac:dyDescent="0.2">
      <c r="A500" s="51">
        <v>390</v>
      </c>
      <c r="B500">
        <v>20000</v>
      </c>
      <c r="C500" s="25">
        <v>1</v>
      </c>
      <c r="D500" s="51">
        <v>5</v>
      </c>
      <c r="E500" s="25">
        <v>2</v>
      </c>
      <c r="G500" s="79"/>
      <c r="H500" s="79"/>
      <c r="I500" s="79"/>
      <c r="K500" s="79"/>
      <c r="L500" s="79"/>
      <c r="Q500" s="79">
        <v>497</v>
      </c>
      <c r="R500" s="79">
        <v>5752.8373107327288</v>
      </c>
      <c r="S500" s="79">
        <v>2047.1626892672712</v>
      </c>
    </row>
    <row r="501" spans="1:19" x14ac:dyDescent="0.2">
      <c r="A501" s="65">
        <v>3500</v>
      </c>
      <c r="B501">
        <v>60000</v>
      </c>
      <c r="C501" s="27">
        <v>2</v>
      </c>
      <c r="D501" s="65">
        <v>4</v>
      </c>
      <c r="E501" s="27">
        <v>9</v>
      </c>
      <c r="G501" s="79"/>
      <c r="H501" s="79"/>
      <c r="I501" s="79"/>
      <c r="K501" s="79"/>
      <c r="L501" s="79"/>
      <c r="Q501" s="79">
        <v>498</v>
      </c>
      <c r="R501" s="79">
        <v>4072.7935296644741</v>
      </c>
      <c r="S501" s="79">
        <v>727.20647033552586</v>
      </c>
    </row>
    <row r="502" spans="1:19" x14ac:dyDescent="0.2">
      <c r="A502" s="51">
        <v>1000</v>
      </c>
      <c r="B502">
        <v>5000</v>
      </c>
      <c r="C502" s="25">
        <v>1</v>
      </c>
      <c r="D502" s="51">
        <v>5</v>
      </c>
      <c r="E502" s="25">
        <v>8</v>
      </c>
      <c r="G502" s="79"/>
      <c r="H502" s="79"/>
      <c r="I502" s="79"/>
      <c r="K502" s="79"/>
      <c r="L502" s="79"/>
      <c r="Q502" s="79">
        <v>499</v>
      </c>
      <c r="R502" s="79">
        <v>1225.5883685479591</v>
      </c>
      <c r="S502" s="79">
        <v>-835.58836854795913</v>
      </c>
    </row>
    <row r="503" spans="1:19" x14ac:dyDescent="0.2">
      <c r="A503" s="65">
        <v>2100</v>
      </c>
      <c r="B503">
        <v>60000</v>
      </c>
      <c r="C503" s="27">
        <v>1</v>
      </c>
      <c r="D503" s="65">
        <v>5</v>
      </c>
      <c r="E503" s="27">
        <v>6</v>
      </c>
      <c r="G503" s="79"/>
      <c r="H503" s="79"/>
      <c r="I503" s="79"/>
      <c r="K503" s="79"/>
      <c r="L503" s="79"/>
      <c r="Q503" s="79">
        <v>500</v>
      </c>
      <c r="R503" s="79">
        <v>5530.0115632725947</v>
      </c>
      <c r="S503" s="79">
        <v>-2030.0115632725947</v>
      </c>
    </row>
    <row r="504" spans="1:19" x14ac:dyDescent="0.2">
      <c r="A504" s="51">
        <v>1170</v>
      </c>
      <c r="B504">
        <v>5000</v>
      </c>
      <c r="C504" s="25">
        <v>1</v>
      </c>
      <c r="D504" s="51">
        <v>4</v>
      </c>
      <c r="E504" s="25">
        <v>7</v>
      </c>
      <c r="G504" s="79"/>
      <c r="H504" s="79"/>
      <c r="I504" s="79"/>
      <c r="K504" s="79"/>
      <c r="L504" s="79"/>
      <c r="Q504" s="79">
        <v>501</v>
      </c>
      <c r="R504" s="79">
        <v>1247.0607529125841</v>
      </c>
      <c r="S504" s="79">
        <v>-247.06075291258412</v>
      </c>
    </row>
    <row r="505" spans="1:19" x14ac:dyDescent="0.2">
      <c r="A505" s="65">
        <v>3200</v>
      </c>
      <c r="B505">
        <v>60000</v>
      </c>
      <c r="C505" s="27">
        <v>1</v>
      </c>
      <c r="D505" s="65">
        <v>4</v>
      </c>
      <c r="E505" s="27">
        <v>11</v>
      </c>
      <c r="G505" s="79"/>
      <c r="H505" s="79"/>
      <c r="I505" s="79"/>
      <c r="K505" s="79"/>
      <c r="L505" s="79"/>
      <c r="Q505" s="79">
        <v>502</v>
      </c>
      <c r="R505" s="79">
        <v>2925.5941810700833</v>
      </c>
      <c r="S505" s="79">
        <v>-825.59418107008332</v>
      </c>
    </row>
    <row r="506" spans="1:19" x14ac:dyDescent="0.2">
      <c r="A506" s="51">
        <v>1430</v>
      </c>
      <c r="B506">
        <v>40000</v>
      </c>
      <c r="C506" s="25">
        <v>1</v>
      </c>
      <c r="D506" s="51">
        <v>4</v>
      </c>
      <c r="E506" s="25">
        <v>10</v>
      </c>
      <c r="G506" s="79"/>
      <c r="H506" s="79"/>
      <c r="I506" s="79"/>
      <c r="K506" s="79"/>
      <c r="L506" s="79"/>
      <c r="Q506" s="79">
        <v>503</v>
      </c>
      <c r="R506" s="79">
        <v>784.19477835029238</v>
      </c>
      <c r="S506" s="79">
        <v>385.80522164970762</v>
      </c>
    </row>
    <row r="507" spans="1:19" x14ac:dyDescent="0.2">
      <c r="A507" s="65">
        <v>9300</v>
      </c>
      <c r="B507">
        <v>60000</v>
      </c>
      <c r="C507" s="27">
        <v>2</v>
      </c>
      <c r="D507" s="65">
        <v>6</v>
      </c>
      <c r="E507" s="27">
        <v>3</v>
      </c>
      <c r="G507" s="79"/>
      <c r="H507" s="79"/>
      <c r="I507" s="79"/>
      <c r="K507" s="79"/>
      <c r="L507" s="79"/>
      <c r="Q507" s="79">
        <v>504</v>
      </c>
      <c r="R507" s="79">
        <v>2989.907857756129</v>
      </c>
      <c r="S507" s="79">
        <v>210.09214224387097</v>
      </c>
    </row>
    <row r="508" spans="1:19" x14ac:dyDescent="0.2">
      <c r="A508" s="51">
        <v>780</v>
      </c>
      <c r="B508">
        <v>5000</v>
      </c>
      <c r="C508" s="25">
        <v>1</v>
      </c>
      <c r="D508" s="51">
        <v>6</v>
      </c>
      <c r="E508" s="25">
        <v>3</v>
      </c>
      <c r="G508" s="79"/>
      <c r="H508" s="79"/>
      <c r="I508" s="79"/>
      <c r="K508" s="79"/>
      <c r="L508" s="79"/>
      <c r="Q508" s="79">
        <v>505</v>
      </c>
      <c r="R508" s="79">
        <v>2227.7682267031232</v>
      </c>
      <c r="S508" s="79">
        <v>-797.76822670312322</v>
      </c>
    </row>
    <row r="509" spans="1:19" x14ac:dyDescent="0.2">
      <c r="A509" s="65">
        <v>780</v>
      </c>
      <c r="B509">
        <v>20000</v>
      </c>
      <c r="C509" s="27">
        <v>1</v>
      </c>
      <c r="D509" s="65">
        <v>6</v>
      </c>
      <c r="E509" s="27">
        <v>4</v>
      </c>
      <c r="G509" s="79"/>
      <c r="H509" s="79"/>
      <c r="I509" s="79"/>
      <c r="K509" s="79"/>
      <c r="L509" s="79"/>
      <c r="Q509" s="79">
        <v>506</v>
      </c>
      <c r="R509" s="79">
        <v>5752.8373107327288</v>
      </c>
      <c r="S509" s="79">
        <v>3547.1626892672712</v>
      </c>
    </row>
    <row r="510" spans="1:19" x14ac:dyDescent="0.2">
      <c r="A510" s="51">
        <v>3600</v>
      </c>
      <c r="B510">
        <v>40000</v>
      </c>
      <c r="C510" s="25">
        <v>2</v>
      </c>
      <c r="D510" s="51">
        <v>4</v>
      </c>
      <c r="E510" s="25">
        <v>10</v>
      </c>
      <c r="G510" s="79"/>
      <c r="H510" s="79"/>
      <c r="I510" s="79"/>
      <c r="K510" s="79"/>
      <c r="L510" s="79"/>
      <c r="Q510" s="79">
        <v>507</v>
      </c>
      <c r="R510" s="79">
        <v>1182.7470762265382</v>
      </c>
      <c r="S510" s="79">
        <v>-402.74707622653818</v>
      </c>
    </row>
    <row r="511" spans="1:19" x14ac:dyDescent="0.2">
      <c r="A511" s="65">
        <v>3600</v>
      </c>
      <c r="B511">
        <v>40000</v>
      </c>
      <c r="C511" s="27">
        <v>1</v>
      </c>
      <c r="D511" s="65">
        <v>5</v>
      </c>
      <c r="E511" s="27">
        <v>12</v>
      </c>
      <c r="G511" s="79"/>
      <c r="H511" s="79"/>
      <c r="I511" s="79"/>
      <c r="K511" s="79"/>
      <c r="L511" s="79"/>
      <c r="Q511" s="79">
        <v>508</v>
      </c>
      <c r="R511" s="79">
        <v>1776.3176183183066</v>
      </c>
      <c r="S511" s="79">
        <v>-996.31761831830659</v>
      </c>
    </row>
    <row r="512" spans="1:19" x14ac:dyDescent="0.2">
      <c r="A512" s="51">
        <v>7500</v>
      </c>
      <c r="B512">
        <v>60000</v>
      </c>
      <c r="C512" s="25">
        <v>2</v>
      </c>
      <c r="D512" s="51">
        <v>6</v>
      </c>
      <c r="E512" s="25">
        <v>6</v>
      </c>
      <c r="G512" s="79"/>
      <c r="H512" s="79"/>
      <c r="I512" s="79"/>
      <c r="K512" s="79"/>
      <c r="L512" s="79"/>
      <c r="Q512" s="79">
        <v>509</v>
      </c>
      <c r="R512" s="79">
        <v>4943.5984826357017</v>
      </c>
      <c r="S512" s="79">
        <v>-1343.5984826357017</v>
      </c>
    </row>
    <row r="513" spans="1:19" x14ac:dyDescent="0.2">
      <c r="A513" s="65">
        <v>1200</v>
      </c>
      <c r="B513">
        <v>60000</v>
      </c>
      <c r="C513" s="27">
        <v>1</v>
      </c>
      <c r="D513" s="65">
        <v>3</v>
      </c>
      <c r="E513" s="27">
        <v>14</v>
      </c>
      <c r="G513" s="79"/>
      <c r="H513" s="79"/>
      <c r="I513" s="79"/>
      <c r="K513" s="79"/>
      <c r="L513" s="79"/>
      <c r="Q513" s="79">
        <v>510</v>
      </c>
      <c r="R513" s="79">
        <v>2778.4974764734711</v>
      </c>
      <c r="S513" s="79">
        <v>821.50252352652888</v>
      </c>
    </row>
    <row r="514" spans="1:19" x14ac:dyDescent="0.2">
      <c r="A514" s="51">
        <v>430</v>
      </c>
      <c r="B514">
        <v>20000</v>
      </c>
      <c r="C514" s="25">
        <v>1</v>
      </c>
      <c r="D514" s="51">
        <v>5</v>
      </c>
      <c r="E514" s="25">
        <v>3</v>
      </c>
      <c r="G514" s="79"/>
      <c r="H514" s="79"/>
      <c r="I514" s="79"/>
      <c r="K514" s="79"/>
      <c r="L514" s="79"/>
      <c r="Q514" s="79">
        <v>511</v>
      </c>
      <c r="R514" s="79">
        <v>6016.4271363568969</v>
      </c>
      <c r="S514" s="79">
        <v>1483.5728636431031</v>
      </c>
    </row>
    <row r="515" spans="1:19" x14ac:dyDescent="0.2">
      <c r="A515" s="65">
        <v>1000</v>
      </c>
      <c r="B515">
        <v>40000</v>
      </c>
      <c r="C515" s="27">
        <v>1</v>
      </c>
      <c r="D515" s="65">
        <v>3</v>
      </c>
      <c r="E515" s="27">
        <v>9</v>
      </c>
      <c r="G515" s="79"/>
      <c r="H515" s="79"/>
      <c r="I515" s="79"/>
      <c r="K515" s="79"/>
      <c r="L515" s="79"/>
      <c r="Q515" s="79">
        <v>512</v>
      </c>
      <c r="R515" s="79">
        <v>2878.494984026062</v>
      </c>
      <c r="S515" s="79">
        <v>-1678.494984026062</v>
      </c>
    </row>
    <row r="516" spans="1:19" x14ac:dyDescent="0.2">
      <c r="A516" s="51">
        <v>1100</v>
      </c>
      <c r="B516">
        <v>40000</v>
      </c>
      <c r="C516" s="25">
        <v>1</v>
      </c>
      <c r="D516" s="51">
        <v>3</v>
      </c>
      <c r="E516" s="25">
        <v>12</v>
      </c>
      <c r="G516" s="79"/>
      <c r="H516" s="79"/>
      <c r="I516" s="79"/>
      <c r="K516" s="79"/>
      <c r="L516" s="79"/>
      <c r="Q516" s="79">
        <v>513</v>
      </c>
      <c r="R516" s="79">
        <v>1313.4516437560153</v>
      </c>
      <c r="S516" s="79">
        <v>-883.4516437560153</v>
      </c>
    </row>
    <row r="517" spans="1:19" x14ac:dyDescent="0.2">
      <c r="A517" s="65">
        <v>3000</v>
      </c>
      <c r="B517">
        <v>60000</v>
      </c>
      <c r="C517" s="27">
        <v>2</v>
      </c>
      <c r="D517" s="65">
        <v>5</v>
      </c>
      <c r="E517" s="27">
        <v>6</v>
      </c>
      <c r="G517" s="79"/>
      <c r="H517" s="79"/>
      <c r="I517" s="79"/>
      <c r="K517" s="79"/>
      <c r="L517" s="79"/>
      <c r="Q517" s="79">
        <v>514</v>
      </c>
      <c r="R517" s="79">
        <v>1764.9022521408313</v>
      </c>
      <c r="S517" s="79">
        <v>-764.90225214083125</v>
      </c>
    </row>
    <row r="518" spans="1:19" x14ac:dyDescent="0.2">
      <c r="A518" s="51">
        <v>900</v>
      </c>
      <c r="B518">
        <v>5000</v>
      </c>
      <c r="C518" s="25">
        <v>1</v>
      </c>
      <c r="D518" s="51">
        <v>5</v>
      </c>
      <c r="E518" s="25">
        <v>7</v>
      </c>
      <c r="G518" s="79"/>
      <c r="H518" s="79"/>
      <c r="I518" s="79"/>
      <c r="K518" s="79"/>
      <c r="L518" s="79"/>
      <c r="Q518" s="79">
        <v>515</v>
      </c>
      <c r="R518" s="79">
        <v>2028.492077765</v>
      </c>
      <c r="S518" s="79">
        <v>-928.49207776499998</v>
      </c>
    </row>
    <row r="519" spans="1:19" x14ac:dyDescent="0.2">
      <c r="A519" s="65">
        <v>1900</v>
      </c>
      <c r="B519">
        <v>60000</v>
      </c>
      <c r="C519" s="27">
        <v>1</v>
      </c>
      <c r="D519" s="65">
        <v>5</v>
      </c>
      <c r="E519" s="27">
        <v>9</v>
      </c>
      <c r="G519" s="79"/>
      <c r="H519" s="79"/>
      <c r="I519" s="79"/>
      <c r="K519" s="79"/>
      <c r="L519" s="79"/>
      <c r="Q519" s="79">
        <v>516</v>
      </c>
      <c r="R519" s="79">
        <v>5641.4244370026627</v>
      </c>
      <c r="S519" s="79">
        <v>-2641.4244370026627</v>
      </c>
    </row>
    <row r="520" spans="1:19" x14ac:dyDescent="0.2">
      <c r="A520" s="51">
        <v>650</v>
      </c>
      <c r="B520">
        <v>40000</v>
      </c>
      <c r="C520" s="25">
        <v>1</v>
      </c>
      <c r="D520" s="51">
        <v>3</v>
      </c>
      <c r="E520" s="25">
        <v>3</v>
      </c>
      <c r="G520" s="79"/>
      <c r="H520" s="79"/>
      <c r="I520" s="79"/>
      <c r="K520" s="79"/>
      <c r="L520" s="79"/>
      <c r="Q520" s="79">
        <v>517</v>
      </c>
      <c r="R520" s="79">
        <v>1159.197477704528</v>
      </c>
      <c r="S520" s="79">
        <v>-259.19747770452796</v>
      </c>
    </row>
    <row r="521" spans="1:19" x14ac:dyDescent="0.2">
      <c r="A521" s="65">
        <v>8700</v>
      </c>
      <c r="B521">
        <v>40000</v>
      </c>
      <c r="C521" s="27">
        <v>2</v>
      </c>
      <c r="D521" s="65">
        <v>6</v>
      </c>
      <c r="E521" s="27">
        <v>3</v>
      </c>
      <c r="G521" s="79"/>
      <c r="H521" s="79"/>
      <c r="I521" s="79"/>
      <c r="K521" s="79"/>
      <c r="L521" s="79"/>
      <c r="Q521" s="79">
        <v>518</v>
      </c>
      <c r="R521" s="79">
        <v>3189.1840066942523</v>
      </c>
      <c r="S521" s="79">
        <v>-1289.1840066942523</v>
      </c>
    </row>
    <row r="522" spans="1:19" x14ac:dyDescent="0.2">
      <c r="A522" s="51">
        <v>3000</v>
      </c>
      <c r="B522">
        <v>60000</v>
      </c>
      <c r="C522" s="25">
        <v>1</v>
      </c>
      <c r="D522" s="51">
        <v>3</v>
      </c>
      <c r="E522" s="25">
        <v>12</v>
      </c>
      <c r="G522" s="79"/>
      <c r="H522" s="79"/>
      <c r="I522" s="79"/>
      <c r="K522" s="79"/>
      <c r="L522" s="79"/>
      <c r="Q522" s="79">
        <v>519</v>
      </c>
      <c r="R522" s="79">
        <v>1237.7226008924938</v>
      </c>
      <c r="S522" s="79">
        <v>-587.7226008924938</v>
      </c>
    </row>
    <row r="523" spans="1:19" x14ac:dyDescent="0.2">
      <c r="A523" s="65">
        <v>3600</v>
      </c>
      <c r="B523">
        <v>60000</v>
      </c>
      <c r="C523" s="27">
        <v>2</v>
      </c>
      <c r="D523" s="65">
        <v>4</v>
      </c>
      <c r="E523" s="27">
        <v>10</v>
      </c>
      <c r="G523" s="79"/>
      <c r="H523" s="79"/>
      <c r="I523" s="79"/>
      <c r="K523" s="79"/>
      <c r="L523" s="79"/>
      <c r="Q523" s="79">
        <v>520</v>
      </c>
      <c r="R523" s="79">
        <v>5078.5609548877792</v>
      </c>
      <c r="S523" s="79">
        <v>3621.4390451122208</v>
      </c>
    </row>
    <row r="524" spans="1:19" x14ac:dyDescent="0.2">
      <c r="A524" s="51">
        <v>600</v>
      </c>
      <c r="B524">
        <v>40000</v>
      </c>
      <c r="C524" s="25">
        <v>1</v>
      </c>
      <c r="D524" s="51">
        <v>5</v>
      </c>
      <c r="E524" s="25">
        <v>5</v>
      </c>
      <c r="G524" s="79"/>
      <c r="H524" s="79"/>
      <c r="I524" s="79"/>
      <c r="K524" s="79"/>
      <c r="L524" s="79"/>
      <c r="Q524" s="79">
        <v>521</v>
      </c>
      <c r="R524" s="79">
        <v>2702.7684336099496</v>
      </c>
      <c r="S524" s="79">
        <v>297.23156639005038</v>
      </c>
    </row>
    <row r="525" spans="1:19" x14ac:dyDescent="0.2">
      <c r="A525" s="65">
        <v>1300</v>
      </c>
      <c r="B525">
        <v>40000</v>
      </c>
      <c r="C525" s="27">
        <v>1</v>
      </c>
      <c r="D525" s="65">
        <v>5</v>
      </c>
      <c r="E525" s="27">
        <v>6</v>
      </c>
      <c r="G525" s="79"/>
      <c r="H525" s="79"/>
      <c r="I525" s="79"/>
      <c r="K525" s="79"/>
      <c r="L525" s="79"/>
      <c r="Q525" s="79">
        <v>522</v>
      </c>
      <c r="R525" s="79">
        <v>5617.8748384806513</v>
      </c>
      <c r="S525" s="79">
        <v>-2017.8748384806513</v>
      </c>
    </row>
    <row r="526" spans="1:19" x14ac:dyDescent="0.2">
      <c r="A526" s="51">
        <v>3000</v>
      </c>
      <c r="B526">
        <v>85000</v>
      </c>
      <c r="C526" s="25">
        <v>2</v>
      </c>
      <c r="D526" s="51">
        <v>5</v>
      </c>
      <c r="E526" s="25">
        <v>10</v>
      </c>
      <c r="G526" s="79"/>
      <c r="H526" s="79"/>
      <c r="I526" s="79"/>
      <c r="K526" s="79"/>
      <c r="L526" s="79"/>
      <c r="Q526" s="79">
        <v>523</v>
      </c>
      <c r="R526" s="79">
        <v>2163.4545500170775</v>
      </c>
      <c r="S526" s="79">
        <v>-1563.4545500170775</v>
      </c>
    </row>
    <row r="527" spans="1:19" x14ac:dyDescent="0.2">
      <c r="A527" s="65">
        <v>980</v>
      </c>
      <c r="B527">
        <v>5000</v>
      </c>
      <c r="C527" s="27">
        <v>1</v>
      </c>
      <c r="D527" s="65">
        <v>5</v>
      </c>
      <c r="E527" s="27">
        <v>6</v>
      </c>
      <c r="G527" s="79"/>
      <c r="H527" s="79"/>
      <c r="I527" s="79"/>
      <c r="K527" s="79"/>
      <c r="L527" s="79"/>
      <c r="Q527" s="79">
        <v>524</v>
      </c>
      <c r="R527" s="79">
        <v>2251.3178252251337</v>
      </c>
      <c r="S527" s="79">
        <v>-951.31782522513367</v>
      </c>
    </row>
    <row r="528" spans="1:19" x14ac:dyDescent="0.2">
      <c r="A528" s="51">
        <v>910</v>
      </c>
      <c r="B528">
        <v>40000</v>
      </c>
      <c r="C528" s="25">
        <v>1</v>
      </c>
      <c r="D528" s="51">
        <v>6</v>
      </c>
      <c r="E528" s="25">
        <v>4</v>
      </c>
      <c r="G528" s="79"/>
      <c r="H528" s="79"/>
      <c r="I528" s="79"/>
      <c r="K528" s="79"/>
      <c r="L528" s="79"/>
      <c r="Q528" s="79">
        <v>525</v>
      </c>
      <c r="R528" s="79">
        <v>6835.7229826410749</v>
      </c>
      <c r="S528" s="79">
        <v>-3835.7229826410749</v>
      </c>
    </row>
    <row r="529" spans="1:19" x14ac:dyDescent="0.2">
      <c r="A529" s="65">
        <v>2300</v>
      </c>
      <c r="B529">
        <v>60000</v>
      </c>
      <c r="C529" s="27">
        <v>1</v>
      </c>
      <c r="D529" s="65">
        <v>4</v>
      </c>
      <c r="E529" s="27">
        <v>12</v>
      </c>
      <c r="G529" s="79"/>
      <c r="H529" s="79"/>
      <c r="I529" s="79"/>
      <c r="K529" s="79"/>
      <c r="L529" s="79"/>
      <c r="Q529" s="79">
        <v>526</v>
      </c>
      <c r="R529" s="79">
        <v>1071.3342024964718</v>
      </c>
      <c r="S529" s="79">
        <v>-91.334202496471789</v>
      </c>
    </row>
    <row r="530" spans="1:19" x14ac:dyDescent="0.2">
      <c r="A530" s="51">
        <v>2300</v>
      </c>
      <c r="B530">
        <v>40000</v>
      </c>
      <c r="C530" s="25">
        <v>1</v>
      </c>
      <c r="D530" s="51">
        <v>4</v>
      </c>
      <c r="E530" s="25">
        <v>12</v>
      </c>
      <c r="G530" s="79"/>
      <c r="H530" s="79"/>
      <c r="I530" s="79"/>
      <c r="K530" s="79"/>
      <c r="L530" s="79"/>
      <c r="Q530" s="79">
        <v>527</v>
      </c>
      <c r="R530" s="79">
        <v>2450.5939741632565</v>
      </c>
      <c r="S530" s="79">
        <v>-1540.5939741632565</v>
      </c>
    </row>
    <row r="531" spans="1:19" x14ac:dyDescent="0.2">
      <c r="A531" s="65">
        <v>630</v>
      </c>
      <c r="B531">
        <v>20000</v>
      </c>
      <c r="C531" s="27">
        <v>1</v>
      </c>
      <c r="D531" s="65">
        <v>4</v>
      </c>
      <c r="E531" s="27">
        <v>3</v>
      </c>
      <c r="G531" s="79"/>
      <c r="H531" s="79"/>
      <c r="I531" s="79"/>
      <c r="K531" s="79"/>
      <c r="L531" s="79"/>
      <c r="Q531" s="79">
        <v>528</v>
      </c>
      <c r="R531" s="79">
        <v>3077.7711329641852</v>
      </c>
      <c r="S531" s="79">
        <v>-777.7711329641852</v>
      </c>
    </row>
    <row r="532" spans="1:19" x14ac:dyDescent="0.2">
      <c r="A532" s="51">
        <v>1820</v>
      </c>
      <c r="B532">
        <v>40000</v>
      </c>
      <c r="C532" s="25">
        <v>1</v>
      </c>
      <c r="D532" s="51">
        <v>4</v>
      </c>
      <c r="E532" s="25">
        <v>13</v>
      </c>
      <c r="G532" s="79"/>
      <c r="H532" s="79"/>
      <c r="I532" s="79"/>
      <c r="K532" s="79"/>
      <c r="L532" s="79"/>
      <c r="Q532" s="79">
        <v>529</v>
      </c>
      <c r="R532" s="79">
        <v>2403.4947771192356</v>
      </c>
      <c r="S532" s="79">
        <v>-103.49477711923555</v>
      </c>
    </row>
    <row r="533" spans="1:19" x14ac:dyDescent="0.2">
      <c r="A533" s="65">
        <v>3900</v>
      </c>
      <c r="B533">
        <v>60000</v>
      </c>
      <c r="C533" s="27">
        <v>2</v>
      </c>
      <c r="D533" s="65">
        <v>5</v>
      </c>
      <c r="E533" s="27">
        <v>10</v>
      </c>
      <c r="G533" s="79"/>
      <c r="H533" s="79"/>
      <c r="I533" s="79"/>
      <c r="K533" s="79"/>
      <c r="L533" s="79"/>
      <c r="Q533" s="79">
        <v>530</v>
      </c>
      <c r="R533" s="79">
        <v>938.44894440177973</v>
      </c>
      <c r="S533" s="79">
        <v>-308.44894440177973</v>
      </c>
    </row>
    <row r="534" spans="1:19" x14ac:dyDescent="0.2">
      <c r="A534" s="51">
        <v>780</v>
      </c>
      <c r="B534">
        <v>40000</v>
      </c>
      <c r="C534" s="25">
        <v>1</v>
      </c>
      <c r="D534" s="51">
        <v>5</v>
      </c>
      <c r="E534" s="25">
        <v>6</v>
      </c>
      <c r="G534" s="79"/>
      <c r="H534" s="79"/>
      <c r="I534" s="79"/>
      <c r="K534" s="79"/>
      <c r="L534" s="79"/>
      <c r="Q534" s="79">
        <v>531</v>
      </c>
      <c r="R534" s="79">
        <v>2491.3580523272917</v>
      </c>
      <c r="S534" s="79">
        <v>-671.35805232729172</v>
      </c>
    </row>
    <row r="535" spans="1:19" x14ac:dyDescent="0.2">
      <c r="A535" s="65">
        <v>3200</v>
      </c>
      <c r="B535">
        <v>40000</v>
      </c>
      <c r="C535" s="27">
        <v>2</v>
      </c>
      <c r="D535" s="65">
        <v>5</v>
      </c>
      <c r="E535" s="27">
        <v>6</v>
      </c>
      <c r="G535" s="79"/>
      <c r="H535" s="79"/>
      <c r="I535" s="79"/>
      <c r="K535" s="79"/>
      <c r="L535" s="79"/>
      <c r="Q535" s="79">
        <v>532</v>
      </c>
      <c r="R535" s="79">
        <v>5992.8775378348873</v>
      </c>
      <c r="S535" s="79">
        <v>-2092.8775378348873</v>
      </c>
    </row>
    <row r="536" spans="1:19" x14ac:dyDescent="0.2">
      <c r="A536" s="51">
        <v>6700</v>
      </c>
      <c r="B536">
        <v>40000</v>
      </c>
      <c r="C536" s="25">
        <v>2</v>
      </c>
      <c r="D536" s="51">
        <v>5</v>
      </c>
      <c r="E536" s="25">
        <v>3</v>
      </c>
      <c r="G536" s="79"/>
      <c r="H536" s="79"/>
      <c r="I536" s="79"/>
      <c r="K536" s="79"/>
      <c r="L536" s="79"/>
      <c r="Q536" s="79">
        <v>533</v>
      </c>
      <c r="R536" s="79">
        <v>2251.3178252251337</v>
      </c>
      <c r="S536" s="79">
        <v>-1471.3178252251337</v>
      </c>
    </row>
    <row r="537" spans="1:19" x14ac:dyDescent="0.2">
      <c r="A537" s="65">
        <v>780</v>
      </c>
      <c r="B537">
        <v>5000</v>
      </c>
      <c r="C537" s="27">
        <v>1</v>
      </c>
      <c r="D537" s="65">
        <v>4</v>
      </c>
      <c r="E537" s="27">
        <v>5</v>
      </c>
      <c r="G537" s="79"/>
      <c r="H537" s="79"/>
      <c r="I537" s="79"/>
      <c r="K537" s="79"/>
      <c r="L537" s="79"/>
      <c r="Q537" s="79">
        <v>534</v>
      </c>
      <c r="R537" s="79">
        <v>4967.148081157713</v>
      </c>
      <c r="S537" s="79">
        <v>-1767.148081157713</v>
      </c>
    </row>
    <row r="538" spans="1:19" x14ac:dyDescent="0.2">
      <c r="A538" s="51">
        <v>3900</v>
      </c>
      <c r="B538">
        <v>125000</v>
      </c>
      <c r="C538" s="25">
        <v>2</v>
      </c>
      <c r="D538" s="51">
        <v>4</v>
      </c>
      <c r="E538" s="25">
        <v>10</v>
      </c>
      <c r="G538" s="79"/>
      <c r="H538" s="79"/>
      <c r="I538" s="79"/>
      <c r="K538" s="79"/>
      <c r="L538" s="79"/>
      <c r="Q538" s="79">
        <v>535</v>
      </c>
      <c r="R538" s="79">
        <v>4703.5582555335441</v>
      </c>
      <c r="S538" s="79">
        <v>1996.4417444664559</v>
      </c>
    </row>
    <row r="539" spans="1:19" x14ac:dyDescent="0.2">
      <c r="A539" s="65">
        <v>3520</v>
      </c>
      <c r="B539">
        <v>85000</v>
      </c>
      <c r="C539" s="27">
        <v>1</v>
      </c>
      <c r="D539" s="65">
        <v>3</v>
      </c>
      <c r="E539" s="27">
        <v>12</v>
      </c>
      <c r="G539" s="79"/>
      <c r="H539" s="79"/>
      <c r="I539" s="79"/>
      <c r="K539" s="79"/>
      <c r="L539" s="79"/>
      <c r="Q539" s="79">
        <v>536</v>
      </c>
      <c r="R539" s="79">
        <v>608.46822793417994</v>
      </c>
      <c r="S539" s="79">
        <v>171.53177206582006</v>
      </c>
    </row>
    <row r="540" spans="1:19" x14ac:dyDescent="0.2">
      <c r="A540" s="51">
        <v>1049</v>
      </c>
      <c r="B540">
        <v>20000</v>
      </c>
      <c r="C540" s="25">
        <v>1</v>
      </c>
      <c r="D540" s="51">
        <v>6</v>
      </c>
      <c r="E540" s="25">
        <v>6</v>
      </c>
      <c r="G540" s="79"/>
      <c r="H540" s="79"/>
      <c r="I540" s="79"/>
      <c r="K540" s="79"/>
      <c r="L540" s="79"/>
      <c r="Q540" s="79">
        <v>537</v>
      </c>
      <c r="R540" s="79">
        <v>7809.2729949767381</v>
      </c>
      <c r="S540" s="79">
        <v>-3909.2729949767381</v>
      </c>
    </row>
    <row r="541" spans="1:19" x14ac:dyDescent="0.2">
      <c r="A541" s="65">
        <v>530</v>
      </c>
      <c r="B541">
        <v>20000</v>
      </c>
      <c r="C541" s="27">
        <v>1</v>
      </c>
      <c r="D541" s="65">
        <v>4</v>
      </c>
      <c r="E541" s="27">
        <v>3</v>
      </c>
      <c r="G541" s="79"/>
      <c r="H541" s="79"/>
      <c r="I541" s="79"/>
      <c r="K541" s="79"/>
      <c r="L541" s="79"/>
      <c r="Q541" s="79">
        <v>538</v>
      </c>
      <c r="R541" s="79">
        <v>3545.6138784161367</v>
      </c>
      <c r="S541" s="79">
        <v>-25.613878416136686</v>
      </c>
    </row>
    <row r="542" spans="1:19" x14ac:dyDescent="0.2">
      <c r="A542" s="51">
        <v>4890</v>
      </c>
      <c r="B542">
        <v>85000</v>
      </c>
      <c r="C542" s="25">
        <v>1</v>
      </c>
      <c r="D542" s="51">
        <v>3</v>
      </c>
      <c r="E542" s="25">
        <v>15</v>
      </c>
      <c r="G542" s="79"/>
      <c r="H542" s="79"/>
      <c r="I542" s="79"/>
      <c r="K542" s="79"/>
      <c r="L542" s="79"/>
      <c r="Q542" s="79">
        <v>539</v>
      </c>
      <c r="R542" s="79">
        <v>1952.0441687344191</v>
      </c>
      <c r="S542" s="79">
        <v>-903.04416873441915</v>
      </c>
    </row>
    <row r="543" spans="1:19" x14ac:dyDescent="0.2">
      <c r="A543" s="65">
        <v>1180</v>
      </c>
      <c r="B543">
        <v>60000</v>
      </c>
      <c r="C543" s="27">
        <v>1</v>
      </c>
      <c r="D543" s="65">
        <v>3</v>
      </c>
      <c r="E543" s="27">
        <v>7</v>
      </c>
      <c r="G543" s="79"/>
      <c r="H543" s="79"/>
      <c r="I543" s="79"/>
      <c r="K543" s="79"/>
      <c r="L543" s="79"/>
      <c r="Q543" s="79">
        <v>540</v>
      </c>
      <c r="R543" s="79">
        <v>938.44894440177973</v>
      </c>
      <c r="S543" s="79">
        <v>-408.44894440177973</v>
      </c>
    </row>
    <row r="544" spans="1:19" x14ac:dyDescent="0.2">
      <c r="A544" s="51">
        <v>8100</v>
      </c>
      <c r="B544">
        <v>60000</v>
      </c>
      <c r="C544" s="25">
        <v>2</v>
      </c>
      <c r="D544" s="51">
        <v>5</v>
      </c>
      <c r="E544" s="25">
        <v>2</v>
      </c>
      <c r="G544" s="79"/>
      <c r="H544" s="79"/>
      <c r="I544" s="79"/>
      <c r="K544" s="79"/>
      <c r="L544" s="79"/>
      <c r="Q544" s="79">
        <v>541</v>
      </c>
      <c r="R544" s="79">
        <v>3809.2037040403056</v>
      </c>
      <c r="S544" s="79">
        <v>1080.7962959596944</v>
      </c>
    </row>
    <row r="545" spans="1:19" x14ac:dyDescent="0.2">
      <c r="A545" s="65">
        <v>2600</v>
      </c>
      <c r="B545">
        <v>125000</v>
      </c>
      <c r="C545" s="27">
        <v>2</v>
      </c>
      <c r="D545" s="65">
        <v>5</v>
      </c>
      <c r="E545" s="27">
        <v>11</v>
      </c>
      <c r="G545" s="79"/>
      <c r="H545" s="79"/>
      <c r="I545" s="79"/>
      <c r="K545" s="79"/>
      <c r="L545" s="79"/>
      <c r="Q545" s="79">
        <v>542</v>
      </c>
      <c r="R545" s="79">
        <v>2263.4520575696683</v>
      </c>
      <c r="S545" s="79">
        <v>-1083.4520575696683</v>
      </c>
    </row>
    <row r="546" spans="1:19" x14ac:dyDescent="0.2">
      <c r="A546" s="51">
        <v>3000</v>
      </c>
      <c r="B546">
        <v>5000</v>
      </c>
      <c r="C546" s="25">
        <v>3</v>
      </c>
      <c r="D546" s="51">
        <v>4</v>
      </c>
      <c r="E546" s="25">
        <v>2</v>
      </c>
      <c r="G546" s="79"/>
      <c r="H546" s="79"/>
      <c r="I546" s="79"/>
      <c r="K546" s="79"/>
      <c r="L546" s="79"/>
      <c r="Q546" s="79">
        <v>543</v>
      </c>
      <c r="R546" s="79">
        <v>5289.9713361704371</v>
      </c>
      <c r="S546" s="79">
        <v>2810.0286638295629</v>
      </c>
    </row>
    <row r="547" spans="1:19" x14ac:dyDescent="0.2">
      <c r="A547" s="90">
        <v>555</v>
      </c>
      <c r="B547">
        <v>20000</v>
      </c>
      <c r="C547" s="27">
        <v>2</v>
      </c>
      <c r="D547" s="65">
        <v>6</v>
      </c>
      <c r="E547" s="27">
        <v>5</v>
      </c>
      <c r="G547" s="79"/>
      <c r="H547" s="79"/>
      <c r="I547" s="79"/>
      <c r="K547" s="79"/>
      <c r="L547" s="79"/>
      <c r="Q547" s="79">
        <v>544</v>
      </c>
      <c r="R547" s="79">
        <v>8272.1389695390299</v>
      </c>
      <c r="S547" s="79">
        <v>-5672.1389695390299</v>
      </c>
    </row>
    <row r="548" spans="1:19" x14ac:dyDescent="0.2">
      <c r="A548" s="89">
        <v>650</v>
      </c>
      <c r="B548">
        <v>5000</v>
      </c>
      <c r="C548" s="25">
        <v>1</v>
      </c>
      <c r="D548" s="51">
        <v>5</v>
      </c>
      <c r="E548" s="28">
        <v>6</v>
      </c>
      <c r="G548" s="79"/>
      <c r="H548" s="79"/>
      <c r="I548" s="79"/>
      <c r="K548" s="79"/>
      <c r="L548" s="79"/>
      <c r="Q548" s="79">
        <v>545</v>
      </c>
      <c r="R548" s="79">
        <v>5776.5389141751702</v>
      </c>
      <c r="S548" s="79">
        <v>-2776.5389141751702</v>
      </c>
    </row>
    <row r="549" spans="1:19" x14ac:dyDescent="0.2">
      <c r="A549" s="90">
        <v>750</v>
      </c>
      <c r="B549">
        <v>5000</v>
      </c>
      <c r="C549" s="27">
        <v>1</v>
      </c>
      <c r="D549" s="65">
        <v>6</v>
      </c>
      <c r="E549" s="27">
        <v>7</v>
      </c>
      <c r="G549" s="79"/>
      <c r="H549" s="79"/>
      <c r="I549" s="79"/>
      <c r="K549" s="79"/>
      <c r="L549" s="79"/>
      <c r="Q549" s="79">
        <v>546</v>
      </c>
      <c r="R549" s="79">
        <v>4580.0111494589419</v>
      </c>
      <c r="S549" s="79">
        <v>-4025.0111494589419</v>
      </c>
    </row>
    <row r="550" spans="1:19" x14ac:dyDescent="0.2">
      <c r="A550" s="89">
        <v>950</v>
      </c>
      <c r="B550">
        <v>5000</v>
      </c>
      <c r="C550" s="25">
        <v>1</v>
      </c>
      <c r="D550" s="51">
        <v>6</v>
      </c>
      <c r="E550" s="28">
        <v>6</v>
      </c>
      <c r="G550" s="79"/>
      <c r="H550" s="79"/>
      <c r="I550" s="79"/>
      <c r="K550" s="79"/>
      <c r="L550" s="79"/>
      <c r="Q550" s="79">
        <v>547</v>
      </c>
      <c r="R550" s="79">
        <v>1071.3342024964718</v>
      </c>
      <c r="S550" s="79">
        <v>-421.33420249647179</v>
      </c>
    </row>
    <row r="551" spans="1:19" x14ac:dyDescent="0.2">
      <c r="A551" s="90">
        <v>1000</v>
      </c>
      <c r="B551">
        <v>20000</v>
      </c>
      <c r="C551" s="27">
        <v>2</v>
      </c>
      <c r="D551" s="65">
        <v>6</v>
      </c>
      <c r="E551" s="27">
        <v>6</v>
      </c>
      <c r="G551" s="79"/>
      <c r="H551" s="79"/>
      <c r="I551" s="79"/>
      <c r="K551" s="79"/>
      <c r="L551" s="79"/>
      <c r="Q551" s="79">
        <v>548</v>
      </c>
      <c r="R551" s="79">
        <v>1534.2001770587631</v>
      </c>
      <c r="S551" s="79">
        <v>-784.20017705876307</v>
      </c>
    </row>
    <row r="552" spans="1:19" x14ac:dyDescent="0.2">
      <c r="A552" s="51">
        <v>3000</v>
      </c>
      <c r="B552">
        <v>5000</v>
      </c>
      <c r="C552" s="25">
        <v>1</v>
      </c>
      <c r="D552" s="51">
        <v>4</v>
      </c>
      <c r="E552" s="25">
        <v>5</v>
      </c>
      <c r="G552" s="79"/>
      <c r="H552" s="79"/>
      <c r="I552" s="79"/>
      <c r="K552" s="79"/>
      <c r="L552" s="79"/>
      <c r="Q552" s="79">
        <v>549</v>
      </c>
      <c r="R552" s="79">
        <v>1446.3369018507069</v>
      </c>
      <c r="S552" s="79">
        <v>-496.33690185070691</v>
      </c>
    </row>
    <row r="553" spans="1:19" x14ac:dyDescent="0.2">
      <c r="A553" s="90">
        <v>1000</v>
      </c>
      <c r="B553">
        <v>5000</v>
      </c>
      <c r="C553" s="27">
        <v>1</v>
      </c>
      <c r="D553" s="65">
        <v>6</v>
      </c>
      <c r="E553" s="27">
        <v>5</v>
      </c>
      <c r="G553" s="79"/>
      <c r="H553" s="79"/>
      <c r="I553" s="79"/>
      <c r="K553" s="79"/>
      <c r="L553" s="79"/>
      <c r="Q553" s="79">
        <v>550</v>
      </c>
      <c r="R553" s="79">
        <v>4667.8744246669976</v>
      </c>
      <c r="S553" s="79">
        <v>-3667.8744246669976</v>
      </c>
    </row>
    <row r="554" spans="1:19" x14ac:dyDescent="0.2">
      <c r="A554" s="89">
        <v>750</v>
      </c>
      <c r="B554">
        <v>5000</v>
      </c>
      <c r="C554" s="25">
        <v>1</v>
      </c>
      <c r="D554" s="51">
        <v>3</v>
      </c>
      <c r="E554" s="25">
        <v>12</v>
      </c>
      <c r="G554" s="79"/>
      <c r="H554" s="79"/>
      <c r="I554" s="79"/>
      <c r="K554" s="79"/>
      <c r="L554" s="79"/>
      <c r="Q554" s="79">
        <v>551</v>
      </c>
      <c r="R554" s="79">
        <v>608.46822793417994</v>
      </c>
      <c r="S554" s="79">
        <v>2391.53177206582</v>
      </c>
    </row>
    <row r="555" spans="1:19" x14ac:dyDescent="0.2">
      <c r="A555" s="90">
        <v>950</v>
      </c>
      <c r="B555">
        <v>5000</v>
      </c>
      <c r="C555" s="27">
        <v>1</v>
      </c>
      <c r="D555" s="65">
        <v>3</v>
      </c>
      <c r="E555" s="27">
        <v>6</v>
      </c>
      <c r="G555" s="79"/>
      <c r="H555" s="79"/>
      <c r="I555" s="79"/>
      <c r="K555" s="79"/>
      <c r="L555" s="79"/>
      <c r="Q555" s="79">
        <v>552</v>
      </c>
      <c r="R555" s="79">
        <v>1358.4736266426507</v>
      </c>
      <c r="S555" s="79">
        <v>-358.47362664265074</v>
      </c>
    </row>
    <row r="556" spans="1:19" x14ac:dyDescent="0.2">
      <c r="A556" s="51">
        <v>2600</v>
      </c>
      <c r="B556">
        <v>40000</v>
      </c>
      <c r="C556" s="25">
        <v>2</v>
      </c>
      <c r="D556" s="51">
        <v>5</v>
      </c>
      <c r="E556" s="25">
        <v>11</v>
      </c>
      <c r="G556" s="79"/>
      <c r="H556" s="79"/>
      <c r="I556" s="79"/>
      <c r="K556" s="79"/>
      <c r="L556" s="79"/>
      <c r="Q556" s="79">
        <v>553</v>
      </c>
      <c r="R556" s="79">
        <v>848.50845503633809</v>
      </c>
      <c r="S556" s="79">
        <v>-98.508455036338091</v>
      </c>
    </row>
    <row r="557" spans="1:19" x14ac:dyDescent="0.2">
      <c r="A557" s="65">
        <v>8100</v>
      </c>
      <c r="B557">
        <v>40000</v>
      </c>
      <c r="C557" s="27">
        <v>2</v>
      </c>
      <c r="D557" s="65">
        <v>6</v>
      </c>
      <c r="E557" s="27">
        <v>2</v>
      </c>
      <c r="G557" s="79"/>
      <c r="H557" s="79"/>
      <c r="I557" s="79"/>
      <c r="K557" s="79"/>
      <c r="L557" s="79"/>
      <c r="Q557" s="79">
        <v>554</v>
      </c>
      <c r="R557" s="79">
        <v>321.32880378800064</v>
      </c>
      <c r="S557" s="79">
        <v>628.67119621199936</v>
      </c>
    </row>
    <row r="558" spans="1:19" x14ac:dyDescent="0.2">
      <c r="A558" s="51">
        <v>1170</v>
      </c>
      <c r="B558">
        <v>40000</v>
      </c>
      <c r="C558" s="25">
        <v>1</v>
      </c>
      <c r="D558" s="51">
        <v>4</v>
      </c>
      <c r="E558" s="25">
        <v>7</v>
      </c>
      <c r="G558" s="79"/>
      <c r="H558" s="79"/>
      <c r="I558" s="79"/>
      <c r="K558" s="79"/>
      <c r="L558" s="79"/>
      <c r="Q558" s="79">
        <v>555</v>
      </c>
      <c r="R558" s="79">
        <v>5406.4644571979934</v>
      </c>
      <c r="S558" s="79">
        <v>-2806.4644571979934</v>
      </c>
    </row>
    <row r="559" spans="1:19" x14ac:dyDescent="0.2">
      <c r="A559" s="65">
        <v>4480</v>
      </c>
      <c r="B559">
        <v>40000</v>
      </c>
      <c r="C559" s="27">
        <v>1</v>
      </c>
      <c r="D559" s="65">
        <v>4</v>
      </c>
      <c r="E559" s="27">
        <v>16</v>
      </c>
      <c r="G559" s="79"/>
      <c r="H559" s="79"/>
      <c r="I559" s="79"/>
      <c r="K559" s="79"/>
      <c r="L559" s="79"/>
      <c r="Q559" s="79">
        <v>556</v>
      </c>
      <c r="R559" s="79">
        <v>4990.6976796797226</v>
      </c>
      <c r="S559" s="79">
        <v>3109.3023203202774</v>
      </c>
    </row>
    <row r="560" spans="1:19" x14ac:dyDescent="0.2">
      <c r="A560" s="51">
        <v>3510</v>
      </c>
      <c r="B560">
        <v>60000</v>
      </c>
      <c r="C560" s="25">
        <v>2</v>
      </c>
      <c r="D560" s="51">
        <v>4</v>
      </c>
      <c r="E560" s="25">
        <v>10</v>
      </c>
      <c r="G560" s="79"/>
      <c r="H560" s="79"/>
      <c r="I560" s="79"/>
      <c r="K560" s="79"/>
      <c r="L560" s="79"/>
      <c r="Q560" s="79">
        <v>557</v>
      </c>
      <c r="R560" s="79">
        <v>1964.1784010789543</v>
      </c>
      <c r="S560" s="79">
        <v>-794.17840107895427</v>
      </c>
    </row>
    <row r="561" spans="1:19" x14ac:dyDescent="0.2">
      <c r="A561" s="65">
        <v>520</v>
      </c>
      <c r="B561">
        <v>20000</v>
      </c>
      <c r="C561" s="27">
        <v>1</v>
      </c>
      <c r="D561" s="65">
        <v>5</v>
      </c>
      <c r="E561" s="27">
        <v>2</v>
      </c>
      <c r="G561" s="79"/>
      <c r="H561" s="79"/>
      <c r="I561" s="79"/>
      <c r="K561" s="79"/>
      <c r="L561" s="79"/>
      <c r="Q561" s="79">
        <v>558</v>
      </c>
      <c r="R561" s="79">
        <v>2754.9478779514602</v>
      </c>
      <c r="S561" s="79">
        <v>1725.0521220485398</v>
      </c>
    </row>
    <row r="562" spans="1:19" x14ac:dyDescent="0.2">
      <c r="A562" s="51">
        <v>7200</v>
      </c>
      <c r="B562">
        <v>60000</v>
      </c>
      <c r="C562" s="25">
        <v>2</v>
      </c>
      <c r="D562" s="51">
        <v>5</v>
      </c>
      <c r="E562" s="25">
        <v>7</v>
      </c>
      <c r="G562" s="79"/>
      <c r="H562" s="79"/>
      <c r="I562" s="79"/>
      <c r="K562" s="79"/>
      <c r="L562" s="79"/>
      <c r="Q562" s="79">
        <v>559</v>
      </c>
      <c r="R562" s="79">
        <v>5617.8748384806513</v>
      </c>
      <c r="S562" s="79">
        <v>-2107.8748384806513</v>
      </c>
    </row>
    <row r="563" spans="1:19" x14ac:dyDescent="0.2">
      <c r="A563" s="65">
        <v>1560</v>
      </c>
      <c r="B563">
        <v>40000</v>
      </c>
      <c r="C563" s="27">
        <v>1</v>
      </c>
      <c r="D563" s="65">
        <v>3</v>
      </c>
      <c r="E563" s="27">
        <v>11</v>
      </c>
      <c r="G563" s="79"/>
      <c r="H563" s="79"/>
      <c r="I563" s="79"/>
      <c r="K563" s="79"/>
      <c r="L563" s="79"/>
      <c r="Q563" s="79">
        <v>560</v>
      </c>
      <c r="R563" s="79">
        <v>1225.5883685479591</v>
      </c>
      <c r="S563" s="79">
        <v>-705.58836854795913</v>
      </c>
    </row>
    <row r="564" spans="1:19" x14ac:dyDescent="0.2">
      <c r="A564" s="51">
        <v>520</v>
      </c>
      <c r="B564">
        <v>20000</v>
      </c>
      <c r="C564" s="25">
        <v>1</v>
      </c>
      <c r="D564" s="51">
        <v>5</v>
      </c>
      <c r="E564" s="25">
        <v>2</v>
      </c>
      <c r="G564" s="79"/>
      <c r="H564" s="79"/>
      <c r="I564" s="79"/>
      <c r="K564" s="79"/>
      <c r="L564" s="79"/>
      <c r="Q564" s="79">
        <v>561</v>
      </c>
      <c r="R564" s="79">
        <v>5729.2877122107184</v>
      </c>
      <c r="S564" s="79">
        <v>1470.7122877892816</v>
      </c>
    </row>
    <row r="565" spans="1:19" x14ac:dyDescent="0.2">
      <c r="A565" s="65">
        <v>1180</v>
      </c>
      <c r="B565">
        <v>40000</v>
      </c>
      <c r="C565" s="27">
        <v>1</v>
      </c>
      <c r="D565" s="65">
        <v>5</v>
      </c>
      <c r="E565" s="27">
        <v>10</v>
      </c>
      <c r="G565" s="79"/>
      <c r="H565" s="79"/>
      <c r="I565" s="79"/>
      <c r="K565" s="79"/>
      <c r="L565" s="79"/>
      <c r="Q565" s="79">
        <v>562</v>
      </c>
      <c r="R565" s="79">
        <v>1940.6288025569438</v>
      </c>
      <c r="S565" s="79">
        <v>-380.62880255694381</v>
      </c>
    </row>
    <row r="566" spans="1:19" x14ac:dyDescent="0.2">
      <c r="A566" s="51">
        <v>6600</v>
      </c>
      <c r="B566">
        <v>40000</v>
      </c>
      <c r="C566" s="25">
        <v>2</v>
      </c>
      <c r="D566" s="51">
        <v>5</v>
      </c>
      <c r="E566" s="25">
        <v>3</v>
      </c>
      <c r="G566" s="79"/>
      <c r="H566" s="79"/>
      <c r="I566" s="79"/>
      <c r="K566" s="79"/>
      <c r="L566" s="79"/>
      <c r="Q566" s="79">
        <v>563</v>
      </c>
      <c r="R566" s="79">
        <v>1225.5883685479591</v>
      </c>
      <c r="S566" s="79">
        <v>-705.58836854795913</v>
      </c>
    </row>
    <row r="567" spans="1:19" x14ac:dyDescent="0.2">
      <c r="A567" s="65">
        <v>680</v>
      </c>
      <c r="B567">
        <v>40000</v>
      </c>
      <c r="C567" s="27">
        <v>1</v>
      </c>
      <c r="D567" s="65">
        <v>5</v>
      </c>
      <c r="E567" s="27">
        <v>3</v>
      </c>
      <c r="G567" s="79"/>
      <c r="H567" s="79"/>
      <c r="I567" s="79"/>
      <c r="K567" s="79"/>
      <c r="L567" s="79"/>
      <c r="Q567" s="79">
        <v>564</v>
      </c>
      <c r="R567" s="79">
        <v>2602.7709260573583</v>
      </c>
      <c r="S567" s="79">
        <v>-1422.7709260573583</v>
      </c>
    </row>
    <row r="568" spans="1:19" x14ac:dyDescent="0.2">
      <c r="A568" s="51">
        <v>2000</v>
      </c>
      <c r="B568">
        <v>60000</v>
      </c>
      <c r="C568" s="25">
        <v>1</v>
      </c>
      <c r="D568" s="51">
        <v>5</v>
      </c>
      <c r="E568" s="25">
        <v>9</v>
      </c>
      <c r="G568" s="79"/>
      <c r="H568" s="79"/>
      <c r="I568" s="79"/>
      <c r="K568" s="79"/>
      <c r="L568" s="79"/>
      <c r="Q568" s="79">
        <v>565</v>
      </c>
      <c r="R568" s="79">
        <v>4703.5582555335441</v>
      </c>
      <c r="S568" s="79">
        <v>1896.4417444664559</v>
      </c>
    </row>
    <row r="569" spans="1:19" x14ac:dyDescent="0.2">
      <c r="G569" s="79"/>
      <c r="H569" s="79"/>
      <c r="I569" s="79"/>
      <c r="K569" s="79"/>
      <c r="L569" s="79"/>
      <c r="Q569" s="79">
        <v>566</v>
      </c>
      <c r="R569" s="79">
        <v>1987.7279996009649</v>
      </c>
      <c r="S569" s="79">
        <v>-1307.7279996009649</v>
      </c>
    </row>
    <row r="570" spans="1:19" ht="13.5" thickBot="1" x14ac:dyDescent="0.25">
      <c r="G570" s="79"/>
      <c r="H570" s="79"/>
      <c r="I570" s="79"/>
      <c r="K570" s="79"/>
      <c r="L570" s="79"/>
      <c r="Q570" s="80">
        <v>567</v>
      </c>
      <c r="R570" s="80">
        <v>3189.1840066942523</v>
      </c>
      <c r="S570" s="80">
        <v>-1189.1840066942523</v>
      </c>
    </row>
    <row r="571" spans="1:19" x14ac:dyDescent="0.2">
      <c r="G571" s="79"/>
      <c r="H571" s="79"/>
      <c r="I571" s="79"/>
      <c r="K571" s="79"/>
      <c r="L571" s="79"/>
    </row>
    <row r="572" spans="1:19" x14ac:dyDescent="0.2">
      <c r="G572" s="79"/>
      <c r="H572" s="79"/>
      <c r="I572" s="79"/>
      <c r="K572" s="79"/>
      <c r="L572" s="79"/>
    </row>
    <row r="573" spans="1:19" x14ac:dyDescent="0.2">
      <c r="G573" s="79"/>
      <c r="H573" s="79"/>
      <c r="I573" s="79"/>
      <c r="K573" s="79"/>
      <c r="L573" s="79"/>
    </row>
    <row r="574" spans="1:19" x14ac:dyDescent="0.2">
      <c r="G574" s="79"/>
      <c r="H574" s="79"/>
      <c r="I574" s="79"/>
      <c r="K574" s="79"/>
      <c r="L574" s="79"/>
    </row>
    <row r="575" spans="1:19" x14ac:dyDescent="0.2">
      <c r="G575" s="79"/>
      <c r="H575" s="79"/>
      <c r="I575" s="79"/>
      <c r="K575" s="79"/>
      <c r="L575" s="79"/>
    </row>
    <row r="576" spans="1:19" x14ac:dyDescent="0.2">
      <c r="G576" s="79"/>
      <c r="H576" s="79"/>
      <c r="I576" s="79"/>
      <c r="K576" s="79"/>
      <c r="L576" s="79"/>
    </row>
    <row r="577" spans="7:12" x14ac:dyDescent="0.2">
      <c r="G577" s="79"/>
      <c r="H577" s="79"/>
      <c r="I577" s="79"/>
      <c r="K577" s="79"/>
      <c r="L577" s="79"/>
    </row>
    <row r="578" spans="7:12" x14ac:dyDescent="0.2">
      <c r="G578" s="79"/>
      <c r="H578" s="79"/>
      <c r="I578" s="79"/>
      <c r="K578" s="79"/>
      <c r="L578" s="79"/>
    </row>
    <row r="579" spans="7:12" x14ac:dyDescent="0.2">
      <c r="G579" s="79"/>
      <c r="H579" s="79"/>
      <c r="I579" s="79"/>
      <c r="K579" s="79"/>
      <c r="L579" s="79"/>
    </row>
    <row r="580" spans="7:12" x14ac:dyDescent="0.2">
      <c r="G580" s="79"/>
      <c r="H580" s="79"/>
      <c r="I580" s="79"/>
      <c r="K580" s="79"/>
      <c r="L580" s="79"/>
    </row>
    <row r="581" spans="7:12" x14ac:dyDescent="0.2">
      <c r="G581" s="79"/>
      <c r="H581" s="79"/>
      <c r="I581" s="79"/>
      <c r="K581" s="79"/>
      <c r="L581" s="79"/>
    </row>
    <row r="582" spans="7:12" x14ac:dyDescent="0.2">
      <c r="G582" s="79"/>
      <c r="H582" s="79"/>
      <c r="I582" s="79"/>
      <c r="K582" s="79"/>
      <c r="L582" s="79"/>
    </row>
    <row r="583" spans="7:12" x14ac:dyDescent="0.2">
      <c r="G583" s="79"/>
      <c r="H583" s="79"/>
      <c r="I583" s="79"/>
      <c r="K583" s="79"/>
      <c r="L583" s="79"/>
    </row>
    <row r="584" spans="7:12" x14ac:dyDescent="0.2">
      <c r="G584" s="79"/>
      <c r="H584" s="79"/>
      <c r="I584" s="79"/>
      <c r="K584" s="79"/>
      <c r="L584" s="79"/>
    </row>
    <row r="585" spans="7:12" x14ac:dyDescent="0.2">
      <c r="G585" s="79"/>
      <c r="H585" s="79"/>
      <c r="I585" s="79"/>
      <c r="K585" s="79"/>
      <c r="L585" s="79"/>
    </row>
    <row r="586" spans="7:12" x14ac:dyDescent="0.2">
      <c r="G586" s="79"/>
      <c r="H586" s="79"/>
      <c r="I586" s="79"/>
      <c r="K586" s="79"/>
      <c r="L586" s="79"/>
    </row>
    <row r="587" spans="7:12" x14ac:dyDescent="0.2">
      <c r="G587" s="79"/>
      <c r="H587" s="79"/>
      <c r="I587" s="79"/>
      <c r="K587" s="79"/>
      <c r="L587" s="79"/>
    </row>
    <row r="588" spans="7:12" x14ac:dyDescent="0.2">
      <c r="G588" s="79"/>
      <c r="H588" s="79"/>
      <c r="I588" s="79"/>
      <c r="K588" s="79"/>
      <c r="L588" s="79"/>
    </row>
    <row r="589" spans="7:12" x14ac:dyDescent="0.2">
      <c r="G589" s="79"/>
      <c r="H589" s="79"/>
      <c r="I589" s="79"/>
      <c r="K589" s="79"/>
      <c r="L589" s="79"/>
    </row>
    <row r="590" spans="7:12" x14ac:dyDescent="0.2">
      <c r="G590" s="79"/>
      <c r="H590" s="79"/>
      <c r="I590" s="79"/>
      <c r="K590" s="79"/>
      <c r="L590" s="79"/>
    </row>
    <row r="591" spans="7:12" x14ac:dyDescent="0.2">
      <c r="G591" s="79"/>
      <c r="H591" s="79"/>
      <c r="I591" s="79"/>
      <c r="K591" s="79"/>
      <c r="L591" s="79"/>
    </row>
    <row r="592" spans="7:12" x14ac:dyDescent="0.2">
      <c r="G592" s="79"/>
      <c r="H592" s="79"/>
      <c r="I592" s="79"/>
      <c r="K592" s="79"/>
      <c r="L592" s="79"/>
    </row>
    <row r="593" spans="7:12" x14ac:dyDescent="0.2">
      <c r="G593" s="79"/>
      <c r="H593" s="79"/>
      <c r="I593" s="79"/>
      <c r="K593" s="79"/>
      <c r="L593" s="79"/>
    </row>
    <row r="594" spans="7:12" x14ac:dyDescent="0.2">
      <c r="G594" s="79"/>
      <c r="H594" s="79"/>
      <c r="I594" s="79"/>
      <c r="K594" s="79"/>
      <c r="L594" s="79"/>
    </row>
  </sheetData>
  <sortState ref="L28:L594">
    <sortCondition ref="L28"/>
  </sortState>
  <conditionalFormatting sqref="B1">
    <cfRule type="containsBlanks" dxfId="10" priority="5">
      <formula>LEN(TRIM(B1))=0</formula>
    </cfRule>
  </conditionalFormatting>
  <conditionalFormatting sqref="C1:C568">
    <cfRule type="containsBlanks" dxfId="9" priority="4">
      <formula>LEN(TRIM(C1))=0</formula>
    </cfRule>
  </conditionalFormatting>
  <conditionalFormatting sqref="D1:D568">
    <cfRule type="containsBlanks" dxfId="8" priority="3">
      <formula>LEN(TRIM(D1))=0</formula>
    </cfRule>
  </conditionalFormatting>
  <conditionalFormatting sqref="E1:E568">
    <cfRule type="containsBlanks" dxfId="7" priority="2">
      <formula>LEN(TRIM(E1))=0</formula>
    </cfRule>
  </conditionalFormatting>
  <conditionalFormatting sqref="A1:A568">
    <cfRule type="containsBlanks" dxfId="6" priority="1">
      <formula>LEN(TRIM(A1))=0</formula>
    </cfRule>
  </conditionalFormatting>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594"/>
  <sheetViews>
    <sheetView topLeftCell="F1" workbookViewId="0">
      <selection activeCell="M28" sqref="M28"/>
    </sheetView>
  </sheetViews>
  <sheetFormatPr defaultRowHeight="12.75" x14ac:dyDescent="0.2"/>
  <cols>
    <col min="1" max="1" width="13.5703125" customWidth="1"/>
    <col min="4" max="4" width="15.85546875" customWidth="1"/>
    <col min="5" max="5" width="16.28515625" customWidth="1"/>
    <col min="6" max="6" width="29.42578125" customWidth="1"/>
    <col min="8" max="8" width="21.85546875" customWidth="1"/>
    <col min="9" max="9" width="16.85546875" customWidth="1"/>
    <col min="10" max="10" width="14" customWidth="1"/>
    <col min="11" max="11" width="16.85546875" customWidth="1"/>
    <col min="12" max="12" width="16.28515625" customWidth="1"/>
    <col min="13" max="13" width="16.5703125" customWidth="1"/>
    <col min="14" max="14" width="14.28515625" customWidth="1"/>
    <col min="15" max="15" width="15.85546875" customWidth="1"/>
    <col min="16" max="16" width="14.5703125" customWidth="1"/>
  </cols>
  <sheetData>
    <row r="1" spans="1:16" ht="26.25" thickBot="1" x14ac:dyDescent="0.3">
      <c r="A1" s="66" t="s">
        <v>1581</v>
      </c>
      <c r="B1" s="66" t="s">
        <v>1603</v>
      </c>
      <c r="C1" s="66" t="s">
        <v>1604</v>
      </c>
      <c r="D1" s="17" t="s">
        <v>1463</v>
      </c>
      <c r="E1" s="11" t="s">
        <v>1543</v>
      </c>
      <c r="F1" s="14" t="s">
        <v>1464</v>
      </c>
      <c r="H1" s="154" t="s">
        <v>1582</v>
      </c>
    </row>
    <row r="2" spans="1:16" ht="14.25" thickTop="1" thickBot="1" x14ac:dyDescent="0.25">
      <c r="A2">
        <v>7.5</v>
      </c>
      <c r="B2">
        <f>IF(ISNUMBER(SEARCH("bike",F2))+ISNUMBER(SEARCH("scooty",F2))&gt;0,1,0)</f>
        <v>1</v>
      </c>
      <c r="C2">
        <f>IF(ISNUMBER(SEARCH("car",F2))+ISNUMBER(SEARCH("Commercial vehicle",F2))&gt;0,1,0)</f>
        <v>0</v>
      </c>
      <c r="D2" s="25">
        <v>1</v>
      </c>
      <c r="E2">
        <v>5000</v>
      </c>
      <c r="F2" s="47" t="s">
        <v>46</v>
      </c>
    </row>
    <row r="3" spans="1:16" x14ac:dyDescent="0.2">
      <c r="A3">
        <v>19</v>
      </c>
      <c r="B3">
        <f t="shared" ref="B3:B66" si="0">IF(ISNUMBER(SEARCH("bike",F3))+ISNUMBER(SEARCH("scooty",F3))&gt;0,1,0)</f>
        <v>1</v>
      </c>
      <c r="C3">
        <f t="shared" ref="C3:C66" si="1">IF(ISNUMBER(SEARCH("car",F3))+ISNUMBER(SEARCH("Commercial vehicle",F3))&gt;0,1,0)</f>
        <v>1</v>
      </c>
      <c r="D3" s="27">
        <v>2</v>
      </c>
      <c r="E3">
        <v>20000</v>
      </c>
      <c r="F3" s="50" t="s">
        <v>290</v>
      </c>
      <c r="H3" s="101" t="s">
        <v>1583</v>
      </c>
      <c r="I3" s="101"/>
    </row>
    <row r="4" spans="1:16" x14ac:dyDescent="0.2">
      <c r="A4">
        <v>1.6666666666666667</v>
      </c>
      <c r="B4">
        <f t="shared" si="0"/>
        <v>1</v>
      </c>
      <c r="C4">
        <f t="shared" si="1"/>
        <v>0</v>
      </c>
      <c r="D4" s="25">
        <v>1</v>
      </c>
      <c r="E4">
        <v>20000</v>
      </c>
      <c r="F4" s="47" t="s">
        <v>100</v>
      </c>
      <c r="H4" s="79" t="s">
        <v>1584</v>
      </c>
      <c r="I4" s="79">
        <v>0.7352149145821737</v>
      </c>
    </row>
    <row r="5" spans="1:16" x14ac:dyDescent="0.2">
      <c r="A5">
        <v>4</v>
      </c>
      <c r="B5">
        <f t="shared" si="0"/>
        <v>1</v>
      </c>
      <c r="C5">
        <f t="shared" si="1"/>
        <v>0</v>
      </c>
      <c r="D5" s="27">
        <v>1</v>
      </c>
      <c r="E5">
        <v>20000</v>
      </c>
      <c r="F5" s="50" t="s">
        <v>46</v>
      </c>
      <c r="H5" s="79" t="s">
        <v>1585</v>
      </c>
      <c r="I5" s="79">
        <v>0.54054097062407302</v>
      </c>
    </row>
    <row r="6" spans="1:16" x14ac:dyDescent="0.2">
      <c r="A6">
        <v>22.6</v>
      </c>
      <c r="B6">
        <f t="shared" si="0"/>
        <v>1</v>
      </c>
      <c r="C6">
        <f t="shared" si="1"/>
        <v>1</v>
      </c>
      <c r="D6" s="25">
        <v>3</v>
      </c>
      <c r="E6">
        <v>40000</v>
      </c>
      <c r="F6" s="47" t="s">
        <v>309</v>
      </c>
      <c r="H6" s="79" t="s">
        <v>1586</v>
      </c>
      <c r="I6" s="79">
        <v>0.53727079959648627</v>
      </c>
    </row>
    <row r="7" spans="1:16" x14ac:dyDescent="0.2">
      <c r="A7">
        <v>3.3333333333333335</v>
      </c>
      <c r="B7">
        <f t="shared" si="0"/>
        <v>1</v>
      </c>
      <c r="C7">
        <f t="shared" si="1"/>
        <v>0</v>
      </c>
      <c r="D7" s="27">
        <v>1</v>
      </c>
      <c r="E7">
        <v>5000</v>
      </c>
      <c r="F7" s="50" t="s">
        <v>100</v>
      </c>
      <c r="H7" s="79" t="s">
        <v>1587</v>
      </c>
      <c r="I7" s="79">
        <v>4.2204988999907886</v>
      </c>
    </row>
    <row r="8" spans="1:16" ht="13.5" thickBot="1" x14ac:dyDescent="0.25">
      <c r="A8">
        <v>45</v>
      </c>
      <c r="B8">
        <f t="shared" si="0"/>
        <v>1</v>
      </c>
      <c r="C8">
        <f t="shared" si="1"/>
        <v>1</v>
      </c>
      <c r="D8" s="25">
        <v>2</v>
      </c>
      <c r="E8">
        <v>40000</v>
      </c>
      <c r="F8" s="47" t="s">
        <v>246</v>
      </c>
      <c r="H8" s="80" t="s">
        <v>1588</v>
      </c>
      <c r="I8" s="80">
        <v>567</v>
      </c>
    </row>
    <row r="9" spans="1:16" x14ac:dyDescent="0.2">
      <c r="A9">
        <v>4.666666666666667</v>
      </c>
      <c r="B9">
        <f t="shared" si="0"/>
        <v>1</v>
      </c>
      <c r="C9">
        <f t="shared" si="1"/>
        <v>0</v>
      </c>
      <c r="D9" s="27">
        <v>1</v>
      </c>
      <c r="E9">
        <v>20000</v>
      </c>
      <c r="F9" s="50" t="s">
        <v>46</v>
      </c>
    </row>
    <row r="10" spans="1:16" ht="13.5" thickBot="1" x14ac:dyDescent="0.25">
      <c r="A10">
        <v>4</v>
      </c>
      <c r="B10">
        <f t="shared" si="0"/>
        <v>1</v>
      </c>
      <c r="C10">
        <f t="shared" si="1"/>
        <v>0</v>
      </c>
      <c r="D10" s="25">
        <v>1</v>
      </c>
      <c r="E10">
        <v>40000</v>
      </c>
      <c r="F10" s="47" t="s">
        <v>100</v>
      </c>
      <c r="H10" t="s">
        <v>1560</v>
      </c>
    </row>
    <row r="11" spans="1:16" x14ac:dyDescent="0.2">
      <c r="A11">
        <v>15</v>
      </c>
      <c r="B11">
        <f t="shared" si="0"/>
        <v>0</v>
      </c>
      <c r="C11">
        <f t="shared" si="1"/>
        <v>1</v>
      </c>
      <c r="D11" s="27">
        <v>2</v>
      </c>
      <c r="E11">
        <v>125000</v>
      </c>
      <c r="F11" s="50" t="s">
        <v>352</v>
      </c>
      <c r="H11" s="81"/>
      <c r="I11" s="81" t="s">
        <v>1563</v>
      </c>
      <c r="J11" s="81" t="s">
        <v>1562</v>
      </c>
      <c r="K11" s="81" t="s">
        <v>1564</v>
      </c>
      <c r="L11" s="81" t="s">
        <v>1565</v>
      </c>
      <c r="M11" s="81" t="s">
        <v>1592</v>
      </c>
    </row>
    <row r="12" spans="1:16" x14ac:dyDescent="0.2">
      <c r="A12">
        <v>2.6666666666666665</v>
      </c>
      <c r="B12">
        <f t="shared" si="0"/>
        <v>1</v>
      </c>
      <c r="C12">
        <f t="shared" si="1"/>
        <v>0</v>
      </c>
      <c r="D12" s="25">
        <v>1</v>
      </c>
      <c r="E12">
        <v>5000</v>
      </c>
      <c r="F12" s="47" t="s">
        <v>100</v>
      </c>
      <c r="H12" s="79" t="s">
        <v>1589</v>
      </c>
      <c r="I12" s="79">
        <v>4</v>
      </c>
      <c r="J12" s="79">
        <v>11777.299644637005</v>
      </c>
      <c r="K12" s="79">
        <v>2944.3249111592513</v>
      </c>
      <c r="L12" s="79">
        <v>165.29440389024029</v>
      </c>
      <c r="M12" s="79">
        <v>1.8868310226154852E-93</v>
      </c>
    </row>
    <row r="13" spans="1:16" x14ac:dyDescent="0.2">
      <c r="A13">
        <v>16</v>
      </c>
      <c r="B13">
        <f t="shared" si="0"/>
        <v>1</v>
      </c>
      <c r="C13">
        <f t="shared" si="1"/>
        <v>1</v>
      </c>
      <c r="D13" s="27">
        <v>2</v>
      </c>
      <c r="E13">
        <v>40000</v>
      </c>
      <c r="F13" s="50" t="s">
        <v>290</v>
      </c>
      <c r="H13" s="79" t="s">
        <v>1590</v>
      </c>
      <c r="I13" s="79">
        <v>562</v>
      </c>
      <c r="J13" s="79">
        <v>10010.687362230783</v>
      </c>
      <c r="K13" s="79">
        <v>17.812610964823456</v>
      </c>
      <c r="L13" s="79"/>
      <c r="M13" s="79"/>
    </row>
    <row r="14" spans="1:16" ht="13.5" thickBot="1" x14ac:dyDescent="0.25">
      <c r="A14">
        <v>16.75</v>
      </c>
      <c r="B14">
        <f t="shared" si="0"/>
        <v>1</v>
      </c>
      <c r="C14">
        <f t="shared" si="1"/>
        <v>1</v>
      </c>
      <c r="D14" s="25">
        <v>2</v>
      </c>
      <c r="E14">
        <v>60000</v>
      </c>
      <c r="F14" s="47" t="s">
        <v>246</v>
      </c>
      <c r="H14" s="80" t="s">
        <v>1570</v>
      </c>
      <c r="I14" s="80">
        <v>566</v>
      </c>
      <c r="J14" s="80">
        <v>21787.987006867788</v>
      </c>
      <c r="K14" s="80"/>
      <c r="L14" s="80"/>
      <c r="M14" s="80"/>
    </row>
    <row r="15" spans="1:16" ht="13.5" thickBot="1" x14ac:dyDescent="0.25">
      <c r="A15">
        <v>19.25</v>
      </c>
      <c r="B15">
        <f t="shared" si="0"/>
        <v>1</v>
      </c>
      <c r="C15">
        <f t="shared" si="1"/>
        <v>1</v>
      </c>
      <c r="D15" s="27">
        <v>2</v>
      </c>
      <c r="E15">
        <v>60000</v>
      </c>
      <c r="F15" s="50" t="s">
        <v>246</v>
      </c>
    </row>
    <row r="16" spans="1:16" x14ac:dyDescent="0.2">
      <c r="A16">
        <v>17.399999999999999</v>
      </c>
      <c r="B16">
        <f t="shared" si="0"/>
        <v>1</v>
      </c>
      <c r="C16">
        <f t="shared" si="1"/>
        <v>1</v>
      </c>
      <c r="D16" s="25">
        <v>3</v>
      </c>
      <c r="E16">
        <v>40000</v>
      </c>
      <c r="F16" s="47" t="s">
        <v>390</v>
      </c>
      <c r="H16" s="81"/>
      <c r="I16" s="81" t="s">
        <v>1593</v>
      </c>
      <c r="J16" s="81" t="s">
        <v>1587</v>
      </c>
      <c r="K16" s="81" t="s">
        <v>1594</v>
      </c>
      <c r="L16" s="81" t="s">
        <v>1566</v>
      </c>
      <c r="M16" s="81" t="s">
        <v>1595</v>
      </c>
      <c r="N16" s="81" t="s">
        <v>1596</v>
      </c>
      <c r="O16" s="81" t="s">
        <v>1597</v>
      </c>
      <c r="P16" s="81" t="s">
        <v>1598</v>
      </c>
    </row>
    <row r="17" spans="1:16" x14ac:dyDescent="0.2">
      <c r="A17">
        <v>1.75</v>
      </c>
      <c r="B17">
        <f t="shared" si="0"/>
        <v>1</v>
      </c>
      <c r="C17">
        <f t="shared" si="1"/>
        <v>0</v>
      </c>
      <c r="D17" s="27">
        <v>1</v>
      </c>
      <c r="E17">
        <v>5000</v>
      </c>
      <c r="F17" s="50" t="s">
        <v>100</v>
      </c>
      <c r="H17" s="79" t="s">
        <v>1591</v>
      </c>
      <c r="I17" s="79">
        <v>-1.6594571354471568</v>
      </c>
      <c r="J17" s="79">
        <v>0.66104920685543589</v>
      </c>
      <c r="K17" s="79">
        <v>-2.5103382898545124</v>
      </c>
      <c r="L17" s="79">
        <v>1.2341330170099876E-2</v>
      </c>
      <c r="M17" s="79">
        <v>-2.9578860599351335</v>
      </c>
      <c r="N17" s="79">
        <v>-0.36102821095917981</v>
      </c>
      <c r="O17" s="79">
        <v>-2.9578860599351335</v>
      </c>
      <c r="P17" s="79">
        <v>-0.36102821095917981</v>
      </c>
    </row>
    <row r="18" spans="1:16" x14ac:dyDescent="0.2">
      <c r="A18">
        <v>6.2</v>
      </c>
      <c r="B18">
        <f t="shared" si="0"/>
        <v>1</v>
      </c>
      <c r="C18">
        <f t="shared" si="1"/>
        <v>1</v>
      </c>
      <c r="D18" s="25">
        <v>3</v>
      </c>
      <c r="E18">
        <v>5000</v>
      </c>
      <c r="F18" s="47" t="s">
        <v>246</v>
      </c>
      <c r="H18" s="79" t="s">
        <v>1603</v>
      </c>
      <c r="I18" s="79">
        <v>-5.1974580493639767E-3</v>
      </c>
      <c r="J18" s="79">
        <v>0.76093403552476968</v>
      </c>
      <c r="K18" s="79">
        <v>-6.830366111537655E-3</v>
      </c>
      <c r="L18" s="79">
        <v>0.99455262253454191</v>
      </c>
      <c r="M18" s="79">
        <v>-1.4998195695449026</v>
      </c>
      <c r="N18" s="79">
        <v>1.4894246534461748</v>
      </c>
      <c r="O18" s="79">
        <v>-1.4998195695449026</v>
      </c>
      <c r="P18" s="79">
        <v>1.4894246534461748</v>
      </c>
    </row>
    <row r="19" spans="1:16" x14ac:dyDescent="0.2">
      <c r="A19">
        <v>6</v>
      </c>
      <c r="B19">
        <f t="shared" si="0"/>
        <v>1</v>
      </c>
      <c r="C19">
        <f t="shared" si="1"/>
        <v>0</v>
      </c>
      <c r="D19" s="27">
        <v>1</v>
      </c>
      <c r="E19">
        <v>40000</v>
      </c>
      <c r="F19" s="50" t="s">
        <v>46</v>
      </c>
      <c r="H19" s="79" t="s">
        <v>1604</v>
      </c>
      <c r="I19" s="79">
        <v>5.4233297365514836</v>
      </c>
      <c r="J19" s="79">
        <v>0.64459072005147977</v>
      </c>
      <c r="K19" s="79">
        <v>8.4136019459267946</v>
      </c>
      <c r="L19" s="79">
        <v>3.3023241959066353E-16</v>
      </c>
      <c r="M19" s="79">
        <v>4.1572284740558967</v>
      </c>
      <c r="N19" s="79">
        <v>6.6894309990470706</v>
      </c>
      <c r="O19" s="79">
        <v>4.1572284740558967</v>
      </c>
      <c r="P19" s="79">
        <v>6.6894309990470706</v>
      </c>
    </row>
    <row r="20" spans="1:16" x14ac:dyDescent="0.2">
      <c r="A20">
        <v>2.5</v>
      </c>
      <c r="B20">
        <f t="shared" si="0"/>
        <v>1</v>
      </c>
      <c r="C20">
        <f t="shared" si="1"/>
        <v>0</v>
      </c>
      <c r="D20" s="25">
        <v>1</v>
      </c>
      <c r="E20">
        <v>5000</v>
      </c>
      <c r="F20" s="47" t="s">
        <v>100</v>
      </c>
      <c r="H20" s="79" t="s">
        <v>1463</v>
      </c>
      <c r="I20" s="79">
        <v>3.4238689708330532</v>
      </c>
      <c r="J20" s="79">
        <v>0.46894516773060552</v>
      </c>
      <c r="K20" s="79">
        <v>7.3012138869079042</v>
      </c>
      <c r="L20" s="79">
        <v>9.799602113672728E-13</v>
      </c>
      <c r="M20" s="79">
        <v>2.5027696586097772</v>
      </c>
      <c r="N20" s="79">
        <v>4.3449682830563292</v>
      </c>
      <c r="O20" s="79">
        <v>2.5027696586097772</v>
      </c>
      <c r="P20" s="79">
        <v>4.3449682830563292</v>
      </c>
    </row>
    <row r="21" spans="1:16" ht="13.5" thickBot="1" x14ac:dyDescent="0.25">
      <c r="A21">
        <v>15</v>
      </c>
      <c r="B21">
        <f t="shared" si="0"/>
        <v>1</v>
      </c>
      <c r="C21">
        <f t="shared" si="1"/>
        <v>1</v>
      </c>
      <c r="D21" s="27">
        <v>3</v>
      </c>
      <c r="E21">
        <v>40000</v>
      </c>
      <c r="F21" s="50" t="s">
        <v>423</v>
      </c>
      <c r="H21" s="80" t="s">
        <v>1543</v>
      </c>
      <c r="I21" s="80">
        <v>1.4368953037409128E-5</v>
      </c>
      <c r="J21" s="80">
        <v>8.4834026118563531E-6</v>
      </c>
      <c r="K21" s="80">
        <v>1.693772380592566</v>
      </c>
      <c r="L21" s="80">
        <v>9.0862635540217201E-2</v>
      </c>
      <c r="M21" s="80">
        <v>-2.2940959687445364E-6</v>
      </c>
      <c r="N21" s="80">
        <v>3.1032002043562792E-5</v>
      </c>
      <c r="O21" s="80">
        <v>-2.2940959687445364E-6</v>
      </c>
      <c r="P21" s="80">
        <v>3.1032002043562792E-5</v>
      </c>
    </row>
    <row r="22" spans="1:16" x14ac:dyDescent="0.2">
      <c r="A22">
        <v>16.666666666666668</v>
      </c>
      <c r="B22">
        <f t="shared" si="0"/>
        <v>0</v>
      </c>
      <c r="C22">
        <f t="shared" si="1"/>
        <v>1</v>
      </c>
      <c r="D22" s="25">
        <v>1</v>
      </c>
      <c r="E22">
        <v>40000</v>
      </c>
      <c r="F22" s="47" t="s">
        <v>431</v>
      </c>
    </row>
    <row r="23" spans="1:16" x14ac:dyDescent="0.2">
      <c r="A23">
        <v>12.2</v>
      </c>
      <c r="B23">
        <f t="shared" si="0"/>
        <v>1</v>
      </c>
      <c r="C23">
        <f t="shared" si="1"/>
        <v>1</v>
      </c>
      <c r="D23" s="27">
        <v>3</v>
      </c>
      <c r="E23">
        <v>85000</v>
      </c>
      <c r="F23" s="50" t="s">
        <v>435</v>
      </c>
    </row>
    <row r="24" spans="1:16" x14ac:dyDescent="0.2">
      <c r="A24">
        <v>6</v>
      </c>
      <c r="B24">
        <f t="shared" si="0"/>
        <v>1</v>
      </c>
      <c r="C24">
        <f t="shared" si="1"/>
        <v>0</v>
      </c>
      <c r="D24" s="25">
        <v>1</v>
      </c>
      <c r="E24">
        <v>5000</v>
      </c>
      <c r="F24" s="47" t="s">
        <v>46</v>
      </c>
    </row>
    <row r="25" spans="1:16" x14ac:dyDescent="0.2">
      <c r="A25">
        <v>2.8333333333333335</v>
      </c>
      <c r="B25">
        <f t="shared" si="0"/>
        <v>1</v>
      </c>
      <c r="C25">
        <f t="shared" si="1"/>
        <v>0</v>
      </c>
      <c r="D25" s="27">
        <v>2</v>
      </c>
      <c r="E25">
        <v>20000</v>
      </c>
      <c r="F25" s="50" t="s">
        <v>61</v>
      </c>
      <c r="H25" t="s">
        <v>1599</v>
      </c>
    </row>
    <row r="26" spans="1:16" ht="13.5" thickBot="1" x14ac:dyDescent="0.25">
      <c r="A26">
        <v>9.8000000000000007</v>
      </c>
      <c r="B26">
        <f t="shared" si="0"/>
        <v>1</v>
      </c>
      <c r="C26">
        <f t="shared" si="1"/>
        <v>1</v>
      </c>
      <c r="D26" s="25">
        <v>2</v>
      </c>
      <c r="E26">
        <v>20000</v>
      </c>
      <c r="F26" s="47" t="s">
        <v>269</v>
      </c>
    </row>
    <row r="27" spans="1:16" x14ac:dyDescent="0.2">
      <c r="A27">
        <v>19.25</v>
      </c>
      <c r="B27">
        <f t="shared" si="0"/>
        <v>1</v>
      </c>
      <c r="C27">
        <f t="shared" si="1"/>
        <v>1</v>
      </c>
      <c r="D27" s="27">
        <v>2</v>
      </c>
      <c r="E27">
        <v>60000</v>
      </c>
      <c r="F27" s="50" t="s">
        <v>246</v>
      </c>
      <c r="H27" s="81" t="s">
        <v>1600</v>
      </c>
      <c r="I27" s="81" t="s">
        <v>1605</v>
      </c>
      <c r="J27" s="81" t="s">
        <v>1602</v>
      </c>
      <c r="K27" s="81" t="s">
        <v>1606</v>
      </c>
    </row>
    <row r="28" spans="1:16" x14ac:dyDescent="0.2">
      <c r="A28">
        <v>15.4</v>
      </c>
      <c r="B28">
        <f t="shared" si="0"/>
        <v>1</v>
      </c>
      <c r="C28">
        <f t="shared" si="1"/>
        <v>1</v>
      </c>
      <c r="D28" s="25">
        <v>2</v>
      </c>
      <c r="E28">
        <v>40000</v>
      </c>
      <c r="F28" s="47" t="s">
        <v>290</v>
      </c>
      <c r="H28" s="79">
        <v>1</v>
      </c>
      <c r="I28" s="79">
        <v>1.831059142523578</v>
      </c>
      <c r="J28" s="79">
        <v>5.6689408574764215</v>
      </c>
      <c r="K28" s="79">
        <v>1.3479636860774367</v>
      </c>
    </row>
    <row r="29" spans="1:16" x14ac:dyDescent="0.2">
      <c r="A29">
        <v>6.666666666666667</v>
      </c>
      <c r="B29">
        <f t="shared" si="0"/>
        <v>1</v>
      </c>
      <c r="C29">
        <f t="shared" si="1"/>
        <v>0</v>
      </c>
      <c r="D29" s="27">
        <v>1</v>
      </c>
      <c r="E29">
        <v>20000</v>
      </c>
      <c r="F29" s="50" t="s">
        <v>46</v>
      </c>
      <c r="H29" s="79">
        <v>2</v>
      </c>
      <c r="I29" s="79">
        <v>10.893792145469252</v>
      </c>
      <c r="J29" s="79">
        <v>8.1062078545307479</v>
      </c>
      <c r="K29" s="79">
        <v>1.9274982919062116</v>
      </c>
    </row>
    <row r="30" spans="1:16" x14ac:dyDescent="0.2">
      <c r="A30">
        <v>6.5</v>
      </c>
      <c r="B30">
        <f t="shared" si="0"/>
        <v>1</v>
      </c>
      <c r="C30">
        <f t="shared" si="1"/>
        <v>0</v>
      </c>
      <c r="D30" s="25">
        <v>1</v>
      </c>
      <c r="E30">
        <v>5000</v>
      </c>
      <c r="F30" s="47" t="s">
        <v>46</v>
      </c>
      <c r="H30" s="79">
        <v>3</v>
      </c>
      <c r="I30" s="79">
        <v>2.0465934380847148</v>
      </c>
      <c r="J30" s="79">
        <v>-0.37992677141804809</v>
      </c>
      <c r="K30" s="79">
        <v>-9.0339184005555115E-2</v>
      </c>
    </row>
    <row r="31" spans="1:16" x14ac:dyDescent="0.2">
      <c r="A31">
        <v>13.666666666666666</v>
      </c>
      <c r="B31">
        <f t="shared" si="0"/>
        <v>1</v>
      </c>
      <c r="C31">
        <f t="shared" si="1"/>
        <v>1</v>
      </c>
      <c r="D31" s="27">
        <v>3</v>
      </c>
      <c r="E31">
        <v>60000</v>
      </c>
      <c r="F31" s="50" t="s">
        <v>390</v>
      </c>
      <c r="H31" s="79">
        <v>4</v>
      </c>
      <c r="I31" s="79">
        <v>2.0465934380847148</v>
      </c>
      <c r="J31" s="79">
        <v>1.9534065619152852</v>
      </c>
      <c r="K31" s="79">
        <v>0.46448202156396062</v>
      </c>
    </row>
    <row r="32" spans="1:16" x14ac:dyDescent="0.2">
      <c r="A32">
        <v>15</v>
      </c>
      <c r="B32">
        <f t="shared" si="0"/>
        <v>0</v>
      </c>
      <c r="C32">
        <f t="shared" si="1"/>
        <v>1</v>
      </c>
      <c r="D32" s="25">
        <v>1</v>
      </c>
      <c r="E32">
        <v>40000</v>
      </c>
      <c r="F32" s="47" t="s">
        <v>431</v>
      </c>
      <c r="H32" s="79">
        <v>5</v>
      </c>
      <c r="I32" s="79">
        <v>14.605040177050487</v>
      </c>
      <c r="J32" s="79">
        <v>7.9949598229495145</v>
      </c>
      <c r="K32" s="79">
        <v>1.9010456774780107</v>
      </c>
    </row>
    <row r="33" spans="1:11" x14ac:dyDescent="0.2">
      <c r="A33">
        <v>18</v>
      </c>
      <c r="B33">
        <f t="shared" si="0"/>
        <v>1</v>
      </c>
      <c r="C33">
        <f t="shared" si="1"/>
        <v>1</v>
      </c>
      <c r="D33" s="27">
        <v>2</v>
      </c>
      <c r="E33">
        <v>85000</v>
      </c>
      <c r="F33" s="50" t="s">
        <v>246</v>
      </c>
      <c r="H33" s="79">
        <v>6</v>
      </c>
      <c r="I33" s="79">
        <v>1.831059142523578</v>
      </c>
      <c r="J33" s="79">
        <v>1.5022741908097554</v>
      </c>
      <c r="K33" s="79">
        <v>0.35721153327473026</v>
      </c>
    </row>
    <row r="34" spans="1:11" x14ac:dyDescent="0.2">
      <c r="A34">
        <v>13.8</v>
      </c>
      <c r="B34">
        <f t="shared" si="0"/>
        <v>1</v>
      </c>
      <c r="C34">
        <f t="shared" si="1"/>
        <v>1</v>
      </c>
      <c r="D34" s="25">
        <v>2</v>
      </c>
      <c r="E34">
        <v>20000</v>
      </c>
      <c r="F34" s="47" t="s">
        <v>290</v>
      </c>
      <c r="H34" s="79">
        <v>7</v>
      </c>
      <c r="I34" s="79">
        <v>11.181171206217435</v>
      </c>
      <c r="J34" s="79">
        <v>33.818828793782565</v>
      </c>
      <c r="K34" s="79">
        <v>8.0414585838494972</v>
      </c>
    </row>
    <row r="35" spans="1:11" x14ac:dyDescent="0.2">
      <c r="A35">
        <v>7.2</v>
      </c>
      <c r="B35">
        <f t="shared" si="0"/>
        <v>1</v>
      </c>
      <c r="C35">
        <f t="shared" si="1"/>
        <v>1</v>
      </c>
      <c r="D35" s="27">
        <v>2</v>
      </c>
      <c r="E35">
        <v>60000</v>
      </c>
      <c r="F35" s="50" t="s">
        <v>246</v>
      </c>
      <c r="H35" s="79">
        <v>8</v>
      </c>
      <c r="I35" s="79">
        <v>2.0465934380847148</v>
      </c>
      <c r="J35" s="79">
        <v>2.6200732285819521</v>
      </c>
      <c r="K35" s="79">
        <v>0.62300236601239378</v>
      </c>
    </row>
    <row r="36" spans="1:11" x14ac:dyDescent="0.2">
      <c r="A36">
        <v>2.3333333333333335</v>
      </c>
      <c r="B36">
        <f t="shared" si="0"/>
        <v>1</v>
      </c>
      <c r="C36">
        <f t="shared" si="1"/>
        <v>0</v>
      </c>
      <c r="D36" s="25">
        <v>1</v>
      </c>
      <c r="E36">
        <v>40000</v>
      </c>
      <c r="F36" s="47" t="s">
        <v>100</v>
      </c>
      <c r="H36" s="79">
        <v>9</v>
      </c>
      <c r="I36" s="79">
        <v>2.3339724988328978</v>
      </c>
      <c r="J36" s="79">
        <v>1.6660275011671022</v>
      </c>
      <c r="K36" s="79">
        <v>0.39614888001835691</v>
      </c>
    </row>
    <row r="37" spans="1:11" x14ac:dyDescent="0.2">
      <c r="A37">
        <v>8.6666666666666661</v>
      </c>
      <c r="B37">
        <f t="shared" si="0"/>
        <v>1</v>
      </c>
      <c r="C37">
        <f t="shared" si="1"/>
        <v>1</v>
      </c>
      <c r="D37" s="27">
        <v>2</v>
      </c>
      <c r="E37">
        <v>20000</v>
      </c>
      <c r="F37" s="50" t="s">
        <v>290</v>
      </c>
      <c r="H37" s="79">
        <v>10</v>
      </c>
      <c r="I37" s="79">
        <v>12.407729672446575</v>
      </c>
      <c r="J37" s="79">
        <v>2.5922703275534253</v>
      </c>
      <c r="K37" s="79">
        <v>0.61639137784083209</v>
      </c>
    </row>
    <row r="38" spans="1:11" x14ac:dyDescent="0.2">
      <c r="A38">
        <v>1.25</v>
      </c>
      <c r="B38">
        <f t="shared" si="0"/>
        <v>1</v>
      </c>
      <c r="C38">
        <f t="shared" si="1"/>
        <v>0</v>
      </c>
      <c r="D38" s="25">
        <v>1</v>
      </c>
      <c r="E38">
        <v>5000</v>
      </c>
      <c r="F38" s="47" t="s">
        <v>100</v>
      </c>
      <c r="H38" s="79">
        <v>11</v>
      </c>
      <c r="I38" s="79">
        <v>1.831059142523578</v>
      </c>
      <c r="J38" s="79">
        <v>0.83560752414308848</v>
      </c>
      <c r="K38" s="79">
        <v>0.1986911888262971</v>
      </c>
    </row>
    <row r="39" spans="1:11" x14ac:dyDescent="0.2">
      <c r="A39">
        <v>13.4</v>
      </c>
      <c r="B39">
        <f t="shared" si="0"/>
        <v>1</v>
      </c>
      <c r="C39">
        <f t="shared" si="1"/>
        <v>1</v>
      </c>
      <c r="D39" s="27">
        <v>3</v>
      </c>
      <c r="E39">
        <v>85000</v>
      </c>
      <c r="F39" s="50" t="s">
        <v>309</v>
      </c>
      <c r="H39" s="79">
        <v>12</v>
      </c>
      <c r="I39" s="79">
        <v>11.181171206217435</v>
      </c>
      <c r="J39" s="79">
        <v>4.8188287937825649</v>
      </c>
      <c r="K39" s="79">
        <v>1.1458236003426592</v>
      </c>
    </row>
    <row r="40" spans="1:11" x14ac:dyDescent="0.2">
      <c r="A40">
        <v>5</v>
      </c>
      <c r="B40">
        <f t="shared" si="0"/>
        <v>0</v>
      </c>
      <c r="C40">
        <f t="shared" si="1"/>
        <v>1</v>
      </c>
      <c r="D40" s="25">
        <v>1</v>
      </c>
      <c r="E40">
        <v>60000</v>
      </c>
      <c r="F40" s="47" t="s">
        <v>431</v>
      </c>
      <c r="H40" s="79">
        <v>13</v>
      </c>
      <c r="I40" s="79">
        <v>11.468550266965616</v>
      </c>
      <c r="J40" s="79">
        <v>5.2814497330343837</v>
      </c>
      <c r="K40" s="79">
        <v>1.255825846301543</v>
      </c>
    </row>
    <row r="41" spans="1:11" x14ac:dyDescent="0.2">
      <c r="A41">
        <v>4.666666666666667</v>
      </c>
      <c r="B41">
        <f t="shared" si="0"/>
        <v>1</v>
      </c>
      <c r="C41">
        <f t="shared" si="1"/>
        <v>0</v>
      </c>
      <c r="D41" s="27">
        <v>1</v>
      </c>
      <c r="E41">
        <v>20000</v>
      </c>
      <c r="F41" s="50" t="s">
        <v>46</v>
      </c>
      <c r="H41" s="79">
        <v>14</v>
      </c>
      <c r="I41" s="79">
        <v>11.468550266965616</v>
      </c>
      <c r="J41" s="79">
        <v>7.7814497330343837</v>
      </c>
      <c r="K41" s="79">
        <v>1.8502771379831671</v>
      </c>
    </row>
    <row r="42" spans="1:11" x14ac:dyDescent="0.2">
      <c r="A42">
        <v>1</v>
      </c>
      <c r="B42">
        <f t="shared" si="0"/>
        <v>1</v>
      </c>
      <c r="C42">
        <f t="shared" si="1"/>
        <v>0</v>
      </c>
      <c r="D42" s="25">
        <v>1</v>
      </c>
      <c r="E42">
        <v>5000</v>
      </c>
      <c r="F42" s="47" t="s">
        <v>100</v>
      </c>
      <c r="H42" s="79">
        <v>15</v>
      </c>
      <c r="I42" s="79">
        <v>14.605040177050487</v>
      </c>
      <c r="J42" s="79">
        <v>2.7949598229495116</v>
      </c>
      <c r="K42" s="79">
        <v>0.66458699078023209</v>
      </c>
    </row>
    <row r="43" spans="1:11" x14ac:dyDescent="0.2">
      <c r="A43">
        <v>4.5</v>
      </c>
      <c r="B43">
        <f t="shared" si="0"/>
        <v>1</v>
      </c>
      <c r="C43">
        <f t="shared" si="1"/>
        <v>1</v>
      </c>
      <c r="D43" s="27">
        <v>2</v>
      </c>
      <c r="E43">
        <v>125000</v>
      </c>
      <c r="F43" s="50" t="s">
        <v>246</v>
      </c>
      <c r="H43" s="79">
        <v>16</v>
      </c>
      <c r="I43" s="79">
        <v>1.831059142523578</v>
      </c>
      <c r="J43" s="79">
        <v>-8.1059142523578043E-2</v>
      </c>
      <c r="K43" s="79">
        <v>-1.9274284790298329E-2</v>
      </c>
    </row>
    <row r="44" spans="1:11" x14ac:dyDescent="0.2">
      <c r="A44">
        <v>1.4</v>
      </c>
      <c r="B44">
        <f t="shared" si="0"/>
        <v>1</v>
      </c>
      <c r="C44">
        <f t="shared" si="1"/>
        <v>0</v>
      </c>
      <c r="D44" s="25">
        <v>1</v>
      </c>
      <c r="E44">
        <v>5000</v>
      </c>
      <c r="F44" s="47" t="s">
        <v>46</v>
      </c>
      <c r="H44" s="79">
        <v>17</v>
      </c>
      <c r="I44" s="79">
        <v>14.102126820741166</v>
      </c>
      <c r="J44" s="79">
        <v>-7.9021268207411657</v>
      </c>
      <c r="K44" s="79">
        <v>-1.8789717982486362</v>
      </c>
    </row>
    <row r="45" spans="1:11" x14ac:dyDescent="0.2">
      <c r="A45">
        <v>3.5</v>
      </c>
      <c r="B45">
        <f t="shared" si="0"/>
        <v>1</v>
      </c>
      <c r="C45">
        <f t="shared" si="1"/>
        <v>0</v>
      </c>
      <c r="D45" s="27">
        <v>1</v>
      </c>
      <c r="E45">
        <v>20000</v>
      </c>
      <c r="F45" s="50" t="s">
        <v>46</v>
      </c>
      <c r="H45" s="79">
        <v>18</v>
      </c>
      <c r="I45" s="79">
        <v>2.3339724988328978</v>
      </c>
      <c r="J45" s="79">
        <v>3.6660275011671022</v>
      </c>
      <c r="K45" s="79">
        <v>0.87170991336365611</v>
      </c>
    </row>
    <row r="46" spans="1:11" x14ac:dyDescent="0.2">
      <c r="A46">
        <v>9</v>
      </c>
      <c r="B46">
        <f t="shared" si="0"/>
        <v>1</v>
      </c>
      <c r="C46">
        <f t="shared" si="1"/>
        <v>1</v>
      </c>
      <c r="D46" s="25">
        <v>2</v>
      </c>
      <c r="E46">
        <v>40000</v>
      </c>
      <c r="F46" s="47" t="s">
        <v>269</v>
      </c>
      <c r="H46" s="79">
        <v>19</v>
      </c>
      <c r="I46" s="79">
        <v>1.831059142523578</v>
      </c>
      <c r="J46" s="79">
        <v>0.66894085747642196</v>
      </c>
      <c r="K46" s="79">
        <v>0.15906110271418888</v>
      </c>
    </row>
    <row r="47" spans="1:11" x14ac:dyDescent="0.2">
      <c r="A47">
        <v>12.2</v>
      </c>
      <c r="B47">
        <f t="shared" si="0"/>
        <v>1</v>
      </c>
      <c r="C47">
        <f t="shared" si="1"/>
        <v>1</v>
      </c>
      <c r="D47" s="27">
        <v>2</v>
      </c>
      <c r="E47">
        <v>40000</v>
      </c>
      <c r="F47" s="50" t="s">
        <v>290</v>
      </c>
      <c r="H47" s="79">
        <v>20</v>
      </c>
      <c r="I47" s="79">
        <v>14.605040177050487</v>
      </c>
      <c r="J47" s="79">
        <v>0.39495982294951304</v>
      </c>
      <c r="K47" s="79">
        <v>9.3913750765873424E-2</v>
      </c>
    </row>
    <row r="48" spans="1:11" x14ac:dyDescent="0.2">
      <c r="A48">
        <v>1.5</v>
      </c>
      <c r="B48">
        <f t="shared" si="0"/>
        <v>1</v>
      </c>
      <c r="C48">
        <f t="shared" si="1"/>
        <v>0</v>
      </c>
      <c r="D48" s="25">
        <v>1</v>
      </c>
      <c r="E48">
        <v>20000</v>
      </c>
      <c r="F48" s="47" t="s">
        <v>100</v>
      </c>
      <c r="H48" s="79">
        <v>21</v>
      </c>
      <c r="I48" s="79">
        <v>7.7624996934337451</v>
      </c>
      <c r="J48" s="79">
        <v>8.9041669732329218</v>
      </c>
      <c r="K48" s="79">
        <v>2.1172374234348665</v>
      </c>
    </row>
    <row r="49" spans="1:11" x14ac:dyDescent="0.2">
      <c r="A49">
        <v>19</v>
      </c>
      <c r="B49">
        <f t="shared" si="0"/>
        <v>1</v>
      </c>
      <c r="C49">
        <f t="shared" si="1"/>
        <v>1</v>
      </c>
      <c r="D49" s="27">
        <v>3</v>
      </c>
      <c r="E49">
        <v>85000</v>
      </c>
      <c r="F49" s="50" t="s">
        <v>309</v>
      </c>
      <c r="H49" s="79">
        <v>22</v>
      </c>
      <c r="I49" s="79">
        <v>15.251643063733898</v>
      </c>
      <c r="J49" s="79">
        <v>-3.0516430637338985</v>
      </c>
      <c r="K49" s="79">
        <v>-0.72562126439515373</v>
      </c>
    </row>
    <row r="50" spans="1:11" x14ac:dyDescent="0.2">
      <c r="A50">
        <v>2.6666666666666665</v>
      </c>
      <c r="B50">
        <f t="shared" si="0"/>
        <v>1</v>
      </c>
      <c r="C50">
        <f t="shared" si="1"/>
        <v>0</v>
      </c>
      <c r="D50" s="25">
        <v>1</v>
      </c>
      <c r="E50">
        <v>5000</v>
      </c>
      <c r="F50" s="47" t="s">
        <v>100</v>
      </c>
      <c r="H50" s="79">
        <v>23</v>
      </c>
      <c r="I50" s="79">
        <v>1.831059142523578</v>
      </c>
      <c r="J50" s="79">
        <v>4.1689408574764215</v>
      </c>
      <c r="K50" s="79">
        <v>0.9912929110684624</v>
      </c>
    </row>
    <row r="51" spans="1:11" x14ac:dyDescent="0.2">
      <c r="A51">
        <v>8.5</v>
      </c>
      <c r="B51">
        <f t="shared" si="0"/>
        <v>1</v>
      </c>
      <c r="C51">
        <f t="shared" si="1"/>
        <v>0</v>
      </c>
      <c r="D51" s="27">
        <v>2</v>
      </c>
      <c r="E51">
        <v>60000</v>
      </c>
      <c r="F51" s="50" t="s">
        <v>61</v>
      </c>
      <c r="H51" s="79">
        <v>24</v>
      </c>
      <c r="I51" s="79">
        <v>5.4704624089177685</v>
      </c>
      <c r="J51" s="79">
        <v>-2.637129075584435</v>
      </c>
      <c r="K51" s="79">
        <v>-0.62705791412493372</v>
      </c>
    </row>
    <row r="52" spans="1:11" x14ac:dyDescent="0.2">
      <c r="A52">
        <v>2</v>
      </c>
      <c r="B52">
        <f t="shared" si="0"/>
        <v>1</v>
      </c>
      <c r="C52">
        <f t="shared" si="1"/>
        <v>0</v>
      </c>
      <c r="D52" s="25">
        <v>3</v>
      </c>
      <c r="E52">
        <v>5000</v>
      </c>
      <c r="F52" s="47" t="s">
        <v>61</v>
      </c>
      <c r="H52" s="79">
        <v>25</v>
      </c>
      <c r="I52" s="79">
        <v>10.893792145469252</v>
      </c>
      <c r="J52" s="79">
        <v>-1.0937921454692514</v>
      </c>
      <c r="K52" s="79">
        <v>-0.26008246148216452</v>
      </c>
    </row>
    <row r="53" spans="1:11" x14ac:dyDescent="0.2">
      <c r="A53">
        <v>8</v>
      </c>
      <c r="B53">
        <f t="shared" si="0"/>
        <v>0</v>
      </c>
      <c r="C53">
        <f t="shared" si="1"/>
        <v>1</v>
      </c>
      <c r="D53" s="27">
        <v>1</v>
      </c>
      <c r="E53">
        <v>40000</v>
      </c>
      <c r="F53" s="50" t="s">
        <v>431</v>
      </c>
      <c r="H53" s="79">
        <v>26</v>
      </c>
      <c r="I53" s="79">
        <v>11.468550266965616</v>
      </c>
      <c r="J53" s="79">
        <v>7.7814497330343837</v>
      </c>
      <c r="K53" s="79">
        <v>1.8502771379831671</v>
      </c>
    </row>
    <row r="54" spans="1:11" x14ac:dyDescent="0.2">
      <c r="A54">
        <v>8</v>
      </c>
      <c r="B54">
        <f t="shared" si="0"/>
        <v>1</v>
      </c>
      <c r="C54">
        <f t="shared" si="1"/>
        <v>1</v>
      </c>
      <c r="D54" s="25">
        <v>2</v>
      </c>
      <c r="E54">
        <v>20000</v>
      </c>
      <c r="F54" s="47" t="s">
        <v>290</v>
      </c>
      <c r="H54" s="79">
        <v>27</v>
      </c>
      <c r="I54" s="79">
        <v>11.181171206217435</v>
      </c>
      <c r="J54" s="79">
        <v>4.2188287937825653</v>
      </c>
      <c r="K54" s="79">
        <v>1.0031552903390695</v>
      </c>
    </row>
    <row r="55" spans="1:11" x14ac:dyDescent="0.2">
      <c r="A55">
        <v>1.5</v>
      </c>
      <c r="B55">
        <f t="shared" si="0"/>
        <v>1</v>
      </c>
      <c r="C55">
        <f t="shared" si="1"/>
        <v>0</v>
      </c>
      <c r="D55" s="27">
        <v>1</v>
      </c>
      <c r="E55">
        <v>5000</v>
      </c>
      <c r="F55" s="50" t="s">
        <v>100</v>
      </c>
      <c r="H55" s="79">
        <v>28</v>
      </c>
      <c r="I55" s="79">
        <v>2.0465934380847148</v>
      </c>
      <c r="J55" s="79">
        <v>4.6200732285819521</v>
      </c>
      <c r="K55" s="79">
        <v>1.0985633993576929</v>
      </c>
    </row>
    <row r="56" spans="1:11" x14ac:dyDescent="0.2">
      <c r="A56">
        <v>2</v>
      </c>
      <c r="B56">
        <f t="shared" si="0"/>
        <v>1</v>
      </c>
      <c r="C56">
        <f t="shared" si="1"/>
        <v>0</v>
      </c>
      <c r="D56" s="25">
        <v>1</v>
      </c>
      <c r="E56">
        <v>5000</v>
      </c>
      <c r="F56" s="47" t="s">
        <v>46</v>
      </c>
      <c r="H56" s="79">
        <v>29</v>
      </c>
      <c r="I56" s="79">
        <v>1.831059142523578</v>
      </c>
      <c r="J56" s="79">
        <v>4.6689408574764215</v>
      </c>
      <c r="K56" s="79">
        <v>1.1101831694047872</v>
      </c>
    </row>
    <row r="57" spans="1:11" x14ac:dyDescent="0.2">
      <c r="A57">
        <v>5.5</v>
      </c>
      <c r="B57">
        <f t="shared" si="0"/>
        <v>1</v>
      </c>
      <c r="C57">
        <f t="shared" si="1"/>
        <v>0</v>
      </c>
      <c r="D57" s="27">
        <v>2</v>
      </c>
      <c r="E57">
        <v>40000</v>
      </c>
      <c r="F57" s="50" t="s">
        <v>61</v>
      </c>
      <c r="H57" s="79">
        <v>30</v>
      </c>
      <c r="I57" s="79">
        <v>14.892419237798668</v>
      </c>
      <c r="J57" s="79">
        <v>-1.2257525711320021</v>
      </c>
      <c r="K57" s="79">
        <v>-0.29146007967659615</v>
      </c>
    </row>
    <row r="58" spans="1:11" x14ac:dyDescent="0.2">
      <c r="A58">
        <v>0.2</v>
      </c>
      <c r="B58">
        <f t="shared" si="0"/>
        <v>1</v>
      </c>
      <c r="C58">
        <f t="shared" si="1"/>
        <v>0</v>
      </c>
      <c r="D58" s="25">
        <v>1</v>
      </c>
      <c r="E58">
        <v>5000</v>
      </c>
      <c r="F58" s="47" t="s">
        <v>46</v>
      </c>
      <c r="H58" s="79">
        <v>31</v>
      </c>
      <c r="I58" s="79">
        <v>7.7624996934337451</v>
      </c>
      <c r="J58" s="79">
        <v>7.2375003065662549</v>
      </c>
      <c r="K58" s="79">
        <v>1.720936562313784</v>
      </c>
    </row>
    <row r="59" spans="1:11" x14ac:dyDescent="0.2">
      <c r="A59">
        <v>1.6</v>
      </c>
      <c r="B59">
        <f t="shared" si="0"/>
        <v>1</v>
      </c>
      <c r="C59">
        <f t="shared" si="1"/>
        <v>0</v>
      </c>
      <c r="D59" s="27">
        <v>1</v>
      </c>
      <c r="E59">
        <v>20000</v>
      </c>
      <c r="F59" s="50" t="s">
        <v>46</v>
      </c>
      <c r="H59" s="79">
        <v>32</v>
      </c>
      <c r="I59" s="79">
        <v>11.827774092900846</v>
      </c>
      <c r="J59" s="79">
        <v>6.1722259070991541</v>
      </c>
      <c r="K59" s="79">
        <v>1.4676350652103503</v>
      </c>
    </row>
    <row r="60" spans="1:11" x14ac:dyDescent="0.2">
      <c r="A60">
        <v>2.3333333333333335</v>
      </c>
      <c r="B60">
        <f t="shared" si="0"/>
        <v>1</v>
      </c>
      <c r="C60">
        <f t="shared" si="1"/>
        <v>0</v>
      </c>
      <c r="D60" s="25">
        <v>2</v>
      </c>
      <c r="E60">
        <v>20000</v>
      </c>
      <c r="F60" s="47" t="s">
        <v>61</v>
      </c>
      <c r="H60" s="79">
        <v>33</v>
      </c>
      <c r="I60" s="79">
        <v>10.893792145469252</v>
      </c>
      <c r="J60" s="79">
        <v>2.9062078545307486</v>
      </c>
      <c r="K60" s="79">
        <v>0.69103960520843388</v>
      </c>
    </row>
    <row r="61" spans="1:11" x14ac:dyDescent="0.2">
      <c r="A61">
        <v>2</v>
      </c>
      <c r="B61">
        <f t="shared" si="0"/>
        <v>1</v>
      </c>
      <c r="C61">
        <f t="shared" si="1"/>
        <v>0</v>
      </c>
      <c r="D61" s="27">
        <v>1</v>
      </c>
      <c r="E61">
        <v>5000</v>
      </c>
      <c r="F61" s="50" t="s">
        <v>100</v>
      </c>
      <c r="H61" s="79">
        <v>34</v>
      </c>
      <c r="I61" s="79">
        <v>11.468550266965616</v>
      </c>
      <c r="J61" s="79">
        <v>-4.2685502669656161</v>
      </c>
      <c r="K61" s="79">
        <v>-1.0149780879222605</v>
      </c>
    </row>
    <row r="62" spans="1:11" x14ac:dyDescent="0.2">
      <c r="A62">
        <v>20</v>
      </c>
      <c r="B62">
        <f t="shared" si="0"/>
        <v>1</v>
      </c>
      <c r="C62">
        <f t="shared" si="1"/>
        <v>0</v>
      </c>
      <c r="D62" s="25">
        <v>2</v>
      </c>
      <c r="E62">
        <v>5000</v>
      </c>
      <c r="F62" s="47" t="s">
        <v>46</v>
      </c>
      <c r="H62" s="79">
        <v>35</v>
      </c>
      <c r="I62" s="79">
        <v>2.3339724988328978</v>
      </c>
      <c r="J62" s="79">
        <v>-6.3916549956433144E-4</v>
      </c>
      <c r="K62" s="79">
        <v>-1.5198110272573892E-4</v>
      </c>
    </row>
    <row r="63" spans="1:11" x14ac:dyDescent="0.2">
      <c r="A63">
        <v>18.333333333333332</v>
      </c>
      <c r="B63">
        <f t="shared" si="0"/>
        <v>1</v>
      </c>
      <c r="C63">
        <f t="shared" si="1"/>
        <v>1</v>
      </c>
      <c r="D63" s="27">
        <v>2</v>
      </c>
      <c r="E63">
        <v>40000</v>
      </c>
      <c r="F63" s="50" t="s">
        <v>290</v>
      </c>
      <c r="H63" s="79">
        <v>36</v>
      </c>
      <c r="I63" s="79">
        <v>10.893792145469252</v>
      </c>
      <c r="J63" s="79">
        <v>-2.227125478802586</v>
      </c>
      <c r="K63" s="79">
        <v>-0.52956704704450108</v>
      </c>
    </row>
    <row r="64" spans="1:11" x14ac:dyDescent="0.2">
      <c r="A64">
        <v>2.3333333333333335</v>
      </c>
      <c r="B64">
        <f t="shared" si="0"/>
        <v>1</v>
      </c>
      <c r="C64">
        <f t="shared" si="1"/>
        <v>0</v>
      </c>
      <c r="D64" s="25">
        <v>1</v>
      </c>
      <c r="E64">
        <v>20000</v>
      </c>
      <c r="F64" s="47" t="s">
        <v>100</v>
      </c>
      <c r="H64" s="79">
        <v>37</v>
      </c>
      <c r="I64" s="79">
        <v>1.831059142523578</v>
      </c>
      <c r="J64" s="79">
        <v>-0.58105914252357804</v>
      </c>
      <c r="K64" s="79">
        <v>-0.13816454312662313</v>
      </c>
    </row>
    <row r="65" spans="1:11" x14ac:dyDescent="0.2">
      <c r="A65">
        <v>9.25</v>
      </c>
      <c r="B65">
        <f t="shared" si="0"/>
        <v>1</v>
      </c>
      <c r="C65">
        <f t="shared" si="1"/>
        <v>1</v>
      </c>
      <c r="D65" s="27">
        <v>2</v>
      </c>
      <c r="E65">
        <v>60000</v>
      </c>
      <c r="F65" s="50" t="s">
        <v>246</v>
      </c>
      <c r="H65" s="79">
        <v>38</v>
      </c>
      <c r="I65" s="79">
        <v>15.251643063733898</v>
      </c>
      <c r="J65" s="79">
        <v>-1.8516430637338974</v>
      </c>
      <c r="K65" s="79">
        <v>-0.44028464438797399</v>
      </c>
    </row>
    <row r="66" spans="1:11" x14ac:dyDescent="0.2">
      <c r="A66">
        <v>1.2</v>
      </c>
      <c r="B66">
        <f t="shared" si="0"/>
        <v>1</v>
      </c>
      <c r="C66">
        <f t="shared" si="1"/>
        <v>0</v>
      </c>
      <c r="D66" s="25">
        <v>1</v>
      </c>
      <c r="E66">
        <v>5000</v>
      </c>
      <c r="F66" s="47" t="s">
        <v>100</v>
      </c>
      <c r="H66" s="79">
        <v>39</v>
      </c>
      <c r="I66" s="79">
        <v>8.0498787541819272</v>
      </c>
      <c r="J66" s="79">
        <v>-3.0498787541819272</v>
      </c>
      <c r="K66" s="79">
        <v>-0.72520174595831555</v>
      </c>
    </row>
    <row r="67" spans="1:11" x14ac:dyDescent="0.2">
      <c r="A67">
        <v>1.6666666666666667</v>
      </c>
      <c r="B67">
        <f t="shared" ref="B67:B130" si="2">IF(ISNUMBER(SEARCH("bike",F67))+ISNUMBER(SEARCH("scooty",F67))&gt;0,1,0)</f>
        <v>1</v>
      </c>
      <c r="C67">
        <f t="shared" ref="C67:C130" si="3">IF(ISNUMBER(SEARCH("car",F67))+ISNUMBER(SEARCH("Commercial vehicle",F67))&gt;0,1,0)</f>
        <v>0</v>
      </c>
      <c r="D67" s="27">
        <v>1</v>
      </c>
      <c r="E67">
        <v>20000</v>
      </c>
      <c r="F67" s="50" t="s">
        <v>46</v>
      </c>
      <c r="H67" s="79">
        <v>40</v>
      </c>
      <c r="I67" s="79">
        <v>2.0465934380847148</v>
      </c>
      <c r="J67" s="79">
        <v>2.6200732285819521</v>
      </c>
      <c r="K67" s="79">
        <v>0.62300236601239378</v>
      </c>
    </row>
    <row r="68" spans="1:11" x14ac:dyDescent="0.2">
      <c r="A68">
        <v>8</v>
      </c>
      <c r="B68">
        <f t="shared" si="2"/>
        <v>0</v>
      </c>
      <c r="C68">
        <f t="shared" si="3"/>
        <v>1</v>
      </c>
      <c r="D68" s="25">
        <v>1</v>
      </c>
      <c r="E68">
        <v>85000</v>
      </c>
      <c r="F68" s="47" t="s">
        <v>431</v>
      </c>
      <c r="H68" s="79">
        <v>41</v>
      </c>
      <c r="I68" s="79">
        <v>1.831059142523578</v>
      </c>
      <c r="J68" s="79">
        <v>-0.83105914252357804</v>
      </c>
      <c r="K68" s="79">
        <v>-0.19760967229478552</v>
      </c>
    </row>
    <row r="69" spans="1:11" x14ac:dyDescent="0.2">
      <c r="A69">
        <v>8.25</v>
      </c>
      <c r="B69">
        <f t="shared" si="2"/>
        <v>1</v>
      </c>
      <c r="C69">
        <f t="shared" si="3"/>
        <v>1</v>
      </c>
      <c r="D69" s="27">
        <v>2</v>
      </c>
      <c r="E69">
        <v>40000</v>
      </c>
      <c r="F69" s="50" t="s">
        <v>246</v>
      </c>
      <c r="H69" s="79">
        <v>42</v>
      </c>
      <c r="I69" s="79">
        <v>12.40253221439721</v>
      </c>
      <c r="J69" s="79">
        <v>-7.9025322143972101</v>
      </c>
      <c r="K69" s="79">
        <v>-1.8790681929616264</v>
      </c>
    </row>
    <row r="70" spans="1:11" x14ac:dyDescent="0.2">
      <c r="A70">
        <v>1.5</v>
      </c>
      <c r="B70">
        <f t="shared" si="2"/>
        <v>1</v>
      </c>
      <c r="C70">
        <f t="shared" si="3"/>
        <v>0</v>
      </c>
      <c r="D70" s="25">
        <v>1</v>
      </c>
      <c r="E70">
        <v>5000</v>
      </c>
      <c r="F70" s="47" t="s">
        <v>100</v>
      </c>
      <c r="H70" s="79">
        <v>43</v>
      </c>
      <c r="I70" s="79">
        <v>1.831059142523578</v>
      </c>
      <c r="J70" s="79">
        <v>-0.43105914252357813</v>
      </c>
      <c r="K70" s="79">
        <v>-0.1024974656257257</v>
      </c>
    </row>
    <row r="71" spans="1:11" x14ac:dyDescent="0.2">
      <c r="A71">
        <v>18</v>
      </c>
      <c r="B71">
        <f t="shared" si="2"/>
        <v>0</v>
      </c>
      <c r="C71">
        <f t="shared" si="3"/>
        <v>1</v>
      </c>
      <c r="D71" s="27">
        <v>2</v>
      </c>
      <c r="E71">
        <v>60000</v>
      </c>
      <c r="F71" s="50" t="s">
        <v>668</v>
      </c>
      <c r="H71" s="79">
        <v>44</v>
      </c>
      <c r="I71" s="79">
        <v>2.0465934380847148</v>
      </c>
      <c r="J71" s="79">
        <v>1.4534065619152852</v>
      </c>
      <c r="K71" s="79">
        <v>0.3455917632276358</v>
      </c>
    </row>
    <row r="72" spans="1:11" x14ac:dyDescent="0.2">
      <c r="A72">
        <v>6.333333333333333</v>
      </c>
      <c r="B72">
        <f t="shared" si="2"/>
        <v>0</v>
      </c>
      <c r="C72">
        <f t="shared" si="3"/>
        <v>1</v>
      </c>
      <c r="D72" s="25">
        <v>1</v>
      </c>
      <c r="E72">
        <v>40000</v>
      </c>
      <c r="F72" s="47" t="s">
        <v>431</v>
      </c>
      <c r="H72" s="79">
        <v>45</v>
      </c>
      <c r="I72" s="79">
        <v>11.181171206217435</v>
      </c>
      <c r="J72" s="79">
        <v>-2.1811712062174351</v>
      </c>
      <c r="K72" s="79">
        <v>-0.51864001636588808</v>
      </c>
    </row>
    <row r="73" spans="1:11" x14ac:dyDescent="0.2">
      <c r="A73">
        <v>4.75</v>
      </c>
      <c r="B73">
        <f t="shared" si="2"/>
        <v>1</v>
      </c>
      <c r="C73">
        <f t="shared" si="3"/>
        <v>0</v>
      </c>
      <c r="D73" s="27">
        <v>1</v>
      </c>
      <c r="E73">
        <v>40000</v>
      </c>
      <c r="F73" s="50" t="s">
        <v>46</v>
      </c>
      <c r="H73" s="79">
        <v>46</v>
      </c>
      <c r="I73" s="79">
        <v>11.181171206217435</v>
      </c>
      <c r="J73" s="79">
        <v>1.0188287937825642</v>
      </c>
      <c r="K73" s="79">
        <v>0.24225763698659047</v>
      </c>
    </row>
    <row r="74" spans="1:11" x14ac:dyDescent="0.2">
      <c r="A74">
        <v>12.5</v>
      </c>
      <c r="B74">
        <f t="shared" si="2"/>
        <v>1</v>
      </c>
      <c r="C74">
        <f t="shared" si="3"/>
        <v>1</v>
      </c>
      <c r="D74" s="25">
        <v>2</v>
      </c>
      <c r="E74">
        <v>40000</v>
      </c>
      <c r="F74" s="47" t="s">
        <v>246</v>
      </c>
      <c r="H74" s="79">
        <v>47</v>
      </c>
      <c r="I74" s="79">
        <v>2.0465934380847148</v>
      </c>
      <c r="J74" s="79">
        <v>-0.54659343808471483</v>
      </c>
      <c r="K74" s="79">
        <v>-0.1299692701176634</v>
      </c>
    </row>
    <row r="75" spans="1:11" x14ac:dyDescent="0.2">
      <c r="A75">
        <v>1.2</v>
      </c>
      <c r="B75">
        <f t="shared" si="2"/>
        <v>1</v>
      </c>
      <c r="C75">
        <f t="shared" si="3"/>
        <v>0</v>
      </c>
      <c r="D75" s="27">
        <v>1</v>
      </c>
      <c r="E75">
        <v>5000</v>
      </c>
      <c r="F75" s="50" t="s">
        <v>100</v>
      </c>
      <c r="H75" s="79">
        <v>48</v>
      </c>
      <c r="I75" s="79">
        <v>15.251643063733898</v>
      </c>
      <c r="J75" s="79">
        <v>3.7483569362661022</v>
      </c>
      <c r="K75" s="79">
        <v>0.89128624897886366</v>
      </c>
    </row>
    <row r="76" spans="1:11" x14ac:dyDescent="0.2">
      <c r="A76">
        <v>12.833333333333334</v>
      </c>
      <c r="B76">
        <f t="shared" si="2"/>
        <v>1</v>
      </c>
      <c r="C76">
        <f t="shared" si="3"/>
        <v>1</v>
      </c>
      <c r="D76" s="25">
        <v>2</v>
      </c>
      <c r="E76">
        <v>20000</v>
      </c>
      <c r="F76" s="47" t="s">
        <v>290</v>
      </c>
      <c r="H76" s="79">
        <v>49</v>
      </c>
      <c r="I76" s="79">
        <v>1.831059142523578</v>
      </c>
      <c r="J76" s="79">
        <v>0.83560752414308848</v>
      </c>
      <c r="K76" s="79">
        <v>0.1986911888262971</v>
      </c>
    </row>
    <row r="77" spans="1:11" x14ac:dyDescent="0.2">
      <c r="A77">
        <v>3</v>
      </c>
      <c r="B77">
        <f t="shared" si="2"/>
        <v>1</v>
      </c>
      <c r="C77">
        <f t="shared" si="3"/>
        <v>1</v>
      </c>
      <c r="D77" s="27">
        <v>2</v>
      </c>
      <c r="E77">
        <v>60000</v>
      </c>
      <c r="F77" s="50" t="s">
        <v>269</v>
      </c>
      <c r="H77" s="79">
        <v>50</v>
      </c>
      <c r="I77" s="79">
        <v>6.0452205304141335</v>
      </c>
      <c r="J77" s="79">
        <v>2.4547794695858665</v>
      </c>
      <c r="K77" s="79">
        <v>0.58369873059554012</v>
      </c>
    </row>
    <row r="78" spans="1:11" x14ac:dyDescent="0.2">
      <c r="A78">
        <v>32.5</v>
      </c>
      <c r="B78">
        <f t="shared" si="2"/>
        <v>0</v>
      </c>
      <c r="C78">
        <f t="shared" si="3"/>
        <v>1</v>
      </c>
      <c r="D78" s="25">
        <v>3</v>
      </c>
      <c r="E78">
        <v>125000</v>
      </c>
      <c r="F78" s="47" t="s">
        <v>668</v>
      </c>
      <c r="H78" s="79">
        <v>51</v>
      </c>
      <c r="I78" s="79">
        <v>8.678797084189684</v>
      </c>
      <c r="J78" s="79">
        <v>-6.678797084189684</v>
      </c>
      <c r="K78" s="79">
        <v>-1.5880878214304086</v>
      </c>
    </row>
    <row r="79" spans="1:11" x14ac:dyDescent="0.2">
      <c r="A79">
        <v>1.2</v>
      </c>
      <c r="B79">
        <f t="shared" si="2"/>
        <v>1</v>
      </c>
      <c r="C79">
        <f t="shared" si="3"/>
        <v>0</v>
      </c>
      <c r="D79" s="27">
        <v>1</v>
      </c>
      <c r="E79">
        <v>20000</v>
      </c>
      <c r="F79" s="50" t="s">
        <v>46</v>
      </c>
      <c r="H79" s="79">
        <v>52</v>
      </c>
      <c r="I79" s="79">
        <v>7.7624996934337451</v>
      </c>
      <c r="J79" s="79">
        <v>0.23750030656625487</v>
      </c>
      <c r="K79" s="79">
        <v>5.647294560523676E-2</v>
      </c>
    </row>
    <row r="80" spans="1:11" x14ac:dyDescent="0.2">
      <c r="A80">
        <v>4</v>
      </c>
      <c r="B80">
        <f t="shared" si="2"/>
        <v>1</v>
      </c>
      <c r="C80">
        <f t="shared" si="3"/>
        <v>0</v>
      </c>
      <c r="D80" s="25">
        <v>1</v>
      </c>
      <c r="E80">
        <v>5000</v>
      </c>
      <c r="F80" s="47" t="s">
        <v>46</v>
      </c>
      <c r="H80" s="79">
        <v>53</v>
      </c>
      <c r="I80" s="79">
        <v>10.893792145469252</v>
      </c>
      <c r="J80" s="79">
        <v>-2.8937921454692521</v>
      </c>
      <c r="K80" s="79">
        <v>-0.68808739149293396</v>
      </c>
    </row>
    <row r="81" spans="1:11" x14ac:dyDescent="0.2">
      <c r="A81">
        <v>1.75</v>
      </c>
      <c r="B81">
        <f t="shared" si="2"/>
        <v>1</v>
      </c>
      <c r="C81">
        <f t="shared" si="3"/>
        <v>0</v>
      </c>
      <c r="D81" s="27">
        <v>1</v>
      </c>
      <c r="E81">
        <v>5000</v>
      </c>
      <c r="F81" s="50" t="s">
        <v>100</v>
      </c>
      <c r="H81" s="79">
        <v>54</v>
      </c>
      <c r="I81" s="79">
        <v>1.831059142523578</v>
      </c>
      <c r="J81" s="79">
        <v>-0.33105914252357804</v>
      </c>
      <c r="K81" s="79">
        <v>-7.8719413958460729E-2</v>
      </c>
    </row>
    <row r="82" spans="1:11" x14ac:dyDescent="0.2">
      <c r="A82">
        <v>10</v>
      </c>
      <c r="B82">
        <f t="shared" si="2"/>
        <v>0</v>
      </c>
      <c r="C82">
        <f t="shared" si="3"/>
        <v>1</v>
      </c>
      <c r="D82" s="25">
        <v>2</v>
      </c>
      <c r="E82">
        <v>60000</v>
      </c>
      <c r="F82" s="47" t="s">
        <v>352</v>
      </c>
      <c r="H82" s="79">
        <v>55</v>
      </c>
      <c r="I82" s="79">
        <v>1.831059142523578</v>
      </c>
      <c r="J82" s="79">
        <v>0.16894085747642196</v>
      </c>
      <c r="K82" s="79">
        <v>4.0170844377864071E-2</v>
      </c>
    </row>
    <row r="83" spans="1:11" x14ac:dyDescent="0.2">
      <c r="A83">
        <v>0.83333333333333337</v>
      </c>
      <c r="B83">
        <f t="shared" si="2"/>
        <v>1</v>
      </c>
      <c r="C83">
        <f t="shared" si="3"/>
        <v>0</v>
      </c>
      <c r="D83" s="27">
        <v>1</v>
      </c>
      <c r="E83">
        <v>20000</v>
      </c>
      <c r="F83" s="50" t="s">
        <v>100</v>
      </c>
      <c r="H83" s="79">
        <v>56</v>
      </c>
      <c r="I83" s="79">
        <v>5.7578414696659506</v>
      </c>
      <c r="J83" s="79">
        <v>-0.25784146966595056</v>
      </c>
      <c r="K83" s="79">
        <v>-6.1309677876805031E-2</v>
      </c>
    </row>
    <row r="84" spans="1:11" x14ac:dyDescent="0.2">
      <c r="A84">
        <v>16.5</v>
      </c>
      <c r="B84">
        <f t="shared" si="2"/>
        <v>1</v>
      </c>
      <c r="C84">
        <f t="shared" si="3"/>
        <v>1</v>
      </c>
      <c r="D84" s="25">
        <v>2</v>
      </c>
      <c r="E84">
        <v>40000</v>
      </c>
      <c r="F84" s="47" t="s">
        <v>290</v>
      </c>
      <c r="H84" s="79">
        <v>57</v>
      </c>
      <c r="I84" s="79">
        <v>1.831059142523578</v>
      </c>
      <c r="J84" s="79">
        <v>-1.6310591425235781</v>
      </c>
      <c r="K84" s="79">
        <v>-0.38783408563290522</v>
      </c>
    </row>
    <row r="85" spans="1:11" x14ac:dyDescent="0.2">
      <c r="A85">
        <v>3.3333333333333335</v>
      </c>
      <c r="B85">
        <f t="shared" si="2"/>
        <v>1</v>
      </c>
      <c r="C85">
        <f t="shared" si="3"/>
        <v>0</v>
      </c>
      <c r="D85" s="27">
        <v>2</v>
      </c>
      <c r="E85">
        <v>60000</v>
      </c>
      <c r="F85" s="50" t="s">
        <v>46</v>
      </c>
      <c r="H85" s="79">
        <v>58</v>
      </c>
      <c r="I85" s="79">
        <v>2.0465934380847148</v>
      </c>
      <c r="J85" s="79">
        <v>-0.44659343808471474</v>
      </c>
      <c r="K85" s="79">
        <v>-0.10619121845039842</v>
      </c>
    </row>
    <row r="86" spans="1:11" x14ac:dyDescent="0.2">
      <c r="A86">
        <v>6</v>
      </c>
      <c r="B86">
        <f t="shared" si="2"/>
        <v>1</v>
      </c>
      <c r="C86">
        <f t="shared" si="3"/>
        <v>1</v>
      </c>
      <c r="D86" s="25">
        <v>2</v>
      </c>
      <c r="E86">
        <v>40000</v>
      </c>
      <c r="F86" s="47" t="s">
        <v>246</v>
      </c>
      <c r="H86" s="79">
        <v>59</v>
      </c>
      <c r="I86" s="79">
        <v>5.4704624089177685</v>
      </c>
      <c r="J86" s="79">
        <v>-3.137129075584435</v>
      </c>
      <c r="K86" s="79">
        <v>-0.74594817246125855</v>
      </c>
    </row>
    <row r="87" spans="1:11" x14ac:dyDescent="0.2">
      <c r="A87">
        <v>6.666666666666667</v>
      </c>
      <c r="B87">
        <f t="shared" si="2"/>
        <v>0</v>
      </c>
      <c r="C87">
        <f t="shared" si="3"/>
        <v>1</v>
      </c>
      <c r="D87" s="27">
        <v>1</v>
      </c>
      <c r="E87">
        <v>60000</v>
      </c>
      <c r="F87" s="50" t="s">
        <v>431</v>
      </c>
      <c r="H87" s="79">
        <v>60</v>
      </c>
      <c r="I87" s="79">
        <v>1.831059142523578</v>
      </c>
      <c r="J87" s="79">
        <v>0.16894085747642196</v>
      </c>
      <c r="K87" s="79">
        <v>4.0170844377864071E-2</v>
      </c>
    </row>
    <row r="88" spans="1:11" x14ac:dyDescent="0.2">
      <c r="A88">
        <v>1.6666666666666667</v>
      </c>
      <c r="B88">
        <f t="shared" si="2"/>
        <v>1</v>
      </c>
      <c r="C88">
        <f t="shared" si="3"/>
        <v>0</v>
      </c>
      <c r="D88" s="25">
        <v>1</v>
      </c>
      <c r="E88">
        <v>20000</v>
      </c>
      <c r="F88" s="47" t="s">
        <v>46</v>
      </c>
      <c r="H88" s="79">
        <v>61</v>
      </c>
      <c r="I88" s="79">
        <v>5.2549281133566312</v>
      </c>
      <c r="J88" s="79">
        <v>14.74507188664337</v>
      </c>
      <c r="K88" s="79">
        <v>3.5060908115814207</v>
      </c>
    </row>
    <row r="89" spans="1:11" x14ac:dyDescent="0.2">
      <c r="A89">
        <v>1.25</v>
      </c>
      <c r="B89">
        <f t="shared" si="2"/>
        <v>1</v>
      </c>
      <c r="C89">
        <f t="shared" si="3"/>
        <v>0</v>
      </c>
      <c r="D89" s="27">
        <v>1</v>
      </c>
      <c r="E89">
        <v>5000</v>
      </c>
      <c r="F89" s="50" t="s">
        <v>100</v>
      </c>
      <c r="H89" s="79">
        <v>62</v>
      </c>
      <c r="I89" s="79">
        <v>11.181171206217435</v>
      </c>
      <c r="J89" s="79">
        <v>7.1521621271158971</v>
      </c>
      <c r="K89" s="79">
        <v>1.7006448059121746</v>
      </c>
    </row>
    <row r="90" spans="1:11" x14ac:dyDescent="0.2">
      <c r="A90">
        <v>8.6666666666666661</v>
      </c>
      <c r="B90">
        <f t="shared" si="2"/>
        <v>1</v>
      </c>
      <c r="C90">
        <f t="shared" si="3"/>
        <v>1</v>
      </c>
      <c r="D90" s="25">
        <v>2</v>
      </c>
      <c r="E90">
        <v>40000</v>
      </c>
      <c r="F90" s="47" t="s">
        <v>246</v>
      </c>
      <c r="H90" s="79">
        <v>63</v>
      </c>
      <c r="I90" s="79">
        <v>2.0465934380847148</v>
      </c>
      <c r="J90" s="79">
        <v>0.28673989524861865</v>
      </c>
      <c r="K90" s="79">
        <v>6.8181160442877961E-2</v>
      </c>
    </row>
    <row r="91" spans="1:11" x14ac:dyDescent="0.2">
      <c r="A91">
        <v>2.2000000000000002</v>
      </c>
      <c r="B91">
        <f t="shared" si="2"/>
        <v>1</v>
      </c>
      <c r="C91">
        <f t="shared" si="3"/>
        <v>0</v>
      </c>
      <c r="D91" s="27">
        <v>1</v>
      </c>
      <c r="E91">
        <v>20000</v>
      </c>
      <c r="F91" s="50" t="s">
        <v>46</v>
      </c>
      <c r="H91" s="79">
        <v>64</v>
      </c>
      <c r="I91" s="79">
        <v>11.468550266965616</v>
      </c>
      <c r="J91" s="79">
        <v>-2.2185502669656163</v>
      </c>
      <c r="K91" s="79">
        <v>-0.52752802874332894</v>
      </c>
    </row>
    <row r="92" spans="1:11" x14ac:dyDescent="0.2">
      <c r="A92">
        <v>1.25</v>
      </c>
      <c r="B92">
        <f t="shared" si="2"/>
        <v>1</v>
      </c>
      <c r="C92">
        <f t="shared" si="3"/>
        <v>0</v>
      </c>
      <c r="D92" s="25">
        <v>1</v>
      </c>
      <c r="E92">
        <v>20000</v>
      </c>
      <c r="F92" s="47" t="s">
        <v>100</v>
      </c>
      <c r="H92" s="79">
        <v>65</v>
      </c>
      <c r="I92" s="79">
        <v>1.831059142523578</v>
      </c>
      <c r="J92" s="79">
        <v>-0.63105914252357809</v>
      </c>
      <c r="K92" s="79">
        <v>-0.15005356896025562</v>
      </c>
    </row>
    <row r="93" spans="1:11" x14ac:dyDescent="0.2">
      <c r="A93">
        <v>8.6666666666666661</v>
      </c>
      <c r="B93">
        <f t="shared" si="2"/>
        <v>1</v>
      </c>
      <c r="C93">
        <f t="shared" si="3"/>
        <v>1</v>
      </c>
      <c r="D93" s="27">
        <v>2</v>
      </c>
      <c r="E93">
        <v>40000</v>
      </c>
      <c r="F93" s="50" t="s">
        <v>246</v>
      </c>
      <c r="H93" s="79">
        <v>66</v>
      </c>
      <c r="I93" s="79">
        <v>2.0465934380847148</v>
      </c>
      <c r="J93" s="79">
        <v>-0.37992677141804809</v>
      </c>
      <c r="K93" s="79">
        <v>-9.0339184005555115E-2</v>
      </c>
    </row>
    <row r="94" spans="1:11" x14ac:dyDescent="0.2">
      <c r="A94">
        <v>1.5</v>
      </c>
      <c r="B94">
        <f t="shared" si="2"/>
        <v>1</v>
      </c>
      <c r="C94">
        <f t="shared" si="3"/>
        <v>0</v>
      </c>
      <c r="D94" s="25">
        <v>1</v>
      </c>
      <c r="E94">
        <v>20000</v>
      </c>
      <c r="F94" s="47" t="s">
        <v>100</v>
      </c>
      <c r="H94" s="79">
        <v>67</v>
      </c>
      <c r="I94" s="79">
        <v>8.4091025801171568</v>
      </c>
      <c r="J94" s="79">
        <v>-0.40910258011715683</v>
      </c>
      <c r="K94" s="79">
        <v>-9.7276622872371585E-2</v>
      </c>
    </row>
    <row r="95" spans="1:11" x14ac:dyDescent="0.2">
      <c r="A95">
        <v>6</v>
      </c>
      <c r="B95">
        <f t="shared" si="2"/>
        <v>0</v>
      </c>
      <c r="C95">
        <f t="shared" si="3"/>
        <v>1</v>
      </c>
      <c r="D95" s="27">
        <v>1</v>
      </c>
      <c r="E95">
        <v>40000</v>
      </c>
      <c r="F95" s="50" t="s">
        <v>431</v>
      </c>
      <c r="H95" s="79">
        <v>68</v>
      </c>
      <c r="I95" s="79">
        <v>11.181171206217435</v>
      </c>
      <c r="J95" s="79">
        <v>-2.9311712062174351</v>
      </c>
      <c r="K95" s="79">
        <v>-0.69697540387037527</v>
      </c>
    </row>
    <row r="96" spans="1:11" x14ac:dyDescent="0.2">
      <c r="A96">
        <v>2</v>
      </c>
      <c r="B96">
        <f t="shared" si="2"/>
        <v>1</v>
      </c>
      <c r="C96">
        <f t="shared" si="3"/>
        <v>0</v>
      </c>
      <c r="D96" s="25">
        <v>1</v>
      </c>
      <c r="E96">
        <v>20000</v>
      </c>
      <c r="F96" s="47" t="s">
        <v>46</v>
      </c>
      <c r="H96" s="79">
        <v>69</v>
      </c>
      <c r="I96" s="79">
        <v>1.831059142523578</v>
      </c>
      <c r="J96" s="79">
        <v>-0.33105914252357804</v>
      </c>
      <c r="K96" s="79">
        <v>-7.8719413958460729E-2</v>
      </c>
    </row>
    <row r="97" spans="1:11" x14ac:dyDescent="0.2">
      <c r="A97">
        <v>1.25</v>
      </c>
      <c r="B97">
        <f t="shared" si="2"/>
        <v>1</v>
      </c>
      <c r="C97">
        <f t="shared" si="3"/>
        <v>0</v>
      </c>
      <c r="D97" s="27">
        <v>1</v>
      </c>
      <c r="E97">
        <v>5000</v>
      </c>
      <c r="F97" s="50" t="s">
        <v>100</v>
      </c>
      <c r="H97" s="79">
        <v>70</v>
      </c>
      <c r="I97" s="79">
        <v>11.473747725014981</v>
      </c>
      <c r="J97" s="79">
        <v>6.5262522749850191</v>
      </c>
      <c r="K97" s="79">
        <v>1.5518156378819927</v>
      </c>
    </row>
    <row r="98" spans="1:11" x14ac:dyDescent="0.2">
      <c r="A98">
        <v>11.833333333333334</v>
      </c>
      <c r="B98">
        <f t="shared" si="2"/>
        <v>1</v>
      </c>
      <c r="C98">
        <f t="shared" si="3"/>
        <v>1</v>
      </c>
      <c r="D98" s="25">
        <v>2</v>
      </c>
      <c r="E98">
        <v>40000</v>
      </c>
      <c r="F98" s="47" t="s">
        <v>290</v>
      </c>
      <c r="H98" s="79">
        <v>71</v>
      </c>
      <c r="I98" s="79">
        <v>7.7624996934337451</v>
      </c>
      <c r="J98" s="79">
        <v>-1.4291663601004121</v>
      </c>
      <c r="K98" s="79">
        <v>-0.33982791551584596</v>
      </c>
    </row>
    <row r="99" spans="1:11" x14ac:dyDescent="0.2">
      <c r="A99">
        <v>13.833333333333334</v>
      </c>
      <c r="B99">
        <f t="shared" si="2"/>
        <v>1</v>
      </c>
      <c r="C99">
        <f t="shared" si="3"/>
        <v>1</v>
      </c>
      <c r="D99" s="27">
        <v>2</v>
      </c>
      <c r="E99">
        <v>60000</v>
      </c>
      <c r="F99" s="50" t="s">
        <v>290</v>
      </c>
      <c r="H99" s="79">
        <v>72</v>
      </c>
      <c r="I99" s="79">
        <v>2.3339724988328978</v>
      </c>
      <c r="J99" s="79">
        <v>2.4160275011671022</v>
      </c>
      <c r="K99" s="79">
        <v>0.57448426752284409</v>
      </c>
    </row>
    <row r="100" spans="1:11" x14ac:dyDescent="0.2">
      <c r="A100">
        <v>6.333333333333333</v>
      </c>
      <c r="B100">
        <f t="shared" si="2"/>
        <v>0</v>
      </c>
      <c r="C100">
        <f t="shared" si="3"/>
        <v>1</v>
      </c>
      <c r="D100" s="25">
        <v>1</v>
      </c>
      <c r="E100">
        <v>40000</v>
      </c>
      <c r="F100" s="47" t="s">
        <v>431</v>
      </c>
      <c r="H100" s="79">
        <v>73</v>
      </c>
      <c r="I100" s="79">
        <v>11.181171206217435</v>
      </c>
      <c r="J100" s="79">
        <v>1.3188287937825649</v>
      </c>
      <c r="K100" s="79">
        <v>0.31359179198838555</v>
      </c>
    </row>
    <row r="101" spans="1:11" x14ac:dyDescent="0.2">
      <c r="A101">
        <v>10.833333333333334</v>
      </c>
      <c r="B101">
        <f t="shared" si="2"/>
        <v>1</v>
      </c>
      <c r="C101">
        <f t="shared" si="3"/>
        <v>1</v>
      </c>
      <c r="D101" s="27">
        <v>2</v>
      </c>
      <c r="E101">
        <v>20000</v>
      </c>
      <c r="F101" s="50" t="s">
        <v>290</v>
      </c>
      <c r="H101" s="79">
        <v>74</v>
      </c>
      <c r="I101" s="79">
        <v>1.831059142523578</v>
      </c>
      <c r="J101" s="79">
        <v>-0.63105914252357809</v>
      </c>
      <c r="K101" s="79">
        <v>-0.15005356896025562</v>
      </c>
    </row>
    <row r="102" spans="1:11" x14ac:dyDescent="0.2">
      <c r="A102">
        <v>1.5</v>
      </c>
      <c r="B102">
        <f t="shared" si="2"/>
        <v>1</v>
      </c>
      <c r="C102">
        <f t="shared" si="3"/>
        <v>0</v>
      </c>
      <c r="D102" s="25">
        <v>1</v>
      </c>
      <c r="E102">
        <v>5000</v>
      </c>
      <c r="F102" s="47" t="s">
        <v>100</v>
      </c>
      <c r="H102" s="79">
        <v>75</v>
      </c>
      <c r="I102" s="79">
        <v>10.893792145469252</v>
      </c>
      <c r="J102" s="79">
        <v>1.9395411878640818</v>
      </c>
      <c r="K102" s="79">
        <v>0.46118510575820593</v>
      </c>
    </row>
    <row r="103" spans="1:11" x14ac:dyDescent="0.2">
      <c r="A103">
        <v>10</v>
      </c>
      <c r="B103">
        <f t="shared" si="2"/>
        <v>1</v>
      </c>
      <c r="C103">
        <f t="shared" si="3"/>
        <v>1</v>
      </c>
      <c r="D103" s="27">
        <v>2</v>
      </c>
      <c r="E103">
        <v>40000</v>
      </c>
      <c r="F103" s="50" t="s">
        <v>246</v>
      </c>
      <c r="H103" s="79">
        <v>76</v>
      </c>
      <c r="I103" s="79">
        <v>11.468550266965616</v>
      </c>
      <c r="J103" s="79">
        <v>-8.4685502669656163</v>
      </c>
      <c r="K103" s="79">
        <v>-2.0136562579473889</v>
      </c>
    </row>
    <row r="104" spans="1:11" x14ac:dyDescent="0.2">
      <c r="A104">
        <v>6.2</v>
      </c>
      <c r="B104">
        <f t="shared" si="2"/>
        <v>1</v>
      </c>
      <c r="C104">
        <f t="shared" si="3"/>
        <v>1</v>
      </c>
      <c r="D104" s="25">
        <v>2</v>
      </c>
      <c r="E104">
        <v>40000</v>
      </c>
      <c r="F104" s="47" t="s">
        <v>246</v>
      </c>
      <c r="H104" s="79">
        <v>77</v>
      </c>
      <c r="I104" s="79">
        <v>15.831598643279627</v>
      </c>
      <c r="J104" s="79">
        <v>16.668401356720373</v>
      </c>
      <c r="K104" s="79">
        <v>3.9634210867080641</v>
      </c>
    </row>
    <row r="105" spans="1:11" x14ac:dyDescent="0.2">
      <c r="A105">
        <v>1.25</v>
      </c>
      <c r="B105">
        <f t="shared" si="2"/>
        <v>1</v>
      </c>
      <c r="C105">
        <f t="shared" si="3"/>
        <v>0</v>
      </c>
      <c r="D105" s="27">
        <v>1</v>
      </c>
      <c r="E105">
        <v>20000</v>
      </c>
      <c r="F105" s="50" t="s">
        <v>46</v>
      </c>
      <c r="H105" s="79">
        <v>78</v>
      </c>
      <c r="I105" s="79">
        <v>2.0465934380847148</v>
      </c>
      <c r="J105" s="79">
        <v>-0.84659343808471488</v>
      </c>
      <c r="K105" s="79">
        <v>-0.20130342511945828</v>
      </c>
    </row>
    <row r="106" spans="1:11" x14ac:dyDescent="0.2">
      <c r="A106">
        <v>6.6</v>
      </c>
      <c r="B106">
        <f t="shared" si="2"/>
        <v>1</v>
      </c>
      <c r="C106">
        <f t="shared" si="3"/>
        <v>1</v>
      </c>
      <c r="D106" s="25">
        <v>2</v>
      </c>
      <c r="E106">
        <v>40000</v>
      </c>
      <c r="F106" s="47" t="s">
        <v>246</v>
      </c>
      <c r="H106" s="79">
        <v>79</v>
      </c>
      <c r="I106" s="79">
        <v>1.831059142523578</v>
      </c>
      <c r="J106" s="79">
        <v>2.168940857476422</v>
      </c>
      <c r="K106" s="79">
        <v>0.51573187772316331</v>
      </c>
    </row>
    <row r="107" spans="1:11" x14ac:dyDescent="0.2">
      <c r="A107">
        <v>14.4</v>
      </c>
      <c r="B107">
        <f t="shared" si="2"/>
        <v>1</v>
      </c>
      <c r="C107">
        <f t="shared" si="3"/>
        <v>1</v>
      </c>
      <c r="D107" s="27">
        <v>2</v>
      </c>
      <c r="E107">
        <v>20000</v>
      </c>
      <c r="F107" s="50" t="s">
        <v>290</v>
      </c>
      <c r="H107" s="79">
        <v>80</v>
      </c>
      <c r="I107" s="79">
        <v>1.831059142523578</v>
      </c>
      <c r="J107" s="79">
        <v>-8.1059142523578043E-2</v>
      </c>
      <c r="K107" s="79">
        <v>-1.9274284790298329E-2</v>
      </c>
    </row>
    <row r="108" spans="1:11" x14ac:dyDescent="0.2">
      <c r="A108">
        <v>1.5</v>
      </c>
      <c r="B108">
        <f t="shared" si="2"/>
        <v>1</v>
      </c>
      <c r="C108">
        <f t="shared" si="3"/>
        <v>0</v>
      </c>
      <c r="D108" s="25">
        <v>1</v>
      </c>
      <c r="E108">
        <v>40000</v>
      </c>
      <c r="F108" s="47" t="s">
        <v>100</v>
      </c>
      <c r="H108" s="79">
        <v>81</v>
      </c>
      <c r="I108" s="79">
        <v>11.473747725014981</v>
      </c>
      <c r="J108" s="79">
        <v>-1.4737477250149809</v>
      </c>
      <c r="K108" s="79">
        <v>-0.35042849549920407</v>
      </c>
    </row>
    <row r="109" spans="1:11" x14ac:dyDescent="0.2">
      <c r="A109">
        <v>3.3333333333333335</v>
      </c>
      <c r="B109">
        <f t="shared" si="2"/>
        <v>1</v>
      </c>
      <c r="C109">
        <f t="shared" si="3"/>
        <v>0</v>
      </c>
      <c r="D109" s="27">
        <v>1</v>
      </c>
      <c r="E109">
        <v>40000</v>
      </c>
      <c r="F109" s="50" t="s">
        <v>100</v>
      </c>
      <c r="H109" s="79">
        <v>82</v>
      </c>
      <c r="I109" s="79">
        <v>2.0465934380847148</v>
      </c>
      <c r="J109" s="79">
        <v>-1.2132601047513814</v>
      </c>
      <c r="K109" s="79">
        <v>-0.28848961456609645</v>
      </c>
    </row>
    <row r="110" spans="1:11" x14ac:dyDescent="0.2">
      <c r="A110">
        <v>12.666666666666666</v>
      </c>
      <c r="B110">
        <f t="shared" si="2"/>
        <v>1</v>
      </c>
      <c r="C110">
        <f t="shared" si="3"/>
        <v>1</v>
      </c>
      <c r="D110" s="25">
        <v>2</v>
      </c>
      <c r="E110">
        <v>20000</v>
      </c>
      <c r="F110" s="47" t="s">
        <v>290</v>
      </c>
      <c r="H110" s="79">
        <v>83</v>
      </c>
      <c r="I110" s="79">
        <v>11.181171206217435</v>
      </c>
      <c r="J110" s="79">
        <v>5.3188287937825649</v>
      </c>
      <c r="K110" s="79">
        <v>1.2647138586789839</v>
      </c>
    </row>
    <row r="111" spans="1:11" x14ac:dyDescent="0.2">
      <c r="A111">
        <v>15.333333333333334</v>
      </c>
      <c r="B111">
        <f t="shared" si="2"/>
        <v>1</v>
      </c>
      <c r="C111">
        <f t="shared" si="3"/>
        <v>1</v>
      </c>
      <c r="D111" s="27">
        <v>3</v>
      </c>
      <c r="E111">
        <v>60000</v>
      </c>
      <c r="F111" s="50" t="s">
        <v>309</v>
      </c>
      <c r="H111" s="79">
        <v>84</v>
      </c>
      <c r="I111" s="79">
        <v>6.0452205304141335</v>
      </c>
      <c r="J111" s="79">
        <v>-2.7118871970808001</v>
      </c>
      <c r="K111" s="79">
        <v>-0.64483393887981622</v>
      </c>
    </row>
    <row r="112" spans="1:11" x14ac:dyDescent="0.2">
      <c r="A112">
        <v>6.666666666666667</v>
      </c>
      <c r="B112">
        <f t="shared" si="2"/>
        <v>0</v>
      </c>
      <c r="C112">
        <f t="shared" si="3"/>
        <v>1</v>
      </c>
      <c r="D112" s="25">
        <v>1</v>
      </c>
      <c r="E112">
        <v>40000</v>
      </c>
      <c r="F112" s="47" t="s">
        <v>431</v>
      </c>
      <c r="H112" s="79">
        <v>85</v>
      </c>
      <c r="I112" s="79">
        <v>11.181171206217435</v>
      </c>
      <c r="J112" s="79">
        <v>-5.1811712062174351</v>
      </c>
      <c r="K112" s="79">
        <v>-1.2319815663838369</v>
      </c>
    </row>
    <row r="113" spans="1:11" x14ac:dyDescent="0.2">
      <c r="A113">
        <v>1.5</v>
      </c>
      <c r="B113">
        <f t="shared" si="2"/>
        <v>1</v>
      </c>
      <c r="C113">
        <f t="shared" si="3"/>
        <v>0</v>
      </c>
      <c r="D113" s="27">
        <v>1</v>
      </c>
      <c r="E113">
        <v>5000</v>
      </c>
      <c r="F113" s="50" t="s">
        <v>100</v>
      </c>
      <c r="H113" s="79">
        <v>86</v>
      </c>
      <c r="I113" s="79">
        <v>8.0498787541819272</v>
      </c>
      <c r="J113" s="79">
        <v>-1.3832120875152603</v>
      </c>
      <c r="K113" s="79">
        <v>-0.32890088483723279</v>
      </c>
    </row>
    <row r="114" spans="1:11" x14ac:dyDescent="0.2">
      <c r="A114">
        <v>8.25</v>
      </c>
      <c r="B114">
        <f t="shared" si="2"/>
        <v>1</v>
      </c>
      <c r="C114">
        <f t="shared" si="3"/>
        <v>1</v>
      </c>
      <c r="D114" s="25">
        <v>3</v>
      </c>
      <c r="E114">
        <v>60000</v>
      </c>
      <c r="F114" s="47" t="s">
        <v>435</v>
      </c>
      <c r="H114" s="79">
        <v>87</v>
      </c>
      <c r="I114" s="79">
        <v>2.0465934380847148</v>
      </c>
      <c r="J114" s="79">
        <v>-0.37992677141804809</v>
      </c>
      <c r="K114" s="79">
        <v>-9.0339184005555115E-2</v>
      </c>
    </row>
    <row r="115" spans="1:11" x14ac:dyDescent="0.2">
      <c r="A115">
        <v>1.6666666666666667</v>
      </c>
      <c r="B115">
        <f t="shared" si="2"/>
        <v>1</v>
      </c>
      <c r="C115">
        <f t="shared" si="3"/>
        <v>0</v>
      </c>
      <c r="D115" s="27">
        <v>1</v>
      </c>
      <c r="E115">
        <v>20000</v>
      </c>
      <c r="F115" s="50" t="s">
        <v>100</v>
      </c>
      <c r="H115" s="79">
        <v>88</v>
      </c>
      <c r="I115" s="79">
        <v>1.831059142523578</v>
      </c>
      <c r="J115" s="79">
        <v>-0.58105914252357804</v>
      </c>
      <c r="K115" s="79">
        <v>-0.13816454312662313</v>
      </c>
    </row>
    <row r="116" spans="1:11" x14ac:dyDescent="0.2">
      <c r="A116">
        <v>7.4</v>
      </c>
      <c r="B116">
        <f t="shared" si="2"/>
        <v>1</v>
      </c>
      <c r="C116">
        <f t="shared" si="3"/>
        <v>1</v>
      </c>
      <c r="D116" s="25">
        <v>2</v>
      </c>
      <c r="E116">
        <v>85000</v>
      </c>
      <c r="F116" s="47" t="s">
        <v>246</v>
      </c>
      <c r="H116" s="79">
        <v>89</v>
      </c>
      <c r="I116" s="79">
        <v>11.181171206217435</v>
      </c>
      <c r="J116" s="79">
        <v>-2.514504539550769</v>
      </c>
      <c r="K116" s="79">
        <v>-0.59790018859010474</v>
      </c>
    </row>
    <row r="117" spans="1:11" x14ac:dyDescent="0.2">
      <c r="A117">
        <v>1</v>
      </c>
      <c r="B117">
        <f t="shared" si="2"/>
        <v>1</v>
      </c>
      <c r="C117">
        <f t="shared" si="3"/>
        <v>0</v>
      </c>
      <c r="D117" s="27">
        <v>1</v>
      </c>
      <c r="E117">
        <v>20000</v>
      </c>
      <c r="F117" s="50" t="s">
        <v>46</v>
      </c>
      <c r="H117" s="79">
        <v>90</v>
      </c>
      <c r="I117" s="79">
        <v>2.0465934380847148</v>
      </c>
      <c r="J117" s="79">
        <v>0.15340656191528534</v>
      </c>
      <c r="K117" s="79">
        <v>3.6477091553191357E-2</v>
      </c>
    </row>
    <row r="118" spans="1:11" x14ac:dyDescent="0.2">
      <c r="A118">
        <v>10.25</v>
      </c>
      <c r="B118">
        <f t="shared" si="2"/>
        <v>1</v>
      </c>
      <c r="C118">
        <f t="shared" si="3"/>
        <v>1</v>
      </c>
      <c r="D118" s="25">
        <v>3</v>
      </c>
      <c r="E118">
        <v>125000</v>
      </c>
      <c r="F118" s="47" t="s">
        <v>435</v>
      </c>
      <c r="H118" s="79">
        <v>91</v>
      </c>
      <c r="I118" s="79">
        <v>2.0465934380847148</v>
      </c>
      <c r="J118" s="79">
        <v>-0.79659343808471483</v>
      </c>
      <c r="K118" s="79">
        <v>-0.18941439928582579</v>
      </c>
    </row>
    <row r="119" spans="1:11" x14ac:dyDescent="0.2">
      <c r="A119">
        <v>4</v>
      </c>
      <c r="B119">
        <f t="shared" si="2"/>
        <v>1</v>
      </c>
      <c r="C119">
        <f t="shared" si="3"/>
        <v>0</v>
      </c>
      <c r="D119" s="27">
        <v>1</v>
      </c>
      <c r="E119">
        <v>40000</v>
      </c>
      <c r="F119" s="50" t="s">
        <v>46</v>
      </c>
      <c r="H119" s="79">
        <v>92</v>
      </c>
      <c r="I119" s="79">
        <v>11.181171206217435</v>
      </c>
      <c r="J119" s="79">
        <v>-2.514504539550769</v>
      </c>
      <c r="K119" s="79">
        <v>-0.59790018859010474</v>
      </c>
    </row>
    <row r="120" spans="1:11" x14ac:dyDescent="0.2">
      <c r="A120">
        <v>1.25</v>
      </c>
      <c r="B120">
        <f t="shared" si="2"/>
        <v>1</v>
      </c>
      <c r="C120">
        <f t="shared" si="3"/>
        <v>0</v>
      </c>
      <c r="D120" s="25">
        <v>1</v>
      </c>
      <c r="E120">
        <v>20000</v>
      </c>
      <c r="F120" s="47" t="s">
        <v>100</v>
      </c>
      <c r="H120" s="79">
        <v>93</v>
      </c>
      <c r="I120" s="79">
        <v>2.0465934380847148</v>
      </c>
      <c r="J120" s="79">
        <v>-0.54659343808471483</v>
      </c>
      <c r="K120" s="79">
        <v>-0.1299692701176634</v>
      </c>
    </row>
    <row r="121" spans="1:11" x14ac:dyDescent="0.2">
      <c r="A121">
        <v>1.2</v>
      </c>
      <c r="B121">
        <f t="shared" si="2"/>
        <v>1</v>
      </c>
      <c r="C121">
        <f t="shared" si="3"/>
        <v>0</v>
      </c>
      <c r="D121" s="27">
        <v>1</v>
      </c>
      <c r="E121">
        <v>20000</v>
      </c>
      <c r="F121" s="50" t="s">
        <v>46</v>
      </c>
      <c r="H121" s="79">
        <v>94</v>
      </c>
      <c r="I121" s="79">
        <v>7.7624996934337451</v>
      </c>
      <c r="J121" s="79">
        <v>-1.7624996934337451</v>
      </c>
      <c r="K121" s="79">
        <v>-0.41908808774006245</v>
      </c>
    </row>
    <row r="122" spans="1:11" x14ac:dyDescent="0.2">
      <c r="A122">
        <v>6</v>
      </c>
      <c r="B122">
        <f t="shared" si="2"/>
        <v>1</v>
      </c>
      <c r="C122">
        <f t="shared" si="3"/>
        <v>0</v>
      </c>
      <c r="D122" s="28">
        <v>1</v>
      </c>
      <c r="E122">
        <v>20000</v>
      </c>
      <c r="F122" s="47" t="s">
        <v>46</v>
      </c>
      <c r="H122" s="79">
        <v>95</v>
      </c>
      <c r="I122" s="79">
        <v>2.0465934380847148</v>
      </c>
      <c r="J122" s="79">
        <v>-4.6593438084714833E-2</v>
      </c>
      <c r="K122" s="79">
        <v>-1.1079011781338603E-2</v>
      </c>
    </row>
    <row r="123" spans="1:11" x14ac:dyDescent="0.2">
      <c r="A123">
        <v>2.5</v>
      </c>
      <c r="B123">
        <f t="shared" si="2"/>
        <v>1</v>
      </c>
      <c r="C123">
        <f t="shared" si="3"/>
        <v>0</v>
      </c>
      <c r="D123" s="27">
        <v>1</v>
      </c>
      <c r="E123">
        <v>5000</v>
      </c>
      <c r="F123" s="50" t="s">
        <v>46</v>
      </c>
      <c r="H123" s="79">
        <v>96</v>
      </c>
      <c r="I123" s="79">
        <v>1.831059142523578</v>
      </c>
      <c r="J123" s="79">
        <v>-0.58105914252357804</v>
      </c>
      <c r="K123" s="79">
        <v>-0.13816454312662313</v>
      </c>
    </row>
    <row r="124" spans="1:11" x14ac:dyDescent="0.2">
      <c r="A124">
        <v>7.5</v>
      </c>
      <c r="B124">
        <f t="shared" si="2"/>
        <v>1</v>
      </c>
      <c r="C124">
        <f t="shared" si="3"/>
        <v>0</v>
      </c>
      <c r="D124" s="25">
        <v>1</v>
      </c>
      <c r="E124">
        <v>20000</v>
      </c>
      <c r="F124" s="47" t="s">
        <v>46</v>
      </c>
      <c r="H124" s="79">
        <v>97</v>
      </c>
      <c r="I124" s="79">
        <v>11.181171206217435</v>
      </c>
      <c r="J124" s="79">
        <v>0.65216212711589883</v>
      </c>
      <c r="K124" s="79">
        <v>0.15507144753995261</v>
      </c>
    </row>
    <row r="125" spans="1:11" x14ac:dyDescent="0.2">
      <c r="A125">
        <v>7.333333333333333</v>
      </c>
      <c r="B125">
        <f t="shared" si="2"/>
        <v>1</v>
      </c>
      <c r="C125">
        <f t="shared" si="3"/>
        <v>1</v>
      </c>
      <c r="D125" s="27">
        <v>2</v>
      </c>
      <c r="E125">
        <v>40000</v>
      </c>
      <c r="F125" s="50" t="s">
        <v>246</v>
      </c>
      <c r="H125" s="79">
        <v>98</v>
      </c>
      <c r="I125" s="79">
        <v>11.468550266965616</v>
      </c>
      <c r="J125" s="79">
        <v>2.3647830663677176</v>
      </c>
      <c r="K125" s="79">
        <v>0.56229933933964849</v>
      </c>
    </row>
    <row r="126" spans="1:11" x14ac:dyDescent="0.2">
      <c r="A126">
        <v>1.6666666666666667</v>
      </c>
      <c r="B126">
        <f t="shared" si="2"/>
        <v>1</v>
      </c>
      <c r="C126">
        <f t="shared" si="3"/>
        <v>0</v>
      </c>
      <c r="D126" s="25">
        <v>1</v>
      </c>
      <c r="E126">
        <v>5000</v>
      </c>
      <c r="F126" s="47" t="s">
        <v>100</v>
      </c>
      <c r="H126" s="79">
        <v>99</v>
      </c>
      <c r="I126" s="79">
        <v>7.7624996934337451</v>
      </c>
      <c r="J126" s="79">
        <v>-1.4291663601004121</v>
      </c>
      <c r="K126" s="79">
        <v>-0.33982791551584596</v>
      </c>
    </row>
    <row r="127" spans="1:11" x14ac:dyDescent="0.2">
      <c r="A127">
        <v>12.5</v>
      </c>
      <c r="B127">
        <f t="shared" si="2"/>
        <v>1</v>
      </c>
      <c r="C127">
        <f t="shared" si="3"/>
        <v>1</v>
      </c>
      <c r="D127" s="27">
        <v>2</v>
      </c>
      <c r="E127">
        <v>60000</v>
      </c>
      <c r="F127" s="50" t="s">
        <v>246</v>
      </c>
      <c r="H127" s="79">
        <v>100</v>
      </c>
      <c r="I127" s="79">
        <v>10.893792145469252</v>
      </c>
      <c r="J127" s="79">
        <v>-6.0458812135918194E-2</v>
      </c>
      <c r="K127" s="79">
        <v>-1.4375927587093286E-2</v>
      </c>
    </row>
    <row r="128" spans="1:11" x14ac:dyDescent="0.2">
      <c r="A128">
        <v>1.2</v>
      </c>
      <c r="B128">
        <f t="shared" si="2"/>
        <v>1</v>
      </c>
      <c r="C128">
        <f t="shared" si="3"/>
        <v>0</v>
      </c>
      <c r="D128" s="25">
        <v>1</v>
      </c>
      <c r="E128">
        <v>20000</v>
      </c>
      <c r="F128" s="47" t="s">
        <v>100</v>
      </c>
      <c r="H128" s="79">
        <v>101</v>
      </c>
      <c r="I128" s="79">
        <v>1.831059142523578</v>
      </c>
      <c r="J128" s="79">
        <v>-0.33105914252357804</v>
      </c>
      <c r="K128" s="79">
        <v>-7.8719413958460729E-2</v>
      </c>
    </row>
    <row r="129" spans="1:11" x14ac:dyDescent="0.2">
      <c r="A129">
        <v>9.2857142857142865</v>
      </c>
      <c r="B129">
        <f t="shared" si="2"/>
        <v>1</v>
      </c>
      <c r="C129">
        <f t="shared" si="3"/>
        <v>1</v>
      </c>
      <c r="D129" s="27">
        <v>2</v>
      </c>
      <c r="E129">
        <v>20000</v>
      </c>
      <c r="F129" s="50" t="s">
        <v>290</v>
      </c>
      <c r="H129" s="79">
        <v>102</v>
      </c>
      <c r="I129" s="79">
        <v>11.181171206217435</v>
      </c>
      <c r="J129" s="79">
        <v>-1.1811712062174351</v>
      </c>
      <c r="K129" s="79">
        <v>-0.28085949969323848</v>
      </c>
    </row>
    <row r="130" spans="1:11" x14ac:dyDescent="0.2">
      <c r="A130">
        <v>1</v>
      </c>
      <c r="B130">
        <f t="shared" si="2"/>
        <v>1</v>
      </c>
      <c r="C130">
        <f t="shared" si="3"/>
        <v>0</v>
      </c>
      <c r="D130" s="25">
        <v>1</v>
      </c>
      <c r="E130">
        <v>5000</v>
      </c>
      <c r="F130" s="47" t="s">
        <v>100</v>
      </c>
      <c r="H130" s="79">
        <v>103</v>
      </c>
      <c r="I130" s="79">
        <v>11.181171206217435</v>
      </c>
      <c r="J130" s="79">
        <v>-4.9811712062174349</v>
      </c>
      <c r="K130" s="79">
        <v>-1.184425463049307</v>
      </c>
    </row>
    <row r="131" spans="1:11" x14ac:dyDescent="0.2">
      <c r="A131">
        <v>18</v>
      </c>
      <c r="B131">
        <f t="shared" ref="B131:B194" si="4">IF(ISNUMBER(SEARCH("bike",F131))+ISNUMBER(SEARCH("scooty",F131))&gt;0,1,0)</f>
        <v>1</v>
      </c>
      <c r="C131">
        <f t="shared" ref="C131:C194" si="5">IF(ISNUMBER(SEARCH("car",F131))+ISNUMBER(SEARCH("Commercial vehicle",F131))&gt;0,1,0)</f>
        <v>1</v>
      </c>
      <c r="D131" s="27">
        <v>3</v>
      </c>
      <c r="E131">
        <v>125000</v>
      </c>
      <c r="F131" s="50" t="s">
        <v>435</v>
      </c>
      <c r="H131" s="79">
        <v>104</v>
      </c>
      <c r="I131" s="79">
        <v>2.0465934380847148</v>
      </c>
      <c r="J131" s="79">
        <v>-0.79659343808471483</v>
      </c>
      <c r="K131" s="79">
        <v>-0.18941439928582579</v>
      </c>
    </row>
    <row r="132" spans="1:11" x14ac:dyDescent="0.2">
      <c r="A132">
        <v>1.4</v>
      </c>
      <c r="B132">
        <f t="shared" si="4"/>
        <v>1</v>
      </c>
      <c r="C132">
        <f t="shared" si="5"/>
        <v>0</v>
      </c>
      <c r="D132" s="25">
        <v>1</v>
      </c>
      <c r="E132">
        <v>5000</v>
      </c>
      <c r="F132" s="47" t="s">
        <v>46</v>
      </c>
      <c r="H132" s="79">
        <v>105</v>
      </c>
      <c r="I132" s="79">
        <v>11.181171206217435</v>
      </c>
      <c r="J132" s="79">
        <v>-4.5811712062174355</v>
      </c>
      <c r="K132" s="79">
        <v>-1.0893132563802472</v>
      </c>
    </row>
    <row r="133" spans="1:11" x14ac:dyDescent="0.2">
      <c r="A133">
        <v>1.3333333333333333</v>
      </c>
      <c r="B133">
        <f t="shared" si="4"/>
        <v>1</v>
      </c>
      <c r="C133">
        <f t="shared" si="5"/>
        <v>0</v>
      </c>
      <c r="D133" s="27">
        <v>1</v>
      </c>
      <c r="E133">
        <v>20000</v>
      </c>
      <c r="F133" s="50" t="s">
        <v>46</v>
      </c>
      <c r="H133" s="79">
        <v>106</v>
      </c>
      <c r="I133" s="79">
        <v>10.893792145469252</v>
      </c>
      <c r="J133" s="79">
        <v>3.5062078545307482</v>
      </c>
      <c r="K133" s="79">
        <v>0.83370791521202359</v>
      </c>
    </row>
    <row r="134" spans="1:11" x14ac:dyDescent="0.2">
      <c r="A134">
        <v>1.75</v>
      </c>
      <c r="B134">
        <f t="shared" si="4"/>
        <v>1</v>
      </c>
      <c r="C134">
        <f t="shared" si="5"/>
        <v>0</v>
      </c>
      <c r="D134" s="25">
        <v>1</v>
      </c>
      <c r="E134">
        <v>40000</v>
      </c>
      <c r="F134" s="47" t="s">
        <v>100</v>
      </c>
      <c r="H134" s="79">
        <v>107</v>
      </c>
      <c r="I134" s="79">
        <v>2.3339724988328978</v>
      </c>
      <c r="J134" s="79">
        <v>-0.83397249883289781</v>
      </c>
      <c r="K134" s="79">
        <v>-0.19830241166326712</v>
      </c>
    </row>
    <row r="135" spans="1:11" x14ac:dyDescent="0.2">
      <c r="A135">
        <v>8.1999999999999993</v>
      </c>
      <c r="B135">
        <f t="shared" si="4"/>
        <v>1</v>
      </c>
      <c r="C135">
        <f t="shared" si="5"/>
        <v>1</v>
      </c>
      <c r="D135" s="27">
        <v>2</v>
      </c>
      <c r="E135">
        <v>40000</v>
      </c>
      <c r="F135" s="50" t="s">
        <v>246</v>
      </c>
      <c r="H135" s="79">
        <v>108</v>
      </c>
      <c r="I135" s="79">
        <v>2.3339724988328978</v>
      </c>
      <c r="J135" s="79">
        <v>0.99936083450043567</v>
      </c>
      <c r="K135" s="79">
        <v>0.23762853556992386</v>
      </c>
    </row>
    <row r="136" spans="1:11" x14ac:dyDescent="0.2">
      <c r="A136">
        <v>1.5</v>
      </c>
      <c r="B136">
        <f t="shared" si="4"/>
        <v>1</v>
      </c>
      <c r="C136">
        <f t="shared" si="5"/>
        <v>0</v>
      </c>
      <c r="D136" s="25">
        <v>1</v>
      </c>
      <c r="E136">
        <v>5000</v>
      </c>
      <c r="F136" s="47" t="s">
        <v>100</v>
      </c>
      <c r="H136" s="79">
        <v>109</v>
      </c>
      <c r="I136" s="79">
        <v>10.893792145469252</v>
      </c>
      <c r="J136" s="79">
        <v>1.772874521197414</v>
      </c>
      <c r="K136" s="79">
        <v>0.42155501964609737</v>
      </c>
    </row>
    <row r="137" spans="1:11" x14ac:dyDescent="0.2">
      <c r="A137">
        <v>12.5</v>
      </c>
      <c r="B137">
        <f t="shared" si="4"/>
        <v>1</v>
      </c>
      <c r="C137">
        <f t="shared" si="5"/>
        <v>1</v>
      </c>
      <c r="D137" s="27">
        <v>2</v>
      </c>
      <c r="E137">
        <v>40000</v>
      </c>
      <c r="F137" s="50" t="s">
        <v>290</v>
      </c>
      <c r="H137" s="79">
        <v>110</v>
      </c>
      <c r="I137" s="79">
        <v>14.892419237798668</v>
      </c>
      <c r="J137" s="79">
        <v>0.44091409553466576</v>
      </c>
      <c r="K137" s="79">
        <v>0.10484078144448682</v>
      </c>
    </row>
    <row r="138" spans="1:11" x14ac:dyDescent="0.2">
      <c r="A138">
        <v>2.3333333333333335</v>
      </c>
      <c r="B138">
        <f t="shared" si="4"/>
        <v>1</v>
      </c>
      <c r="C138">
        <f t="shared" si="5"/>
        <v>0</v>
      </c>
      <c r="D138" s="25">
        <v>1</v>
      </c>
      <c r="E138">
        <v>20000</v>
      </c>
      <c r="F138" s="47" t="s">
        <v>100</v>
      </c>
      <c r="H138" s="79">
        <v>111</v>
      </c>
      <c r="I138" s="79">
        <v>7.7624996934337451</v>
      </c>
      <c r="J138" s="79">
        <v>-1.0958330267670782</v>
      </c>
      <c r="K138" s="79">
        <v>-0.26056774329162929</v>
      </c>
    </row>
    <row r="139" spans="1:11" x14ac:dyDescent="0.2">
      <c r="A139">
        <v>7.6</v>
      </c>
      <c r="B139">
        <f t="shared" si="4"/>
        <v>1</v>
      </c>
      <c r="C139">
        <f t="shared" si="5"/>
        <v>1</v>
      </c>
      <c r="D139" s="27">
        <v>2</v>
      </c>
      <c r="E139">
        <v>60000</v>
      </c>
      <c r="F139" s="50" t="s">
        <v>246</v>
      </c>
      <c r="H139" s="79">
        <v>112</v>
      </c>
      <c r="I139" s="79">
        <v>1.831059142523578</v>
      </c>
      <c r="J139" s="79">
        <v>-0.33105914252357804</v>
      </c>
      <c r="K139" s="79">
        <v>-7.8719413958460729E-2</v>
      </c>
    </row>
    <row r="140" spans="1:11" x14ac:dyDescent="0.2">
      <c r="A140">
        <v>1.1666666666666667</v>
      </c>
      <c r="B140">
        <f t="shared" si="4"/>
        <v>1</v>
      </c>
      <c r="C140">
        <f t="shared" si="5"/>
        <v>0</v>
      </c>
      <c r="D140" s="25">
        <v>1</v>
      </c>
      <c r="E140">
        <v>5000</v>
      </c>
      <c r="F140" s="47" t="s">
        <v>46</v>
      </c>
      <c r="H140" s="79">
        <v>113</v>
      </c>
      <c r="I140" s="79">
        <v>14.892419237798668</v>
      </c>
      <c r="J140" s="79">
        <v>-6.6424192377986682</v>
      </c>
      <c r="K140" s="79">
        <v>-1.5794378783201146</v>
      </c>
    </row>
    <row r="141" spans="1:11" x14ac:dyDescent="0.2">
      <c r="A141">
        <v>12.25</v>
      </c>
      <c r="B141">
        <f t="shared" si="4"/>
        <v>1</v>
      </c>
      <c r="C141">
        <f t="shared" si="5"/>
        <v>1</v>
      </c>
      <c r="D141" s="27">
        <v>3</v>
      </c>
      <c r="E141">
        <v>125000</v>
      </c>
      <c r="F141" s="50" t="s">
        <v>435</v>
      </c>
      <c r="H141" s="79">
        <v>114</v>
      </c>
      <c r="I141" s="79">
        <v>2.0465934380847148</v>
      </c>
      <c r="J141" s="79">
        <v>-0.37992677141804809</v>
      </c>
      <c r="K141" s="79">
        <v>-9.0339184005555115E-2</v>
      </c>
    </row>
    <row r="142" spans="1:11" x14ac:dyDescent="0.2">
      <c r="A142">
        <v>2</v>
      </c>
      <c r="B142">
        <f t="shared" si="4"/>
        <v>1</v>
      </c>
      <c r="C142">
        <f t="shared" si="5"/>
        <v>0</v>
      </c>
      <c r="D142" s="25">
        <v>1</v>
      </c>
      <c r="E142">
        <v>5000</v>
      </c>
      <c r="F142" s="47" t="s">
        <v>100</v>
      </c>
      <c r="H142" s="79">
        <v>115</v>
      </c>
      <c r="I142" s="79">
        <v>11.827774092900846</v>
      </c>
      <c r="J142" s="79">
        <v>-4.4277740929008456</v>
      </c>
      <c r="K142" s="79">
        <v>-1.0528384115197356</v>
      </c>
    </row>
    <row r="143" spans="1:11" x14ac:dyDescent="0.2">
      <c r="A143">
        <v>1.6</v>
      </c>
      <c r="B143">
        <f t="shared" si="4"/>
        <v>1</v>
      </c>
      <c r="C143">
        <f t="shared" si="5"/>
        <v>0</v>
      </c>
      <c r="D143" s="27">
        <v>1</v>
      </c>
      <c r="E143">
        <v>40000</v>
      </c>
      <c r="F143" s="50" t="s">
        <v>46</v>
      </c>
      <c r="H143" s="79">
        <v>116</v>
      </c>
      <c r="I143" s="79">
        <v>2.0465934380847148</v>
      </c>
      <c r="J143" s="79">
        <v>-1.0465934380847148</v>
      </c>
      <c r="K143" s="79">
        <v>-0.2488595284539882</v>
      </c>
    </row>
    <row r="144" spans="1:11" x14ac:dyDescent="0.2">
      <c r="A144">
        <v>1.25</v>
      </c>
      <c r="B144">
        <f t="shared" si="4"/>
        <v>1</v>
      </c>
      <c r="C144">
        <f t="shared" si="5"/>
        <v>0</v>
      </c>
      <c r="D144" s="25">
        <v>1</v>
      </c>
      <c r="E144">
        <v>20000</v>
      </c>
      <c r="F144" s="47" t="s">
        <v>100</v>
      </c>
      <c r="H144" s="79">
        <v>117</v>
      </c>
      <c r="I144" s="79">
        <v>15.826401185230262</v>
      </c>
      <c r="J144" s="79">
        <v>-5.576401185230262</v>
      </c>
      <c r="K144" s="79">
        <v>-1.3259595549980272</v>
      </c>
    </row>
    <row r="145" spans="1:11" x14ac:dyDescent="0.2">
      <c r="A145">
        <v>9.75</v>
      </c>
      <c r="B145">
        <f t="shared" si="4"/>
        <v>1</v>
      </c>
      <c r="C145">
        <f t="shared" si="5"/>
        <v>1</v>
      </c>
      <c r="D145" s="27">
        <v>3</v>
      </c>
      <c r="E145">
        <v>40000</v>
      </c>
      <c r="F145" s="50" t="s">
        <v>390</v>
      </c>
      <c r="H145" s="79">
        <v>118</v>
      </c>
      <c r="I145" s="79">
        <v>2.3339724988328978</v>
      </c>
      <c r="J145" s="79">
        <v>1.6660275011671022</v>
      </c>
      <c r="K145" s="79">
        <v>0.39614888001835691</v>
      </c>
    </row>
    <row r="146" spans="1:11" x14ac:dyDescent="0.2">
      <c r="A146">
        <v>2.5</v>
      </c>
      <c r="B146">
        <f t="shared" si="4"/>
        <v>1</v>
      </c>
      <c r="C146">
        <f t="shared" si="5"/>
        <v>0</v>
      </c>
      <c r="D146" s="25">
        <v>2</v>
      </c>
      <c r="E146">
        <v>20000</v>
      </c>
      <c r="F146" s="47" t="s">
        <v>61</v>
      </c>
      <c r="H146" s="79">
        <v>119</v>
      </c>
      <c r="I146" s="79">
        <v>2.0465934380847148</v>
      </c>
      <c r="J146" s="79">
        <v>-0.79659343808471483</v>
      </c>
      <c r="K146" s="79">
        <v>-0.18941439928582579</v>
      </c>
    </row>
    <row r="147" spans="1:11" x14ac:dyDescent="0.2">
      <c r="A147">
        <v>1.3333333333333333</v>
      </c>
      <c r="B147">
        <f t="shared" si="4"/>
        <v>1</v>
      </c>
      <c r="C147">
        <f t="shared" si="5"/>
        <v>0</v>
      </c>
      <c r="D147" s="27">
        <v>2</v>
      </c>
      <c r="E147">
        <v>20000</v>
      </c>
      <c r="F147" s="50" t="s">
        <v>61</v>
      </c>
      <c r="H147" s="79">
        <v>120</v>
      </c>
      <c r="I147" s="79">
        <v>2.0465934380847148</v>
      </c>
      <c r="J147" s="79">
        <v>-0.84659343808471488</v>
      </c>
      <c r="K147" s="79">
        <v>-0.20130342511945828</v>
      </c>
    </row>
    <row r="148" spans="1:11" x14ac:dyDescent="0.2">
      <c r="A148">
        <v>34.5</v>
      </c>
      <c r="B148">
        <f t="shared" si="4"/>
        <v>1</v>
      </c>
      <c r="C148">
        <f t="shared" si="5"/>
        <v>1</v>
      </c>
      <c r="D148" s="25">
        <v>4</v>
      </c>
      <c r="E148">
        <v>20000</v>
      </c>
      <c r="F148" s="47" t="s">
        <v>390</v>
      </c>
      <c r="H148" s="79">
        <v>121</v>
      </c>
      <c r="I148" s="79">
        <v>2.0465934380847148</v>
      </c>
      <c r="J148" s="79">
        <v>3.9534065619152852</v>
      </c>
      <c r="K148" s="79">
        <v>0.94004305490925977</v>
      </c>
    </row>
    <row r="149" spans="1:11" x14ac:dyDescent="0.2">
      <c r="A149">
        <v>9</v>
      </c>
      <c r="B149">
        <f t="shared" si="4"/>
        <v>1</v>
      </c>
      <c r="C149">
        <f t="shared" si="5"/>
        <v>1</v>
      </c>
      <c r="D149" s="27">
        <v>2</v>
      </c>
      <c r="E149">
        <v>20000</v>
      </c>
      <c r="F149" s="50" t="s">
        <v>246</v>
      </c>
      <c r="H149" s="79">
        <v>122</v>
      </c>
      <c r="I149" s="79">
        <v>1.831059142523578</v>
      </c>
      <c r="J149" s="79">
        <v>0.66894085747642196</v>
      </c>
      <c r="K149" s="79">
        <v>0.15906110271418888</v>
      </c>
    </row>
    <row r="150" spans="1:11" x14ac:dyDescent="0.2">
      <c r="A150">
        <v>2.3333333333333335</v>
      </c>
      <c r="B150">
        <f t="shared" si="4"/>
        <v>1</v>
      </c>
      <c r="C150">
        <f t="shared" si="5"/>
        <v>0</v>
      </c>
      <c r="D150" s="25">
        <v>1</v>
      </c>
      <c r="E150">
        <v>5000</v>
      </c>
      <c r="F150" s="47" t="s">
        <v>100</v>
      </c>
      <c r="H150" s="79">
        <v>123</v>
      </c>
      <c r="I150" s="79">
        <v>2.0465934380847148</v>
      </c>
      <c r="J150" s="79">
        <v>5.4534065619152852</v>
      </c>
      <c r="K150" s="79">
        <v>1.2967138299182341</v>
      </c>
    </row>
    <row r="151" spans="1:11" x14ac:dyDescent="0.2">
      <c r="A151">
        <v>14.6</v>
      </c>
      <c r="B151">
        <f t="shared" si="4"/>
        <v>1</v>
      </c>
      <c r="C151">
        <f t="shared" si="5"/>
        <v>1</v>
      </c>
      <c r="D151" s="27">
        <v>2</v>
      </c>
      <c r="E151">
        <v>40000</v>
      </c>
      <c r="F151" s="50" t="s">
        <v>290</v>
      </c>
      <c r="H151" s="79">
        <v>124</v>
      </c>
      <c r="I151" s="79">
        <v>11.181171206217435</v>
      </c>
      <c r="J151" s="79">
        <v>-3.8478378728841021</v>
      </c>
      <c r="K151" s="79">
        <v>-0.91494087748697084</v>
      </c>
    </row>
    <row r="152" spans="1:11" x14ac:dyDescent="0.2">
      <c r="A152">
        <v>10</v>
      </c>
      <c r="B152">
        <f t="shared" si="4"/>
        <v>1</v>
      </c>
      <c r="C152">
        <f t="shared" si="5"/>
        <v>1</v>
      </c>
      <c r="D152" s="25">
        <v>2</v>
      </c>
      <c r="E152">
        <v>60000</v>
      </c>
      <c r="F152" s="47" t="s">
        <v>246</v>
      </c>
      <c r="H152" s="79">
        <v>125</v>
      </c>
      <c r="I152" s="79">
        <v>1.831059142523578</v>
      </c>
      <c r="J152" s="79">
        <v>-0.1643924758569113</v>
      </c>
      <c r="K152" s="79">
        <v>-3.9089327846352447E-2</v>
      </c>
    </row>
    <row r="153" spans="1:11" x14ac:dyDescent="0.2">
      <c r="A153">
        <v>1</v>
      </c>
      <c r="B153">
        <f t="shared" si="4"/>
        <v>1</v>
      </c>
      <c r="C153">
        <f t="shared" si="5"/>
        <v>0</v>
      </c>
      <c r="D153" s="27">
        <v>1</v>
      </c>
      <c r="E153">
        <v>5000</v>
      </c>
      <c r="F153" s="50" t="s">
        <v>46</v>
      </c>
      <c r="H153" s="79">
        <v>126</v>
      </c>
      <c r="I153" s="79">
        <v>11.468550266965616</v>
      </c>
      <c r="J153" s="79">
        <v>1.0314497330343837</v>
      </c>
      <c r="K153" s="79">
        <v>0.24525865044278225</v>
      </c>
    </row>
    <row r="154" spans="1:11" x14ac:dyDescent="0.2">
      <c r="A154">
        <v>11.142857142857142</v>
      </c>
      <c r="B154">
        <f t="shared" si="4"/>
        <v>1</v>
      </c>
      <c r="C154">
        <f t="shared" si="5"/>
        <v>1</v>
      </c>
      <c r="D154" s="25">
        <v>2</v>
      </c>
      <c r="E154">
        <v>40000</v>
      </c>
      <c r="F154" s="47" t="s">
        <v>290</v>
      </c>
      <c r="H154" s="79">
        <v>127</v>
      </c>
      <c r="I154" s="79">
        <v>2.0465934380847148</v>
      </c>
      <c r="J154" s="79">
        <v>-0.84659343808471488</v>
      </c>
      <c r="K154" s="79">
        <v>-0.20130342511945828</v>
      </c>
    </row>
    <row r="155" spans="1:11" x14ac:dyDescent="0.2">
      <c r="A155">
        <v>1.25</v>
      </c>
      <c r="B155">
        <f t="shared" si="4"/>
        <v>1</v>
      </c>
      <c r="C155">
        <f t="shared" si="5"/>
        <v>0</v>
      </c>
      <c r="D155" s="27">
        <v>1</v>
      </c>
      <c r="E155">
        <v>5000</v>
      </c>
      <c r="F155" s="50" t="s">
        <v>100</v>
      </c>
      <c r="H155" s="79">
        <v>128</v>
      </c>
      <c r="I155" s="79">
        <v>10.893792145469252</v>
      </c>
      <c r="J155" s="79">
        <v>-1.6080778597549656</v>
      </c>
      <c r="K155" s="79">
        <v>-0.38236958434238427</v>
      </c>
    </row>
    <row r="156" spans="1:11" x14ac:dyDescent="0.2">
      <c r="A156">
        <v>8.25</v>
      </c>
      <c r="B156">
        <f t="shared" si="4"/>
        <v>1</v>
      </c>
      <c r="C156">
        <f t="shared" si="5"/>
        <v>1</v>
      </c>
      <c r="D156" s="25">
        <v>2</v>
      </c>
      <c r="E156">
        <v>85000</v>
      </c>
      <c r="F156" s="47" t="s">
        <v>246</v>
      </c>
      <c r="H156" s="79">
        <v>129</v>
      </c>
      <c r="I156" s="79">
        <v>1.831059142523578</v>
      </c>
      <c r="J156" s="79">
        <v>-0.83105914252357804</v>
      </c>
      <c r="K156" s="79">
        <v>-0.19760967229478552</v>
      </c>
    </row>
    <row r="157" spans="1:11" x14ac:dyDescent="0.2">
      <c r="A157">
        <v>1</v>
      </c>
      <c r="B157">
        <f t="shared" si="4"/>
        <v>1</v>
      </c>
      <c r="C157">
        <f t="shared" si="5"/>
        <v>0</v>
      </c>
      <c r="D157" s="27">
        <v>1</v>
      </c>
      <c r="E157">
        <v>20000</v>
      </c>
      <c r="F157" s="50" t="s">
        <v>46</v>
      </c>
      <c r="H157" s="79">
        <v>130</v>
      </c>
      <c r="I157" s="79">
        <v>15.826401185230262</v>
      </c>
      <c r="J157" s="79">
        <v>2.173598814769738</v>
      </c>
      <c r="K157" s="79">
        <v>0.51683944921500713</v>
      </c>
    </row>
    <row r="158" spans="1:11" x14ac:dyDescent="0.2">
      <c r="A158">
        <v>4.666666666666667</v>
      </c>
      <c r="B158">
        <f t="shared" si="4"/>
        <v>1</v>
      </c>
      <c r="C158">
        <f t="shared" si="5"/>
        <v>0</v>
      </c>
      <c r="D158" s="25">
        <v>1</v>
      </c>
      <c r="E158">
        <v>40000</v>
      </c>
      <c r="F158" s="47" t="s">
        <v>46</v>
      </c>
      <c r="H158" s="79">
        <v>131</v>
      </c>
      <c r="I158" s="79">
        <v>1.831059142523578</v>
      </c>
      <c r="J158" s="79">
        <v>-0.43105914252357813</v>
      </c>
      <c r="K158" s="79">
        <v>-0.1024974656257257</v>
      </c>
    </row>
    <row r="159" spans="1:11" x14ac:dyDescent="0.2">
      <c r="A159">
        <v>7.25</v>
      </c>
      <c r="B159">
        <f t="shared" si="4"/>
        <v>1</v>
      </c>
      <c r="C159">
        <f t="shared" si="5"/>
        <v>1</v>
      </c>
      <c r="D159" s="27">
        <v>2</v>
      </c>
      <c r="E159">
        <v>40000</v>
      </c>
      <c r="F159" s="50" t="s">
        <v>269</v>
      </c>
      <c r="H159" s="79">
        <v>132</v>
      </c>
      <c r="I159" s="79">
        <v>2.0465934380847148</v>
      </c>
      <c r="J159" s="79">
        <v>-0.71326010475138157</v>
      </c>
      <c r="K159" s="79">
        <v>-0.16959935622977168</v>
      </c>
    </row>
    <row r="160" spans="1:11" x14ac:dyDescent="0.2">
      <c r="A160">
        <v>12.166666666666666</v>
      </c>
      <c r="B160">
        <f t="shared" si="4"/>
        <v>1</v>
      </c>
      <c r="C160">
        <f t="shared" si="5"/>
        <v>1</v>
      </c>
      <c r="D160" s="25">
        <v>2</v>
      </c>
      <c r="E160">
        <v>40000</v>
      </c>
      <c r="F160" s="47" t="s">
        <v>290</v>
      </c>
      <c r="H160" s="79">
        <v>133</v>
      </c>
      <c r="I160" s="79">
        <v>2.3339724988328978</v>
      </c>
      <c r="J160" s="79">
        <v>-0.58397249883289781</v>
      </c>
      <c r="K160" s="79">
        <v>-0.13885728249510471</v>
      </c>
    </row>
    <row r="161" spans="1:11" x14ac:dyDescent="0.2">
      <c r="A161">
        <v>1</v>
      </c>
      <c r="B161">
        <f t="shared" si="4"/>
        <v>1</v>
      </c>
      <c r="C161">
        <f t="shared" si="5"/>
        <v>0</v>
      </c>
      <c r="D161" s="27">
        <v>1</v>
      </c>
      <c r="E161">
        <v>5000</v>
      </c>
      <c r="F161" s="50" t="s">
        <v>100</v>
      </c>
      <c r="H161" s="79">
        <v>134</v>
      </c>
      <c r="I161" s="79">
        <v>11.181171206217435</v>
      </c>
      <c r="J161" s="79">
        <v>-2.9811712062174358</v>
      </c>
      <c r="K161" s="79">
        <v>-0.70886442970400787</v>
      </c>
    </row>
    <row r="162" spans="1:11" x14ac:dyDescent="0.2">
      <c r="A162">
        <v>14.75</v>
      </c>
      <c r="B162">
        <f t="shared" si="4"/>
        <v>1</v>
      </c>
      <c r="C162">
        <f t="shared" si="5"/>
        <v>1</v>
      </c>
      <c r="D162" s="25">
        <v>2</v>
      </c>
      <c r="E162">
        <v>20000</v>
      </c>
      <c r="F162" s="47" t="s">
        <v>290</v>
      </c>
      <c r="H162" s="79">
        <v>135</v>
      </c>
      <c r="I162" s="79">
        <v>1.831059142523578</v>
      </c>
      <c r="J162" s="79">
        <v>-0.33105914252357804</v>
      </c>
      <c r="K162" s="79">
        <v>-7.8719413958460729E-2</v>
      </c>
    </row>
    <row r="163" spans="1:11" x14ac:dyDescent="0.2">
      <c r="A163">
        <v>1.6666666666666667</v>
      </c>
      <c r="B163">
        <f t="shared" si="4"/>
        <v>1</v>
      </c>
      <c r="C163">
        <f t="shared" si="5"/>
        <v>0</v>
      </c>
      <c r="D163" s="27">
        <v>1</v>
      </c>
      <c r="E163">
        <v>5000</v>
      </c>
      <c r="F163" s="50" t="s">
        <v>100</v>
      </c>
      <c r="H163" s="79">
        <v>136</v>
      </c>
      <c r="I163" s="79">
        <v>11.181171206217435</v>
      </c>
      <c r="J163" s="79">
        <v>1.3188287937825649</v>
      </c>
      <c r="K163" s="79">
        <v>0.31359179198838555</v>
      </c>
    </row>
    <row r="164" spans="1:11" x14ac:dyDescent="0.2">
      <c r="A164">
        <v>5.4</v>
      </c>
      <c r="B164">
        <f t="shared" si="4"/>
        <v>1</v>
      </c>
      <c r="C164">
        <f t="shared" si="5"/>
        <v>1</v>
      </c>
      <c r="D164" s="25">
        <v>2</v>
      </c>
      <c r="E164">
        <v>40000</v>
      </c>
      <c r="F164" s="47" t="s">
        <v>246</v>
      </c>
      <c r="H164" s="79">
        <v>137</v>
      </c>
      <c r="I164" s="79">
        <v>2.0465934380847148</v>
      </c>
      <c r="J164" s="79">
        <v>0.28673989524861865</v>
      </c>
      <c r="K164" s="79">
        <v>6.8181160442877961E-2</v>
      </c>
    </row>
    <row r="165" spans="1:11" x14ac:dyDescent="0.2">
      <c r="A165">
        <v>1.5</v>
      </c>
      <c r="B165">
        <f t="shared" si="4"/>
        <v>1</v>
      </c>
      <c r="C165">
        <f t="shared" si="5"/>
        <v>0</v>
      </c>
      <c r="D165" s="27">
        <v>1</v>
      </c>
      <c r="E165">
        <v>5000</v>
      </c>
      <c r="F165" s="50" t="s">
        <v>100</v>
      </c>
      <c r="H165" s="79">
        <v>138</v>
      </c>
      <c r="I165" s="79">
        <v>11.468550266965616</v>
      </c>
      <c r="J165" s="79">
        <v>-3.8685502669656167</v>
      </c>
      <c r="K165" s="79">
        <v>-0.9198658812532009</v>
      </c>
    </row>
    <row r="166" spans="1:11" x14ac:dyDescent="0.2">
      <c r="A166">
        <v>10.666666666666666</v>
      </c>
      <c r="B166">
        <f t="shared" si="4"/>
        <v>1</v>
      </c>
      <c r="C166">
        <f t="shared" si="5"/>
        <v>1</v>
      </c>
      <c r="D166" s="25">
        <v>3</v>
      </c>
      <c r="E166">
        <v>60000</v>
      </c>
      <c r="F166" s="47" t="s">
        <v>309</v>
      </c>
      <c r="H166" s="79">
        <v>139</v>
      </c>
      <c r="I166" s="79">
        <v>1.831059142523578</v>
      </c>
      <c r="J166" s="79">
        <v>-0.6643924758569113</v>
      </c>
      <c r="K166" s="79">
        <v>-0.15797958618267724</v>
      </c>
    </row>
    <row r="167" spans="1:11" x14ac:dyDescent="0.2">
      <c r="A167">
        <v>6.25</v>
      </c>
      <c r="B167">
        <f t="shared" si="4"/>
        <v>0</v>
      </c>
      <c r="C167">
        <f t="shared" si="5"/>
        <v>1</v>
      </c>
      <c r="D167" s="27">
        <v>1</v>
      </c>
      <c r="E167">
        <v>40000</v>
      </c>
      <c r="F167" s="50" t="s">
        <v>431</v>
      </c>
      <c r="H167" s="79">
        <v>140</v>
      </c>
      <c r="I167" s="79">
        <v>15.826401185230262</v>
      </c>
      <c r="J167" s="79">
        <v>-3.576401185230262</v>
      </c>
      <c r="K167" s="79">
        <v>-0.85039852165272811</v>
      </c>
    </row>
    <row r="168" spans="1:11" x14ac:dyDescent="0.2">
      <c r="A168">
        <v>8</v>
      </c>
      <c r="B168">
        <f t="shared" si="4"/>
        <v>1</v>
      </c>
      <c r="C168">
        <f t="shared" si="5"/>
        <v>1</v>
      </c>
      <c r="D168" s="25">
        <v>2</v>
      </c>
      <c r="E168">
        <v>40000</v>
      </c>
      <c r="F168" s="47" t="s">
        <v>290</v>
      </c>
      <c r="H168" s="79">
        <v>141</v>
      </c>
      <c r="I168" s="79">
        <v>1.831059142523578</v>
      </c>
      <c r="J168" s="79">
        <v>0.16894085747642196</v>
      </c>
      <c r="K168" s="79">
        <v>4.0170844377864071E-2</v>
      </c>
    </row>
    <row r="169" spans="1:11" x14ac:dyDescent="0.2">
      <c r="A169">
        <v>2</v>
      </c>
      <c r="B169">
        <f t="shared" si="4"/>
        <v>1</v>
      </c>
      <c r="C169">
        <f t="shared" si="5"/>
        <v>0</v>
      </c>
      <c r="D169" s="27">
        <v>1</v>
      </c>
      <c r="E169">
        <v>40000</v>
      </c>
      <c r="F169" s="50" t="s">
        <v>100</v>
      </c>
      <c r="H169" s="79">
        <v>142</v>
      </c>
      <c r="I169" s="79">
        <v>2.3339724988328978</v>
      </c>
      <c r="J169" s="79">
        <v>-0.73397249883289772</v>
      </c>
      <c r="K169" s="79">
        <v>-0.17452435999600213</v>
      </c>
    </row>
    <row r="170" spans="1:11" x14ac:dyDescent="0.2">
      <c r="A170">
        <v>13</v>
      </c>
      <c r="B170">
        <f t="shared" si="4"/>
        <v>1</v>
      </c>
      <c r="C170">
        <f t="shared" si="5"/>
        <v>1</v>
      </c>
      <c r="D170" s="25">
        <v>3</v>
      </c>
      <c r="E170">
        <v>85000</v>
      </c>
      <c r="F170" s="47" t="s">
        <v>309</v>
      </c>
      <c r="H170" s="79">
        <v>143</v>
      </c>
      <c r="I170" s="79">
        <v>2.0465934380847148</v>
      </c>
      <c r="J170" s="79">
        <v>-0.79659343808471483</v>
      </c>
      <c r="K170" s="79">
        <v>-0.18941439928582579</v>
      </c>
    </row>
    <row r="171" spans="1:11" x14ac:dyDescent="0.2">
      <c r="A171">
        <v>1.25</v>
      </c>
      <c r="B171">
        <f t="shared" si="4"/>
        <v>1</v>
      </c>
      <c r="C171">
        <f t="shared" si="5"/>
        <v>0</v>
      </c>
      <c r="D171" s="27">
        <v>1</v>
      </c>
      <c r="E171">
        <v>5000</v>
      </c>
      <c r="F171" s="50" t="s">
        <v>100</v>
      </c>
      <c r="H171" s="79">
        <v>144</v>
      </c>
      <c r="I171" s="79">
        <v>14.605040177050487</v>
      </c>
      <c r="J171" s="79">
        <v>-4.855040177050487</v>
      </c>
      <c r="K171" s="79">
        <v>-1.154433961765537</v>
      </c>
    </row>
    <row r="172" spans="1:11" x14ac:dyDescent="0.2">
      <c r="A172">
        <v>10</v>
      </c>
      <c r="B172">
        <f t="shared" si="4"/>
        <v>1</v>
      </c>
      <c r="C172">
        <f t="shared" si="5"/>
        <v>1</v>
      </c>
      <c r="D172" s="25">
        <v>2</v>
      </c>
      <c r="E172">
        <v>60000</v>
      </c>
      <c r="F172" s="47" t="s">
        <v>246</v>
      </c>
      <c r="H172" s="79">
        <v>145</v>
      </c>
      <c r="I172" s="79">
        <v>5.4704624089177685</v>
      </c>
      <c r="J172" s="79">
        <v>-2.9704624089177685</v>
      </c>
      <c r="K172" s="79">
        <v>-0.70631808634915039</v>
      </c>
    </row>
    <row r="173" spans="1:11" x14ac:dyDescent="0.2">
      <c r="A173">
        <v>0.66666666666666663</v>
      </c>
      <c r="B173">
        <f t="shared" si="4"/>
        <v>1</v>
      </c>
      <c r="C173">
        <f t="shared" si="5"/>
        <v>0</v>
      </c>
      <c r="D173" s="27">
        <v>1</v>
      </c>
      <c r="E173">
        <v>40000</v>
      </c>
      <c r="F173" s="50" t="s">
        <v>46</v>
      </c>
      <c r="H173" s="79">
        <v>146</v>
      </c>
      <c r="I173" s="79">
        <v>5.4704624089177685</v>
      </c>
      <c r="J173" s="79">
        <v>-4.1371290755844354</v>
      </c>
      <c r="K173" s="79">
        <v>-0.98372868913390832</v>
      </c>
    </row>
    <row r="174" spans="1:11" x14ac:dyDescent="0.2">
      <c r="A174">
        <v>10.25</v>
      </c>
      <c r="B174">
        <f t="shared" si="4"/>
        <v>1</v>
      </c>
      <c r="C174">
        <f t="shared" si="5"/>
        <v>1</v>
      </c>
      <c r="D174" s="25">
        <v>3</v>
      </c>
      <c r="E174">
        <v>125000</v>
      </c>
      <c r="F174" s="47" t="s">
        <v>435</v>
      </c>
      <c r="H174" s="79">
        <v>147</v>
      </c>
      <c r="I174" s="79">
        <v>17.741530087135359</v>
      </c>
      <c r="J174" s="79">
        <v>16.758469912864641</v>
      </c>
      <c r="K174" s="79">
        <v>3.9848376345240073</v>
      </c>
    </row>
    <row r="175" spans="1:11" x14ac:dyDescent="0.2">
      <c r="A175">
        <v>11</v>
      </c>
      <c r="B175">
        <f t="shared" si="4"/>
        <v>1</v>
      </c>
      <c r="C175">
        <f t="shared" si="5"/>
        <v>1</v>
      </c>
      <c r="D175" s="27">
        <v>2</v>
      </c>
      <c r="E175">
        <v>85000</v>
      </c>
      <c r="F175" s="50" t="s">
        <v>269</v>
      </c>
      <c r="H175" s="79">
        <v>148</v>
      </c>
      <c r="I175" s="79">
        <v>10.893792145469252</v>
      </c>
      <c r="J175" s="79">
        <v>-1.8937921454692521</v>
      </c>
      <c r="K175" s="79">
        <v>-0.45030687482028436</v>
      </c>
    </row>
    <row r="176" spans="1:11" x14ac:dyDescent="0.2">
      <c r="A176">
        <v>3</v>
      </c>
      <c r="B176">
        <f t="shared" si="4"/>
        <v>1</v>
      </c>
      <c r="C176">
        <f t="shared" si="5"/>
        <v>0</v>
      </c>
      <c r="D176" s="25">
        <v>1</v>
      </c>
      <c r="E176">
        <v>20000</v>
      </c>
      <c r="F176" s="47" t="s">
        <v>46</v>
      </c>
      <c r="H176" s="79">
        <v>149</v>
      </c>
      <c r="I176" s="79">
        <v>1.831059142523578</v>
      </c>
      <c r="J176" s="79">
        <v>0.50227419080975544</v>
      </c>
      <c r="K176" s="79">
        <v>0.11943101660208064</v>
      </c>
    </row>
    <row r="177" spans="1:11" x14ac:dyDescent="0.2">
      <c r="A177">
        <v>1.3333333333333333</v>
      </c>
      <c r="B177">
        <f t="shared" si="4"/>
        <v>1</v>
      </c>
      <c r="C177">
        <f t="shared" si="5"/>
        <v>0</v>
      </c>
      <c r="D177" s="27">
        <v>1</v>
      </c>
      <c r="E177">
        <v>5000</v>
      </c>
      <c r="F177" s="50" t="s">
        <v>100</v>
      </c>
      <c r="H177" s="79">
        <v>150</v>
      </c>
      <c r="I177" s="79">
        <v>11.181171206217435</v>
      </c>
      <c r="J177" s="79">
        <v>3.4188287937825645</v>
      </c>
      <c r="K177" s="79">
        <v>0.81293087700094957</v>
      </c>
    </row>
    <row r="178" spans="1:11" x14ac:dyDescent="0.2">
      <c r="A178">
        <v>12.4</v>
      </c>
      <c r="B178">
        <f t="shared" si="4"/>
        <v>1</v>
      </c>
      <c r="C178">
        <f t="shared" si="5"/>
        <v>1</v>
      </c>
      <c r="D178" s="25">
        <v>2</v>
      </c>
      <c r="E178">
        <v>60000</v>
      </c>
      <c r="F178" s="47" t="s">
        <v>290</v>
      </c>
      <c r="H178" s="79">
        <v>151</v>
      </c>
      <c r="I178" s="79">
        <v>11.468550266965616</v>
      </c>
      <c r="J178" s="79">
        <v>-1.4685502669656163</v>
      </c>
      <c r="K178" s="79">
        <v>-0.34919264123884175</v>
      </c>
    </row>
    <row r="179" spans="1:11" x14ac:dyDescent="0.2">
      <c r="A179">
        <v>3.25</v>
      </c>
      <c r="B179">
        <f t="shared" si="4"/>
        <v>1</v>
      </c>
      <c r="C179">
        <f t="shared" si="5"/>
        <v>0</v>
      </c>
      <c r="D179" s="27">
        <v>1</v>
      </c>
      <c r="E179">
        <v>40000</v>
      </c>
      <c r="F179" s="50" t="s">
        <v>46</v>
      </c>
      <c r="H179" s="79">
        <v>152</v>
      </c>
      <c r="I179" s="79">
        <v>1.831059142523578</v>
      </c>
      <c r="J179" s="79">
        <v>-0.83105914252357804</v>
      </c>
      <c r="K179" s="79">
        <v>-0.19760967229478552</v>
      </c>
    </row>
    <row r="180" spans="1:11" x14ac:dyDescent="0.2">
      <c r="A180">
        <v>1</v>
      </c>
      <c r="B180">
        <f t="shared" si="4"/>
        <v>1</v>
      </c>
      <c r="C180">
        <f t="shared" si="5"/>
        <v>0</v>
      </c>
      <c r="D180" s="25">
        <v>1</v>
      </c>
      <c r="E180">
        <v>5000</v>
      </c>
      <c r="F180" s="47" t="s">
        <v>100</v>
      </c>
      <c r="H180" s="79">
        <v>153</v>
      </c>
      <c r="I180" s="79">
        <v>11.181171206217435</v>
      </c>
      <c r="J180" s="79">
        <v>-3.8314063360292749E-2</v>
      </c>
      <c r="K180" s="79">
        <v>-9.110337781639043E-3</v>
      </c>
    </row>
    <row r="181" spans="1:11" x14ac:dyDescent="0.2">
      <c r="A181">
        <v>12.833333333333334</v>
      </c>
      <c r="B181">
        <f t="shared" si="4"/>
        <v>1</v>
      </c>
      <c r="C181">
        <f t="shared" si="5"/>
        <v>1</v>
      </c>
      <c r="D181" s="27">
        <v>2</v>
      </c>
      <c r="E181">
        <v>40000</v>
      </c>
      <c r="F181" s="50" t="s">
        <v>1501</v>
      </c>
      <c r="H181" s="79">
        <v>154</v>
      </c>
      <c r="I181" s="79">
        <v>1.831059142523578</v>
      </c>
      <c r="J181" s="79">
        <v>-0.58105914252357804</v>
      </c>
      <c r="K181" s="79">
        <v>-0.13816454312662313</v>
      </c>
    </row>
    <row r="182" spans="1:11" x14ac:dyDescent="0.2">
      <c r="A182">
        <v>10.666666666666666</v>
      </c>
      <c r="B182">
        <f t="shared" si="4"/>
        <v>1</v>
      </c>
      <c r="C182">
        <f t="shared" si="5"/>
        <v>1</v>
      </c>
      <c r="D182" s="25">
        <v>2</v>
      </c>
      <c r="E182">
        <v>85000</v>
      </c>
      <c r="F182" s="47" t="s">
        <v>269</v>
      </c>
      <c r="H182" s="79">
        <v>155</v>
      </c>
      <c r="I182" s="79">
        <v>11.827774092900846</v>
      </c>
      <c r="J182" s="79">
        <v>-3.5777740929008459</v>
      </c>
      <c r="K182" s="79">
        <v>-0.85072497234798339</v>
      </c>
    </row>
    <row r="183" spans="1:11" x14ac:dyDescent="0.2">
      <c r="A183">
        <v>3.75</v>
      </c>
      <c r="B183">
        <f t="shared" si="4"/>
        <v>1</v>
      </c>
      <c r="C183">
        <f t="shared" si="5"/>
        <v>0</v>
      </c>
      <c r="D183" s="27">
        <v>1</v>
      </c>
      <c r="E183">
        <v>60000</v>
      </c>
      <c r="F183" s="50" t="s">
        <v>46</v>
      </c>
      <c r="H183" s="79">
        <v>156</v>
      </c>
      <c r="I183" s="79">
        <v>2.0465934380847148</v>
      </c>
      <c r="J183" s="79">
        <v>-1.0465934380847148</v>
      </c>
      <c r="K183" s="79">
        <v>-0.2488595284539882</v>
      </c>
    </row>
    <row r="184" spans="1:11" x14ac:dyDescent="0.2">
      <c r="A184">
        <v>20.166666666666668</v>
      </c>
      <c r="B184">
        <f t="shared" si="4"/>
        <v>1</v>
      </c>
      <c r="C184">
        <f t="shared" si="5"/>
        <v>1</v>
      </c>
      <c r="D184" s="25">
        <v>3</v>
      </c>
      <c r="E184">
        <v>20000</v>
      </c>
      <c r="F184" s="47" t="s">
        <v>309</v>
      </c>
      <c r="H184" s="79">
        <v>157</v>
      </c>
      <c r="I184" s="79">
        <v>2.3339724988328978</v>
      </c>
      <c r="J184" s="79">
        <v>2.3326941678337691</v>
      </c>
      <c r="K184" s="79">
        <v>0.55466922446679001</v>
      </c>
    </row>
    <row r="185" spans="1:11" x14ac:dyDescent="0.2">
      <c r="A185">
        <v>1.3333333333333333</v>
      </c>
      <c r="B185">
        <f t="shared" si="4"/>
        <v>1</v>
      </c>
      <c r="C185">
        <f t="shared" si="5"/>
        <v>0</v>
      </c>
      <c r="D185" s="27">
        <v>1</v>
      </c>
      <c r="E185">
        <v>5000</v>
      </c>
      <c r="F185" s="50" t="s">
        <v>100</v>
      </c>
      <c r="H185" s="79">
        <v>158</v>
      </c>
      <c r="I185" s="79">
        <v>11.181171206217435</v>
      </c>
      <c r="J185" s="79">
        <v>-3.9311712062174351</v>
      </c>
      <c r="K185" s="79">
        <v>-0.93475592054302492</v>
      </c>
    </row>
    <row r="186" spans="1:11" x14ac:dyDescent="0.2">
      <c r="A186">
        <v>1.4</v>
      </c>
      <c r="B186">
        <f t="shared" si="4"/>
        <v>1</v>
      </c>
      <c r="C186">
        <f t="shared" si="5"/>
        <v>0</v>
      </c>
      <c r="D186" s="25">
        <v>1</v>
      </c>
      <c r="E186">
        <v>5000</v>
      </c>
      <c r="F186" s="47" t="s">
        <v>46</v>
      </c>
      <c r="H186" s="79">
        <v>159</v>
      </c>
      <c r="I186" s="79">
        <v>11.181171206217435</v>
      </c>
      <c r="J186" s="79">
        <v>0.98549546044923098</v>
      </c>
      <c r="K186" s="79">
        <v>0.23433161976416886</v>
      </c>
    </row>
    <row r="187" spans="1:11" x14ac:dyDescent="0.2">
      <c r="A187">
        <v>1</v>
      </c>
      <c r="B187">
        <f t="shared" si="4"/>
        <v>1</v>
      </c>
      <c r="C187">
        <f t="shared" si="5"/>
        <v>0</v>
      </c>
      <c r="D187" s="27">
        <v>1</v>
      </c>
      <c r="E187">
        <v>5000</v>
      </c>
      <c r="F187" s="50" t="s">
        <v>100</v>
      </c>
      <c r="H187" s="79">
        <v>160</v>
      </c>
      <c r="I187" s="79">
        <v>1.831059142523578</v>
      </c>
      <c r="J187" s="79">
        <v>-0.83105914252357804</v>
      </c>
      <c r="K187" s="79">
        <v>-0.19760967229478552</v>
      </c>
    </row>
    <row r="188" spans="1:11" x14ac:dyDescent="0.2">
      <c r="A188">
        <v>1.5</v>
      </c>
      <c r="B188">
        <f t="shared" si="4"/>
        <v>1</v>
      </c>
      <c r="C188">
        <f t="shared" si="5"/>
        <v>0</v>
      </c>
      <c r="D188" s="25">
        <v>1</v>
      </c>
      <c r="E188">
        <v>20000</v>
      </c>
      <c r="F188" s="47" t="s">
        <v>100</v>
      </c>
      <c r="H188" s="79">
        <v>161</v>
      </c>
      <c r="I188" s="79">
        <v>10.893792145469252</v>
      </c>
      <c r="J188" s="79">
        <v>3.8562078545307479</v>
      </c>
      <c r="K188" s="79">
        <v>0.91693109604745082</v>
      </c>
    </row>
    <row r="189" spans="1:11" x14ac:dyDescent="0.2">
      <c r="A189">
        <v>11.833333333333334</v>
      </c>
      <c r="B189">
        <f t="shared" si="4"/>
        <v>1</v>
      </c>
      <c r="C189">
        <f t="shared" si="5"/>
        <v>1</v>
      </c>
      <c r="D189" s="27">
        <v>2</v>
      </c>
      <c r="E189">
        <v>40000</v>
      </c>
      <c r="F189" s="50" t="s">
        <v>290</v>
      </c>
      <c r="H189" s="79">
        <v>162</v>
      </c>
      <c r="I189" s="79">
        <v>1.831059142523578</v>
      </c>
      <c r="J189" s="79">
        <v>-0.1643924758569113</v>
      </c>
      <c r="K189" s="79">
        <v>-3.9089327846352447E-2</v>
      </c>
    </row>
    <row r="190" spans="1:11" x14ac:dyDescent="0.2">
      <c r="A190">
        <v>0.83333333333333337</v>
      </c>
      <c r="B190">
        <f t="shared" si="4"/>
        <v>1</v>
      </c>
      <c r="C190">
        <f t="shared" si="5"/>
        <v>0</v>
      </c>
      <c r="D190" s="25">
        <v>1</v>
      </c>
      <c r="E190">
        <v>5000</v>
      </c>
      <c r="F190" s="47" t="s">
        <v>46</v>
      </c>
      <c r="H190" s="79">
        <v>163</v>
      </c>
      <c r="I190" s="79">
        <v>11.181171206217435</v>
      </c>
      <c r="J190" s="79">
        <v>-5.7811712062174347</v>
      </c>
      <c r="K190" s="79">
        <v>-1.3746498763874266</v>
      </c>
    </row>
    <row r="191" spans="1:11" x14ac:dyDescent="0.2">
      <c r="A191">
        <v>7.75</v>
      </c>
      <c r="B191">
        <f t="shared" si="4"/>
        <v>1</v>
      </c>
      <c r="C191">
        <f t="shared" si="5"/>
        <v>0</v>
      </c>
      <c r="D191" s="27">
        <v>2</v>
      </c>
      <c r="E191">
        <v>5000</v>
      </c>
      <c r="F191" s="50" t="s">
        <v>61</v>
      </c>
      <c r="H191" s="79">
        <v>164</v>
      </c>
      <c r="I191" s="79">
        <v>1.831059142523578</v>
      </c>
      <c r="J191" s="79">
        <v>-0.33105914252357804</v>
      </c>
      <c r="K191" s="79">
        <v>-7.8719413958460729E-2</v>
      </c>
    </row>
    <row r="192" spans="1:11" x14ac:dyDescent="0.2">
      <c r="A192">
        <v>2</v>
      </c>
      <c r="B192">
        <f t="shared" si="4"/>
        <v>1</v>
      </c>
      <c r="C192">
        <f t="shared" si="5"/>
        <v>0</v>
      </c>
      <c r="D192" s="25">
        <v>3</v>
      </c>
      <c r="E192">
        <v>20000</v>
      </c>
      <c r="F192" s="47" t="s">
        <v>100</v>
      </c>
      <c r="H192" s="79">
        <v>165</v>
      </c>
      <c r="I192" s="79">
        <v>14.892419237798668</v>
      </c>
      <c r="J192" s="79">
        <v>-4.2257525711320021</v>
      </c>
      <c r="K192" s="79">
        <v>-1.004801629694545</v>
      </c>
    </row>
    <row r="193" spans="1:11" x14ac:dyDescent="0.2">
      <c r="A193">
        <v>5</v>
      </c>
      <c r="B193">
        <f t="shared" si="4"/>
        <v>1</v>
      </c>
      <c r="C193">
        <f t="shared" si="5"/>
        <v>0</v>
      </c>
      <c r="D193" s="27">
        <v>2</v>
      </c>
      <c r="E193">
        <v>5000</v>
      </c>
      <c r="F193" s="50" t="s">
        <v>46</v>
      </c>
      <c r="H193" s="79">
        <v>166</v>
      </c>
      <c r="I193" s="79">
        <v>7.7624996934337451</v>
      </c>
      <c r="J193" s="79">
        <v>-1.5124996934337451</v>
      </c>
      <c r="K193" s="79">
        <v>-0.35964295857190004</v>
      </c>
    </row>
    <row r="194" spans="1:11" x14ac:dyDescent="0.2">
      <c r="A194">
        <v>6</v>
      </c>
      <c r="B194">
        <f t="shared" si="4"/>
        <v>0</v>
      </c>
      <c r="C194">
        <f t="shared" si="5"/>
        <v>1</v>
      </c>
      <c r="D194" s="25">
        <v>2</v>
      </c>
      <c r="E194">
        <v>5000</v>
      </c>
      <c r="F194" s="47" t="s">
        <v>431</v>
      </c>
      <c r="H194" s="79">
        <v>167</v>
      </c>
      <c r="I194" s="79">
        <v>11.181171206217435</v>
      </c>
      <c r="J194" s="79">
        <v>-3.1811712062174351</v>
      </c>
      <c r="K194" s="79">
        <v>-0.75642053303853762</v>
      </c>
    </row>
    <row r="195" spans="1:11" x14ac:dyDescent="0.2">
      <c r="A195">
        <v>4</v>
      </c>
      <c r="B195">
        <f t="shared" ref="B195:B258" si="6">IF(ISNUMBER(SEARCH("bike",F195))+ISNUMBER(SEARCH("scooty",F195))&gt;0,1,0)</f>
        <v>1</v>
      </c>
      <c r="C195">
        <f t="shared" ref="C195:C258" si="7">IF(ISNUMBER(SEARCH("car",F195))+ISNUMBER(SEARCH("Commercial vehicle",F195))&gt;0,1,0)</f>
        <v>0</v>
      </c>
      <c r="D195" s="27">
        <v>2</v>
      </c>
      <c r="E195">
        <v>20000</v>
      </c>
      <c r="F195" s="50" t="s">
        <v>100</v>
      </c>
      <c r="H195" s="79">
        <v>168</v>
      </c>
      <c r="I195" s="79">
        <v>2.3339724988328978</v>
      </c>
      <c r="J195" s="79">
        <v>-0.33397249883289781</v>
      </c>
      <c r="K195" s="79">
        <v>-7.9412153326942306E-2</v>
      </c>
    </row>
    <row r="196" spans="1:11" x14ac:dyDescent="0.2">
      <c r="A196">
        <v>26.25</v>
      </c>
      <c r="B196">
        <f t="shared" si="6"/>
        <v>1</v>
      </c>
      <c r="C196">
        <f t="shared" si="7"/>
        <v>0</v>
      </c>
      <c r="D196" s="25">
        <v>2</v>
      </c>
      <c r="E196">
        <v>125000</v>
      </c>
      <c r="F196" s="47" t="s">
        <v>61</v>
      </c>
      <c r="H196" s="79">
        <v>169</v>
      </c>
      <c r="I196" s="79">
        <v>15.251643063733898</v>
      </c>
      <c r="J196" s="79">
        <v>-2.2516430637338978</v>
      </c>
      <c r="K196" s="79">
        <v>-0.53539685105703394</v>
      </c>
    </row>
    <row r="197" spans="1:11" x14ac:dyDescent="0.2">
      <c r="A197">
        <v>2.5</v>
      </c>
      <c r="B197">
        <f t="shared" si="6"/>
        <v>1</v>
      </c>
      <c r="C197">
        <f t="shared" si="7"/>
        <v>0</v>
      </c>
      <c r="D197" s="27">
        <v>1</v>
      </c>
      <c r="E197">
        <v>5000</v>
      </c>
      <c r="F197" s="50" t="s">
        <v>46</v>
      </c>
      <c r="H197" s="79">
        <v>170</v>
      </c>
      <c r="I197" s="79">
        <v>1.831059142523578</v>
      </c>
      <c r="J197" s="79">
        <v>-0.58105914252357804</v>
      </c>
      <c r="K197" s="79">
        <v>-0.13816454312662313</v>
      </c>
    </row>
    <row r="198" spans="1:11" x14ac:dyDescent="0.2">
      <c r="A198">
        <v>9.8000000000000007</v>
      </c>
      <c r="B198">
        <f t="shared" si="6"/>
        <v>1</v>
      </c>
      <c r="C198">
        <f t="shared" si="7"/>
        <v>0</v>
      </c>
      <c r="D198" s="25">
        <v>2</v>
      </c>
      <c r="E198">
        <v>5000</v>
      </c>
      <c r="F198" s="47" t="s">
        <v>61</v>
      </c>
      <c r="H198" s="79">
        <v>171</v>
      </c>
      <c r="I198" s="79">
        <v>11.468550266965616</v>
      </c>
      <c r="J198" s="79">
        <v>-1.4685502669656163</v>
      </c>
      <c r="K198" s="79">
        <v>-0.34919264123884175</v>
      </c>
    </row>
    <row r="199" spans="1:11" x14ac:dyDescent="0.2">
      <c r="A199">
        <v>1.3333333333333333</v>
      </c>
      <c r="B199">
        <f t="shared" si="6"/>
        <v>1</v>
      </c>
      <c r="C199">
        <f t="shared" si="7"/>
        <v>0</v>
      </c>
      <c r="D199" s="27">
        <v>1</v>
      </c>
      <c r="E199">
        <v>5000</v>
      </c>
      <c r="F199" s="50" t="s">
        <v>100</v>
      </c>
      <c r="H199" s="79">
        <v>172</v>
      </c>
      <c r="I199" s="79">
        <v>2.3339724988328978</v>
      </c>
      <c r="J199" s="79">
        <v>-1.6673058321662313</v>
      </c>
      <c r="K199" s="79">
        <v>-0.3964528422238085</v>
      </c>
    </row>
    <row r="200" spans="1:11" x14ac:dyDescent="0.2">
      <c r="A200">
        <v>30</v>
      </c>
      <c r="B200">
        <f t="shared" si="6"/>
        <v>1</v>
      </c>
      <c r="C200">
        <f t="shared" si="7"/>
        <v>1</v>
      </c>
      <c r="D200" s="25">
        <v>3</v>
      </c>
      <c r="E200">
        <v>5000</v>
      </c>
      <c r="F200" s="47" t="s">
        <v>390</v>
      </c>
      <c r="H200" s="79">
        <v>173</v>
      </c>
      <c r="I200" s="79">
        <v>15.826401185230262</v>
      </c>
      <c r="J200" s="79">
        <v>-5.576401185230262</v>
      </c>
      <c r="K200" s="79">
        <v>-1.3259595549980272</v>
      </c>
    </row>
    <row r="201" spans="1:11" x14ac:dyDescent="0.2">
      <c r="A201">
        <v>1.3333333333333333</v>
      </c>
      <c r="B201">
        <f t="shared" si="6"/>
        <v>1</v>
      </c>
      <c r="C201">
        <f t="shared" si="7"/>
        <v>0</v>
      </c>
      <c r="D201" s="27">
        <v>1</v>
      </c>
      <c r="E201">
        <v>5000</v>
      </c>
      <c r="F201" s="50" t="s">
        <v>46</v>
      </c>
      <c r="H201" s="79">
        <v>174</v>
      </c>
      <c r="I201" s="79">
        <v>11.827774092900846</v>
      </c>
      <c r="J201" s="79">
        <v>-0.82777409290084591</v>
      </c>
      <c r="K201" s="79">
        <v>-0.196828551498197</v>
      </c>
    </row>
    <row r="202" spans="1:11" x14ac:dyDescent="0.2">
      <c r="A202">
        <v>18.75</v>
      </c>
      <c r="B202">
        <f t="shared" si="6"/>
        <v>1</v>
      </c>
      <c r="C202">
        <f t="shared" si="7"/>
        <v>1</v>
      </c>
      <c r="D202" s="25">
        <v>3</v>
      </c>
      <c r="E202">
        <v>5000</v>
      </c>
      <c r="F202" s="47" t="s">
        <v>390</v>
      </c>
      <c r="H202" s="79">
        <v>175</v>
      </c>
      <c r="I202" s="79">
        <v>2.0465934380847148</v>
      </c>
      <c r="J202" s="79">
        <v>0.95340656191528517</v>
      </c>
      <c r="K202" s="79">
        <v>0.226701504891311</v>
      </c>
    </row>
    <row r="203" spans="1:11" x14ac:dyDescent="0.2">
      <c r="A203">
        <v>2.4</v>
      </c>
      <c r="B203">
        <f t="shared" si="6"/>
        <v>1</v>
      </c>
      <c r="C203">
        <f t="shared" si="7"/>
        <v>0</v>
      </c>
      <c r="D203" s="27">
        <v>1</v>
      </c>
      <c r="E203">
        <v>60000</v>
      </c>
      <c r="F203" s="50" t="s">
        <v>100</v>
      </c>
      <c r="H203" s="79">
        <v>176</v>
      </c>
      <c r="I203" s="79">
        <v>1.831059142523578</v>
      </c>
      <c r="J203" s="79">
        <v>-0.49772580919024478</v>
      </c>
      <c r="K203" s="79">
        <v>-0.11834950007056902</v>
      </c>
    </row>
    <row r="204" spans="1:11" x14ac:dyDescent="0.2">
      <c r="A204">
        <v>3</v>
      </c>
      <c r="B204">
        <f t="shared" si="6"/>
        <v>1</v>
      </c>
      <c r="C204">
        <f t="shared" si="7"/>
        <v>0</v>
      </c>
      <c r="D204" s="25">
        <v>1</v>
      </c>
      <c r="E204">
        <v>20000</v>
      </c>
      <c r="F204" s="47" t="s">
        <v>46</v>
      </c>
      <c r="H204" s="79">
        <v>177</v>
      </c>
      <c r="I204" s="79">
        <v>11.468550266965616</v>
      </c>
      <c r="J204" s="79">
        <v>0.93144973303438405</v>
      </c>
      <c r="K204" s="79">
        <v>0.22148059877551737</v>
      </c>
    </row>
    <row r="205" spans="1:11" x14ac:dyDescent="0.2">
      <c r="A205">
        <v>11.25</v>
      </c>
      <c r="B205">
        <f t="shared" si="6"/>
        <v>1</v>
      </c>
      <c r="C205">
        <f t="shared" si="7"/>
        <v>0</v>
      </c>
      <c r="D205" s="27">
        <v>2</v>
      </c>
      <c r="E205">
        <v>20000</v>
      </c>
      <c r="F205" s="50" t="s">
        <v>61</v>
      </c>
      <c r="H205" s="79">
        <v>178</v>
      </c>
      <c r="I205" s="79">
        <v>2.3339724988328978</v>
      </c>
      <c r="J205" s="79">
        <v>0.91602750116710219</v>
      </c>
      <c r="K205" s="79">
        <v>0.21781349251386969</v>
      </c>
    </row>
    <row r="206" spans="1:11" x14ac:dyDescent="0.2">
      <c r="A206">
        <v>1.4</v>
      </c>
      <c r="B206">
        <f t="shared" si="6"/>
        <v>1</v>
      </c>
      <c r="C206">
        <f t="shared" si="7"/>
        <v>0</v>
      </c>
      <c r="D206" s="25">
        <v>2</v>
      </c>
      <c r="E206">
        <v>85000</v>
      </c>
      <c r="F206" s="47" t="s">
        <v>61</v>
      </c>
      <c r="H206" s="79">
        <v>179</v>
      </c>
      <c r="I206" s="79">
        <v>1.831059142523578</v>
      </c>
      <c r="J206" s="79">
        <v>-0.83105914252357804</v>
      </c>
      <c r="K206" s="79">
        <v>-0.19760967229478552</v>
      </c>
    </row>
    <row r="207" spans="1:11" x14ac:dyDescent="0.2">
      <c r="A207">
        <v>3.75</v>
      </c>
      <c r="B207">
        <f t="shared" si="6"/>
        <v>1</v>
      </c>
      <c r="C207">
        <f t="shared" si="7"/>
        <v>0</v>
      </c>
      <c r="D207" s="27">
        <v>2</v>
      </c>
      <c r="E207">
        <v>40000</v>
      </c>
      <c r="F207" s="50" t="s">
        <v>61</v>
      </c>
      <c r="H207" s="79">
        <v>180</v>
      </c>
      <c r="I207" s="79">
        <v>11.181171206217435</v>
      </c>
      <c r="J207" s="79">
        <v>1.6521621271158988</v>
      </c>
      <c r="K207" s="79">
        <v>0.39285196421260221</v>
      </c>
    </row>
    <row r="208" spans="1:11" x14ac:dyDescent="0.2">
      <c r="A208">
        <v>2</v>
      </c>
      <c r="B208">
        <f t="shared" si="6"/>
        <v>1</v>
      </c>
      <c r="C208">
        <f t="shared" si="7"/>
        <v>0</v>
      </c>
      <c r="D208" s="25">
        <v>1</v>
      </c>
      <c r="E208">
        <v>40000</v>
      </c>
      <c r="F208" s="47" t="s">
        <v>46</v>
      </c>
      <c r="H208" s="79">
        <v>181</v>
      </c>
      <c r="I208" s="79">
        <v>11.827774092900846</v>
      </c>
      <c r="J208" s="79">
        <v>-1.1611074262341798</v>
      </c>
      <c r="K208" s="79">
        <v>-0.27608872372241366</v>
      </c>
    </row>
    <row r="209" spans="1:11" x14ac:dyDescent="0.2">
      <c r="A209">
        <v>1.4</v>
      </c>
      <c r="B209">
        <f t="shared" si="6"/>
        <v>1</v>
      </c>
      <c r="C209">
        <f t="shared" si="7"/>
        <v>0</v>
      </c>
      <c r="D209" s="27">
        <v>3</v>
      </c>
      <c r="E209">
        <v>20000</v>
      </c>
      <c r="F209" s="50" t="s">
        <v>61</v>
      </c>
      <c r="H209" s="79">
        <v>182</v>
      </c>
      <c r="I209" s="79">
        <v>2.6213515595810803</v>
      </c>
      <c r="J209" s="79">
        <v>1.1286484404189197</v>
      </c>
      <c r="K209" s="79">
        <v>0.26837060930459089</v>
      </c>
    </row>
    <row r="210" spans="1:11" x14ac:dyDescent="0.2">
      <c r="A210">
        <v>10.6</v>
      </c>
      <c r="B210">
        <f t="shared" si="6"/>
        <v>1</v>
      </c>
      <c r="C210">
        <f t="shared" si="7"/>
        <v>0</v>
      </c>
      <c r="D210" s="25">
        <v>2</v>
      </c>
      <c r="E210">
        <v>5000</v>
      </c>
      <c r="F210" s="47" t="s">
        <v>46</v>
      </c>
      <c r="H210" s="79">
        <v>183</v>
      </c>
      <c r="I210" s="79">
        <v>14.317661116302304</v>
      </c>
      <c r="J210" s="79">
        <v>5.8490055503643639</v>
      </c>
      <c r="K210" s="79">
        <v>1.3907795617868337</v>
      </c>
    </row>
    <row r="211" spans="1:11" x14ac:dyDescent="0.2">
      <c r="A211">
        <v>2.5</v>
      </c>
      <c r="B211">
        <f t="shared" si="6"/>
        <v>1</v>
      </c>
      <c r="C211">
        <f t="shared" si="7"/>
        <v>0</v>
      </c>
      <c r="D211" s="27">
        <v>1</v>
      </c>
      <c r="E211">
        <v>5000</v>
      </c>
      <c r="F211" s="50" t="s">
        <v>46</v>
      </c>
      <c r="H211" s="79">
        <v>184</v>
      </c>
      <c r="I211" s="79">
        <v>1.831059142523578</v>
      </c>
      <c r="J211" s="79">
        <v>-0.49772580919024478</v>
      </c>
      <c r="K211" s="79">
        <v>-0.11834950007056902</v>
      </c>
    </row>
    <row r="212" spans="1:11" x14ac:dyDescent="0.2">
      <c r="A212">
        <v>7.5</v>
      </c>
      <c r="B212">
        <f t="shared" si="6"/>
        <v>1</v>
      </c>
      <c r="C212">
        <f t="shared" si="7"/>
        <v>0</v>
      </c>
      <c r="D212" s="25">
        <v>2</v>
      </c>
      <c r="E212">
        <v>5000</v>
      </c>
      <c r="F212" s="47" t="s">
        <v>46</v>
      </c>
      <c r="H212" s="79">
        <v>185</v>
      </c>
      <c r="I212" s="79">
        <v>1.831059142523578</v>
      </c>
      <c r="J212" s="79">
        <v>-0.43105914252357813</v>
      </c>
      <c r="K212" s="79">
        <v>-0.1024974656257257</v>
      </c>
    </row>
    <row r="213" spans="1:11" x14ac:dyDescent="0.2">
      <c r="A213">
        <v>10</v>
      </c>
      <c r="B213">
        <f t="shared" si="6"/>
        <v>1</v>
      </c>
      <c r="C213">
        <f t="shared" si="7"/>
        <v>0</v>
      </c>
      <c r="D213" s="27">
        <v>2</v>
      </c>
      <c r="E213">
        <v>5000</v>
      </c>
      <c r="F213" s="50" t="s">
        <v>61</v>
      </c>
      <c r="H213" s="79">
        <v>186</v>
      </c>
      <c r="I213" s="79">
        <v>1.831059142523578</v>
      </c>
      <c r="J213" s="79">
        <v>-0.83105914252357804</v>
      </c>
      <c r="K213" s="79">
        <v>-0.19760967229478552</v>
      </c>
    </row>
    <row r="214" spans="1:11" x14ac:dyDescent="0.2">
      <c r="A214">
        <v>7.5</v>
      </c>
      <c r="B214">
        <f t="shared" si="6"/>
        <v>1</v>
      </c>
      <c r="C214">
        <f t="shared" si="7"/>
        <v>0</v>
      </c>
      <c r="D214" s="25">
        <v>2</v>
      </c>
      <c r="E214">
        <v>5000</v>
      </c>
      <c r="F214" s="47" t="s">
        <v>46</v>
      </c>
      <c r="H214" s="79">
        <v>187</v>
      </c>
      <c r="I214" s="79">
        <v>2.0465934380847148</v>
      </c>
      <c r="J214" s="79">
        <v>-0.54659343808471483</v>
      </c>
      <c r="K214" s="79">
        <v>-0.1299692701176634</v>
      </c>
    </row>
    <row r="215" spans="1:11" x14ac:dyDescent="0.2">
      <c r="A215">
        <v>3.3333333333333335</v>
      </c>
      <c r="B215">
        <f t="shared" si="6"/>
        <v>1</v>
      </c>
      <c r="C215">
        <f t="shared" si="7"/>
        <v>0</v>
      </c>
      <c r="D215" s="27">
        <v>1</v>
      </c>
      <c r="E215">
        <v>5000</v>
      </c>
      <c r="F215" s="50" t="s">
        <v>46</v>
      </c>
      <c r="H215" s="79">
        <v>188</v>
      </c>
      <c r="I215" s="79">
        <v>11.181171206217435</v>
      </c>
      <c r="J215" s="79">
        <v>0.65216212711589883</v>
      </c>
      <c r="K215" s="79">
        <v>0.15507144753995261</v>
      </c>
    </row>
    <row r="216" spans="1:11" x14ac:dyDescent="0.2">
      <c r="A216">
        <v>1.25</v>
      </c>
      <c r="B216">
        <f t="shared" si="6"/>
        <v>0</v>
      </c>
      <c r="C216">
        <f t="shared" si="7"/>
        <v>1</v>
      </c>
      <c r="D216" s="25">
        <v>2</v>
      </c>
      <c r="E216">
        <v>40000</v>
      </c>
      <c r="F216" s="47" t="s">
        <v>431</v>
      </c>
      <c r="H216" s="79">
        <v>189</v>
      </c>
      <c r="I216" s="79">
        <v>1.831059142523578</v>
      </c>
      <c r="J216" s="79">
        <v>-0.99772580919024467</v>
      </c>
      <c r="K216" s="79">
        <v>-0.23723975840689379</v>
      </c>
    </row>
    <row r="217" spans="1:11" x14ac:dyDescent="0.2">
      <c r="A217">
        <v>2</v>
      </c>
      <c r="B217">
        <f t="shared" si="6"/>
        <v>1</v>
      </c>
      <c r="C217">
        <f t="shared" si="7"/>
        <v>0</v>
      </c>
      <c r="D217" s="27">
        <v>1</v>
      </c>
      <c r="E217">
        <v>20000</v>
      </c>
      <c r="F217" s="50" t="s">
        <v>46</v>
      </c>
      <c r="H217" s="79">
        <v>190</v>
      </c>
      <c r="I217" s="79">
        <v>5.2549281133566312</v>
      </c>
      <c r="J217" s="79">
        <v>2.4950718866433688</v>
      </c>
      <c r="K217" s="79">
        <v>0.59327948234146288</v>
      </c>
    </row>
    <row r="218" spans="1:11" x14ac:dyDescent="0.2">
      <c r="A218">
        <v>7.125</v>
      </c>
      <c r="B218">
        <f t="shared" si="6"/>
        <v>1</v>
      </c>
      <c r="C218">
        <f t="shared" si="7"/>
        <v>1</v>
      </c>
      <c r="D218" s="25">
        <v>2</v>
      </c>
      <c r="E218">
        <v>40000</v>
      </c>
      <c r="F218" s="47" t="s">
        <v>246</v>
      </c>
      <c r="H218" s="79">
        <v>191</v>
      </c>
      <c r="I218" s="79">
        <v>8.8943313797508221</v>
      </c>
      <c r="J218" s="79">
        <v>-6.8943313797508221</v>
      </c>
      <c r="K218" s="79">
        <v>-1.6393376775896116</v>
      </c>
    </row>
    <row r="219" spans="1:11" x14ac:dyDescent="0.2">
      <c r="A219">
        <v>3</v>
      </c>
      <c r="B219">
        <f t="shared" si="6"/>
        <v>1</v>
      </c>
      <c r="C219">
        <f t="shared" si="7"/>
        <v>0</v>
      </c>
      <c r="D219" s="27">
        <v>1</v>
      </c>
      <c r="E219">
        <v>60000</v>
      </c>
      <c r="F219" s="50" t="s">
        <v>100</v>
      </c>
      <c r="H219" s="79">
        <v>192</v>
      </c>
      <c r="I219" s="79">
        <v>5.2549281133566312</v>
      </c>
      <c r="J219" s="79">
        <v>-0.25492811335663124</v>
      </c>
      <c r="K219" s="79">
        <v>-6.0616938508323559E-2</v>
      </c>
    </row>
    <row r="220" spans="1:11" x14ac:dyDescent="0.2">
      <c r="A220">
        <v>0.66666666666666663</v>
      </c>
      <c r="B220">
        <f t="shared" si="6"/>
        <v>1</v>
      </c>
      <c r="C220">
        <f t="shared" si="7"/>
        <v>0</v>
      </c>
      <c r="D220" s="25">
        <v>1</v>
      </c>
      <c r="E220">
        <v>5000</v>
      </c>
      <c r="F220" s="47" t="s">
        <v>46</v>
      </c>
      <c r="H220" s="79">
        <v>193</v>
      </c>
      <c r="I220" s="79">
        <v>10.683455307957479</v>
      </c>
      <c r="J220" s="79">
        <v>-4.6834553079574786</v>
      </c>
      <c r="K220" s="79">
        <v>-1.1136344229393924</v>
      </c>
    </row>
    <row r="221" spans="1:11" x14ac:dyDescent="0.2">
      <c r="A221">
        <v>6.7</v>
      </c>
      <c r="B221">
        <f t="shared" si="6"/>
        <v>1</v>
      </c>
      <c r="C221">
        <f t="shared" si="7"/>
        <v>1</v>
      </c>
      <c r="D221" s="27">
        <v>3</v>
      </c>
      <c r="E221">
        <v>40000</v>
      </c>
      <c r="F221" s="50" t="s">
        <v>435</v>
      </c>
      <c r="H221" s="79">
        <v>194</v>
      </c>
      <c r="I221" s="79">
        <v>5.4704624089177685</v>
      </c>
      <c r="J221" s="79">
        <v>-1.4704624089177685</v>
      </c>
      <c r="K221" s="79">
        <v>-0.34964731134017596</v>
      </c>
    </row>
    <row r="222" spans="1:11" x14ac:dyDescent="0.2">
      <c r="A222">
        <v>11.25</v>
      </c>
      <c r="B222">
        <f t="shared" si="6"/>
        <v>1</v>
      </c>
      <c r="C222">
        <f t="shared" si="7"/>
        <v>1</v>
      </c>
      <c r="D222" s="25">
        <v>2</v>
      </c>
      <c r="E222">
        <v>40000</v>
      </c>
      <c r="F222" s="47" t="s">
        <v>246</v>
      </c>
      <c r="H222" s="79">
        <v>195</v>
      </c>
      <c r="I222" s="79">
        <v>6.9792024778457264</v>
      </c>
      <c r="J222" s="79">
        <v>19.270797522154275</v>
      </c>
      <c r="K222" s="79">
        <v>4.5822201915118592</v>
      </c>
    </row>
    <row r="223" spans="1:11" x14ac:dyDescent="0.2">
      <c r="A223">
        <v>2.6666666666666665</v>
      </c>
      <c r="B223">
        <f t="shared" si="6"/>
        <v>1</v>
      </c>
      <c r="C223">
        <f t="shared" si="7"/>
        <v>0</v>
      </c>
      <c r="D223" s="27">
        <v>1</v>
      </c>
      <c r="E223">
        <v>60000</v>
      </c>
      <c r="F223" s="50" t="s">
        <v>100</v>
      </c>
      <c r="H223" s="79">
        <v>196</v>
      </c>
      <c r="I223" s="79">
        <v>1.831059142523578</v>
      </c>
      <c r="J223" s="79">
        <v>0.66894085747642196</v>
      </c>
      <c r="K223" s="79">
        <v>0.15906110271418888</v>
      </c>
    </row>
    <row r="224" spans="1:11" x14ac:dyDescent="0.2">
      <c r="A224">
        <v>12</v>
      </c>
      <c r="B224">
        <f t="shared" si="6"/>
        <v>1</v>
      </c>
      <c r="C224">
        <f t="shared" si="7"/>
        <v>1</v>
      </c>
      <c r="D224" s="25">
        <v>3</v>
      </c>
      <c r="E224">
        <v>125000</v>
      </c>
      <c r="F224" s="47" t="s">
        <v>309</v>
      </c>
      <c r="H224" s="79">
        <v>197</v>
      </c>
      <c r="I224" s="79">
        <v>5.2549281133566312</v>
      </c>
      <c r="J224" s="79">
        <v>4.5450718866433695</v>
      </c>
      <c r="K224" s="79">
        <v>1.0807295415203948</v>
      </c>
    </row>
    <row r="225" spans="1:11" x14ac:dyDescent="0.2">
      <c r="A225">
        <v>1.4</v>
      </c>
      <c r="B225">
        <f t="shared" si="6"/>
        <v>1</v>
      </c>
      <c r="C225">
        <f t="shared" si="7"/>
        <v>0</v>
      </c>
      <c r="D225" s="27">
        <v>1</v>
      </c>
      <c r="E225">
        <v>5000</v>
      </c>
      <c r="F225" s="50" t="s">
        <v>46</v>
      </c>
      <c r="H225" s="79">
        <v>198</v>
      </c>
      <c r="I225" s="79">
        <v>1.831059142523578</v>
      </c>
      <c r="J225" s="79">
        <v>-0.49772580919024478</v>
      </c>
      <c r="K225" s="79">
        <v>-0.11834950007056902</v>
      </c>
    </row>
    <row r="226" spans="1:11" x14ac:dyDescent="0.2">
      <c r="A226">
        <v>12.166666666666666</v>
      </c>
      <c r="B226">
        <f t="shared" si="6"/>
        <v>1</v>
      </c>
      <c r="C226">
        <f t="shared" si="7"/>
        <v>1</v>
      </c>
      <c r="D226" s="25">
        <v>2</v>
      </c>
      <c r="E226">
        <v>60000</v>
      </c>
      <c r="F226" s="47" t="s">
        <v>290</v>
      </c>
      <c r="H226" s="79">
        <v>199</v>
      </c>
      <c r="I226" s="79">
        <v>14.102126820741166</v>
      </c>
      <c r="J226" s="79">
        <v>15.897873179258834</v>
      </c>
      <c r="K226" s="79">
        <v>3.780204498560424</v>
      </c>
    </row>
    <row r="227" spans="1:11" x14ac:dyDescent="0.2">
      <c r="A227">
        <v>3</v>
      </c>
      <c r="B227">
        <f t="shared" si="6"/>
        <v>1</v>
      </c>
      <c r="C227">
        <f t="shared" si="7"/>
        <v>0</v>
      </c>
      <c r="D227" s="27">
        <v>1</v>
      </c>
      <c r="E227">
        <v>40000</v>
      </c>
      <c r="F227" s="50" t="s">
        <v>100</v>
      </c>
      <c r="H227" s="79">
        <v>200</v>
      </c>
      <c r="I227" s="79">
        <v>1.831059142523578</v>
      </c>
      <c r="J227" s="79">
        <v>-0.49772580919024478</v>
      </c>
      <c r="K227" s="79">
        <v>-0.11834950007056902</v>
      </c>
    </row>
    <row r="228" spans="1:11" x14ac:dyDescent="0.2">
      <c r="A228">
        <v>32.75</v>
      </c>
      <c r="B228">
        <f t="shared" si="6"/>
        <v>1</v>
      </c>
      <c r="C228">
        <f t="shared" si="7"/>
        <v>1</v>
      </c>
      <c r="D228" s="25">
        <v>3</v>
      </c>
      <c r="E228">
        <v>125000</v>
      </c>
      <c r="F228" s="47" t="s">
        <v>309</v>
      </c>
      <c r="H228" s="79">
        <v>201</v>
      </c>
      <c r="I228" s="79">
        <v>14.102126820741166</v>
      </c>
      <c r="J228" s="79">
        <v>4.6478731792588341</v>
      </c>
      <c r="K228" s="79">
        <v>1.1051736859931161</v>
      </c>
    </row>
    <row r="229" spans="1:11" x14ac:dyDescent="0.2">
      <c r="A229">
        <v>4</v>
      </c>
      <c r="B229">
        <f t="shared" si="6"/>
        <v>0</v>
      </c>
      <c r="C229">
        <f t="shared" si="7"/>
        <v>1</v>
      </c>
      <c r="D229" s="27">
        <v>1</v>
      </c>
      <c r="E229">
        <v>20000</v>
      </c>
      <c r="F229" s="50" t="s">
        <v>431</v>
      </c>
      <c r="H229" s="79">
        <v>202</v>
      </c>
      <c r="I229" s="79">
        <v>2.6213515595810803</v>
      </c>
      <c r="J229" s="79">
        <v>-0.22135155958108044</v>
      </c>
      <c r="K229" s="79">
        <v>-5.2633088203486091E-2</v>
      </c>
    </row>
    <row r="230" spans="1:11" x14ac:dyDescent="0.2">
      <c r="A230">
        <v>16</v>
      </c>
      <c r="B230">
        <f t="shared" si="6"/>
        <v>1</v>
      </c>
      <c r="C230">
        <f t="shared" si="7"/>
        <v>1</v>
      </c>
      <c r="D230" s="25">
        <v>2</v>
      </c>
      <c r="E230">
        <v>40000</v>
      </c>
      <c r="F230" s="47" t="s">
        <v>290</v>
      </c>
      <c r="H230" s="79">
        <v>203</v>
      </c>
      <c r="I230" s="79">
        <v>2.0465934380847148</v>
      </c>
      <c r="J230" s="79">
        <v>0.95340656191528517</v>
      </c>
      <c r="K230" s="79">
        <v>0.226701504891311</v>
      </c>
    </row>
    <row r="231" spans="1:11" x14ac:dyDescent="0.2">
      <c r="A231">
        <v>2.3333333333333335</v>
      </c>
      <c r="B231">
        <f t="shared" si="6"/>
        <v>1</v>
      </c>
      <c r="C231">
        <f t="shared" si="7"/>
        <v>0</v>
      </c>
      <c r="D231" s="27">
        <v>1</v>
      </c>
      <c r="E231">
        <v>5000</v>
      </c>
      <c r="F231" s="50" t="s">
        <v>100</v>
      </c>
      <c r="H231" s="79">
        <v>204</v>
      </c>
      <c r="I231" s="79">
        <v>5.4704624089177685</v>
      </c>
      <c r="J231" s="79">
        <v>5.7795375910822315</v>
      </c>
      <c r="K231" s="79">
        <v>1.3742614345365336</v>
      </c>
    </row>
    <row r="232" spans="1:11" x14ac:dyDescent="0.2">
      <c r="A232">
        <v>3</v>
      </c>
      <c r="B232">
        <f t="shared" si="6"/>
        <v>1</v>
      </c>
      <c r="C232">
        <f t="shared" si="7"/>
        <v>0</v>
      </c>
      <c r="D232" s="25">
        <v>1</v>
      </c>
      <c r="E232">
        <v>40000</v>
      </c>
      <c r="F232" s="47" t="s">
        <v>46</v>
      </c>
      <c r="H232" s="79">
        <v>205</v>
      </c>
      <c r="I232" s="79">
        <v>6.4044443563493614</v>
      </c>
      <c r="J232" s="79">
        <v>-5.0044443563493619</v>
      </c>
      <c r="K232" s="79">
        <v>-1.1899593647122766</v>
      </c>
    </row>
    <row r="233" spans="1:11" x14ac:dyDescent="0.2">
      <c r="A233">
        <v>1.25</v>
      </c>
      <c r="B233">
        <f t="shared" si="6"/>
        <v>1</v>
      </c>
      <c r="C233">
        <f t="shared" si="7"/>
        <v>0</v>
      </c>
      <c r="D233" s="27">
        <v>1</v>
      </c>
      <c r="E233">
        <v>5000</v>
      </c>
      <c r="F233" s="50" t="s">
        <v>100</v>
      </c>
      <c r="H233" s="79">
        <v>206</v>
      </c>
      <c r="I233" s="79">
        <v>5.7578414696659506</v>
      </c>
      <c r="J233" s="79">
        <v>-2.0078414696659506</v>
      </c>
      <c r="K233" s="79">
        <v>-0.47742558205394181</v>
      </c>
    </row>
    <row r="234" spans="1:11" x14ac:dyDescent="0.2">
      <c r="A234">
        <v>11.833333333333334</v>
      </c>
      <c r="B234">
        <f t="shared" si="6"/>
        <v>1</v>
      </c>
      <c r="C234">
        <f t="shared" si="7"/>
        <v>1</v>
      </c>
      <c r="D234" s="25">
        <v>2</v>
      </c>
      <c r="E234">
        <v>40000</v>
      </c>
      <c r="F234" s="47" t="s">
        <v>290</v>
      </c>
      <c r="H234" s="79">
        <v>207</v>
      </c>
      <c r="I234" s="79">
        <v>2.3339724988328978</v>
      </c>
      <c r="J234" s="79">
        <v>-0.33397249883289781</v>
      </c>
      <c r="K234" s="79">
        <v>-7.9412153326942306E-2</v>
      </c>
    </row>
    <row r="235" spans="1:11" x14ac:dyDescent="0.2">
      <c r="A235">
        <v>12</v>
      </c>
      <c r="B235">
        <f t="shared" si="6"/>
        <v>0</v>
      </c>
      <c r="C235">
        <f t="shared" si="7"/>
        <v>1</v>
      </c>
      <c r="D235" s="27">
        <v>1</v>
      </c>
      <c r="E235">
        <v>60000</v>
      </c>
      <c r="F235" s="50" t="s">
        <v>431</v>
      </c>
      <c r="H235" s="79">
        <v>208</v>
      </c>
      <c r="I235" s="79">
        <v>8.8943313797508221</v>
      </c>
      <c r="J235" s="79">
        <v>-7.4943313797508218</v>
      </c>
      <c r="K235" s="79">
        <v>-1.7820059875932013</v>
      </c>
    </row>
    <row r="236" spans="1:11" x14ac:dyDescent="0.2">
      <c r="A236">
        <v>26.2</v>
      </c>
      <c r="B236">
        <f t="shared" si="6"/>
        <v>1</v>
      </c>
      <c r="C236">
        <f t="shared" si="7"/>
        <v>1</v>
      </c>
      <c r="D236" s="25">
        <v>3</v>
      </c>
      <c r="E236">
        <v>125000</v>
      </c>
      <c r="F236" s="47" t="s">
        <v>309</v>
      </c>
      <c r="H236" s="79">
        <v>209</v>
      </c>
      <c r="I236" s="79">
        <v>5.2549281133566312</v>
      </c>
      <c r="J236" s="79">
        <v>5.3450718866433684</v>
      </c>
      <c r="K236" s="79">
        <v>1.270953954858514</v>
      </c>
    </row>
    <row r="237" spans="1:11" x14ac:dyDescent="0.2">
      <c r="A237">
        <v>1</v>
      </c>
      <c r="B237">
        <f t="shared" si="6"/>
        <v>1</v>
      </c>
      <c r="C237">
        <f t="shared" si="7"/>
        <v>0</v>
      </c>
      <c r="D237" s="27">
        <v>1</v>
      </c>
      <c r="E237">
        <v>20000</v>
      </c>
      <c r="F237" s="50" t="s">
        <v>100</v>
      </c>
      <c r="H237" s="79">
        <v>210</v>
      </c>
      <c r="I237" s="79">
        <v>1.831059142523578</v>
      </c>
      <c r="J237" s="79">
        <v>0.66894085747642196</v>
      </c>
      <c r="K237" s="79">
        <v>0.15906110271418888</v>
      </c>
    </row>
    <row r="238" spans="1:11" x14ac:dyDescent="0.2">
      <c r="A238">
        <v>6.25</v>
      </c>
      <c r="B238">
        <f t="shared" si="6"/>
        <v>1</v>
      </c>
      <c r="C238">
        <f t="shared" si="7"/>
        <v>1</v>
      </c>
      <c r="D238" s="25">
        <v>2</v>
      </c>
      <c r="E238">
        <v>40000</v>
      </c>
      <c r="F238" s="47" t="s">
        <v>246</v>
      </c>
      <c r="H238" s="79">
        <v>211</v>
      </c>
      <c r="I238" s="79">
        <v>5.2549281133566312</v>
      </c>
      <c r="J238" s="79">
        <v>2.2450718866433688</v>
      </c>
      <c r="K238" s="79">
        <v>0.53383435317330041</v>
      </c>
    </row>
    <row r="239" spans="1:11" x14ac:dyDescent="0.2">
      <c r="A239">
        <v>1.4</v>
      </c>
      <c r="B239">
        <f t="shared" si="6"/>
        <v>1</v>
      </c>
      <c r="C239">
        <f t="shared" si="7"/>
        <v>0</v>
      </c>
      <c r="D239" s="27">
        <v>1</v>
      </c>
      <c r="E239">
        <v>5000</v>
      </c>
      <c r="F239" s="50" t="s">
        <v>46</v>
      </c>
      <c r="H239" s="79">
        <v>212</v>
      </c>
      <c r="I239" s="79">
        <v>5.2549281133566312</v>
      </c>
      <c r="J239" s="79">
        <v>4.7450718866433688</v>
      </c>
      <c r="K239" s="79">
        <v>1.1282856448549243</v>
      </c>
    </row>
    <row r="240" spans="1:11" x14ac:dyDescent="0.2">
      <c r="A240">
        <v>9.8333333333333339</v>
      </c>
      <c r="B240">
        <f t="shared" si="6"/>
        <v>1</v>
      </c>
      <c r="C240">
        <f t="shared" si="7"/>
        <v>1</v>
      </c>
      <c r="D240" s="25">
        <v>2</v>
      </c>
      <c r="E240">
        <v>40000</v>
      </c>
      <c r="F240" s="47" t="s">
        <v>290</v>
      </c>
      <c r="H240" s="79">
        <v>213</v>
      </c>
      <c r="I240" s="79">
        <v>5.2549281133566312</v>
      </c>
      <c r="J240" s="79">
        <v>2.2450718866433688</v>
      </c>
      <c r="K240" s="79">
        <v>0.53383435317330041</v>
      </c>
    </row>
    <row r="241" spans="1:11" x14ac:dyDescent="0.2">
      <c r="A241">
        <v>10.666666666666666</v>
      </c>
      <c r="B241">
        <f t="shared" si="6"/>
        <v>0</v>
      </c>
      <c r="C241">
        <f t="shared" si="7"/>
        <v>1</v>
      </c>
      <c r="D241" s="27">
        <v>1</v>
      </c>
      <c r="E241">
        <v>40000</v>
      </c>
      <c r="F241" s="50" t="s">
        <v>431</v>
      </c>
      <c r="H241" s="79">
        <v>214</v>
      </c>
      <c r="I241" s="79">
        <v>1.831059142523578</v>
      </c>
      <c r="J241" s="79">
        <v>1.5022741908097554</v>
      </c>
      <c r="K241" s="79">
        <v>0.35721153327473026</v>
      </c>
    </row>
    <row r="242" spans="1:11" x14ac:dyDescent="0.2">
      <c r="A242">
        <v>2</v>
      </c>
      <c r="B242">
        <f t="shared" si="6"/>
        <v>1</v>
      </c>
      <c r="C242">
        <f t="shared" si="7"/>
        <v>0</v>
      </c>
      <c r="D242" s="25">
        <v>1</v>
      </c>
      <c r="E242">
        <v>40000</v>
      </c>
      <c r="F242" s="47" t="s">
        <v>46</v>
      </c>
      <c r="H242" s="79">
        <v>215</v>
      </c>
      <c r="I242" s="79">
        <v>11.186368664266798</v>
      </c>
      <c r="J242" s="79">
        <v>-9.9363686642667979</v>
      </c>
      <c r="K242" s="79">
        <v>-2.3626748748392843</v>
      </c>
    </row>
    <row r="243" spans="1:11" x14ac:dyDescent="0.2">
      <c r="A243">
        <v>2.3333333333333335</v>
      </c>
      <c r="B243">
        <f t="shared" si="6"/>
        <v>1</v>
      </c>
      <c r="C243">
        <f t="shared" si="7"/>
        <v>0</v>
      </c>
      <c r="D243" s="27">
        <v>1</v>
      </c>
      <c r="E243">
        <v>40000</v>
      </c>
      <c r="F243" s="50" t="s">
        <v>100</v>
      </c>
      <c r="H243" s="79">
        <v>216</v>
      </c>
      <c r="I243" s="79">
        <v>2.0465934380847148</v>
      </c>
      <c r="J243" s="79">
        <v>-4.6593438084714833E-2</v>
      </c>
      <c r="K243" s="79">
        <v>-1.1079011781338603E-2</v>
      </c>
    </row>
    <row r="244" spans="1:11" x14ac:dyDescent="0.2">
      <c r="A244">
        <v>5.8</v>
      </c>
      <c r="B244">
        <f t="shared" si="6"/>
        <v>1</v>
      </c>
      <c r="C244">
        <f t="shared" si="7"/>
        <v>1</v>
      </c>
      <c r="D244" s="25">
        <v>2</v>
      </c>
      <c r="E244">
        <v>85000</v>
      </c>
      <c r="F244" s="47" t="s">
        <v>246</v>
      </c>
      <c r="H244" s="79">
        <v>217</v>
      </c>
      <c r="I244" s="79">
        <v>11.181171206217435</v>
      </c>
      <c r="J244" s="79">
        <v>-4.0561712062174351</v>
      </c>
      <c r="K244" s="79">
        <v>-0.9644784851271061</v>
      </c>
    </row>
    <row r="245" spans="1:11" x14ac:dyDescent="0.2">
      <c r="A245">
        <v>2</v>
      </c>
      <c r="B245">
        <f t="shared" si="6"/>
        <v>1</v>
      </c>
      <c r="C245">
        <f t="shared" si="7"/>
        <v>0</v>
      </c>
      <c r="D245" s="27">
        <v>1</v>
      </c>
      <c r="E245">
        <v>5000</v>
      </c>
      <c r="F245" s="50" t="s">
        <v>46</v>
      </c>
      <c r="H245" s="79">
        <v>218</v>
      </c>
      <c r="I245" s="79">
        <v>2.6213515595810803</v>
      </c>
      <c r="J245" s="79">
        <v>0.37864844041891965</v>
      </c>
      <c r="K245" s="79">
        <v>9.003522180010369E-2</v>
      </c>
    </row>
    <row r="246" spans="1:11" x14ac:dyDescent="0.2">
      <c r="A246">
        <v>12.5</v>
      </c>
      <c r="B246">
        <f t="shared" si="6"/>
        <v>1</v>
      </c>
      <c r="C246">
        <f t="shared" si="7"/>
        <v>1</v>
      </c>
      <c r="D246" s="25">
        <v>2</v>
      </c>
      <c r="E246">
        <v>60000</v>
      </c>
      <c r="F246" s="47" t="s">
        <v>290</v>
      </c>
      <c r="H246" s="79">
        <v>219</v>
      </c>
      <c r="I246" s="79">
        <v>1.831059142523578</v>
      </c>
      <c r="J246" s="79">
        <v>-1.1643924758569115</v>
      </c>
      <c r="K246" s="79">
        <v>-0.2768698445190021</v>
      </c>
    </row>
    <row r="247" spans="1:11" x14ac:dyDescent="0.2">
      <c r="A247">
        <v>4</v>
      </c>
      <c r="B247">
        <f t="shared" si="6"/>
        <v>0</v>
      </c>
      <c r="C247">
        <f t="shared" si="7"/>
        <v>1</v>
      </c>
      <c r="D247" s="27">
        <v>1</v>
      </c>
      <c r="E247">
        <v>60000</v>
      </c>
      <c r="F247" s="50" t="s">
        <v>431</v>
      </c>
      <c r="H247" s="79">
        <v>220</v>
      </c>
      <c r="I247" s="79">
        <v>14.605040177050487</v>
      </c>
      <c r="J247" s="79">
        <v>-7.9050401770504868</v>
      </c>
      <c r="K247" s="79">
        <v>-1.8796645376171182</v>
      </c>
    </row>
    <row r="248" spans="1:11" x14ac:dyDescent="0.2">
      <c r="A248">
        <v>1</v>
      </c>
      <c r="B248">
        <f t="shared" si="6"/>
        <v>1</v>
      </c>
      <c r="C248">
        <f t="shared" si="7"/>
        <v>0</v>
      </c>
      <c r="D248" s="25">
        <v>1</v>
      </c>
      <c r="E248">
        <v>20000</v>
      </c>
      <c r="F248" s="47" t="s">
        <v>100</v>
      </c>
      <c r="H248" s="79">
        <v>221</v>
      </c>
      <c r="I248" s="79">
        <v>11.181171206217435</v>
      </c>
      <c r="J248" s="79">
        <v>6.8828793782564901E-2</v>
      </c>
      <c r="K248" s="79">
        <v>1.6366146147573535E-2</v>
      </c>
    </row>
    <row r="249" spans="1:11" x14ac:dyDescent="0.2">
      <c r="A249">
        <v>2</v>
      </c>
      <c r="B249">
        <f t="shared" si="6"/>
        <v>1</v>
      </c>
      <c r="C249">
        <f t="shared" si="7"/>
        <v>0</v>
      </c>
      <c r="D249" s="27">
        <v>2</v>
      </c>
      <c r="E249">
        <v>40000</v>
      </c>
      <c r="F249" s="50" t="s">
        <v>1102</v>
      </c>
      <c r="H249" s="79">
        <v>222</v>
      </c>
      <c r="I249" s="79">
        <v>2.6213515595810803</v>
      </c>
      <c r="J249" s="79">
        <v>4.531510708558617E-2</v>
      </c>
      <c r="K249" s="79">
        <v>1.0775049575887125E-2</v>
      </c>
    </row>
    <row r="250" spans="1:11" x14ac:dyDescent="0.2">
      <c r="A250">
        <v>21.8</v>
      </c>
      <c r="B250">
        <f t="shared" si="6"/>
        <v>1</v>
      </c>
      <c r="C250">
        <f t="shared" si="7"/>
        <v>1</v>
      </c>
      <c r="D250" s="25">
        <v>3</v>
      </c>
      <c r="E250">
        <v>60000</v>
      </c>
      <c r="F250" s="47" t="s">
        <v>309</v>
      </c>
      <c r="H250" s="79">
        <v>223</v>
      </c>
      <c r="I250" s="79">
        <v>15.826401185230262</v>
      </c>
      <c r="J250" s="79">
        <v>-3.826401185230262</v>
      </c>
      <c r="K250" s="79">
        <v>-0.90984365082089047</v>
      </c>
    </row>
    <row r="251" spans="1:11" x14ac:dyDescent="0.2">
      <c r="A251">
        <v>6.5</v>
      </c>
      <c r="B251">
        <f t="shared" si="6"/>
        <v>0</v>
      </c>
      <c r="C251">
        <f t="shared" si="7"/>
        <v>1</v>
      </c>
      <c r="D251" s="27">
        <v>1</v>
      </c>
      <c r="E251">
        <v>40000</v>
      </c>
      <c r="F251" s="50" t="s">
        <v>431</v>
      </c>
      <c r="H251" s="79">
        <v>224</v>
      </c>
      <c r="I251" s="79">
        <v>1.831059142523578</v>
      </c>
      <c r="J251" s="79">
        <v>-0.43105914252357813</v>
      </c>
      <c r="K251" s="79">
        <v>-0.1024974656257257</v>
      </c>
    </row>
    <row r="252" spans="1:11" x14ac:dyDescent="0.2">
      <c r="A252">
        <v>2.75</v>
      </c>
      <c r="B252">
        <f t="shared" si="6"/>
        <v>1</v>
      </c>
      <c r="C252">
        <f t="shared" si="7"/>
        <v>0</v>
      </c>
      <c r="D252" s="25">
        <v>1</v>
      </c>
      <c r="E252">
        <v>40000</v>
      </c>
      <c r="F252" s="47" t="s">
        <v>46</v>
      </c>
      <c r="H252" s="79">
        <v>225</v>
      </c>
      <c r="I252" s="79">
        <v>11.468550266965616</v>
      </c>
      <c r="J252" s="79">
        <v>0.69811639970104977</v>
      </c>
      <c r="K252" s="79">
        <v>0.16599847821856559</v>
      </c>
    </row>
    <row r="253" spans="1:11" x14ac:dyDescent="0.2">
      <c r="A253">
        <v>1.2</v>
      </c>
      <c r="B253">
        <f t="shared" si="6"/>
        <v>1</v>
      </c>
      <c r="C253">
        <f t="shared" si="7"/>
        <v>0</v>
      </c>
      <c r="D253" s="27">
        <v>1</v>
      </c>
      <c r="E253">
        <v>20000</v>
      </c>
      <c r="F253" s="50" t="s">
        <v>100</v>
      </c>
      <c r="H253" s="79">
        <v>226</v>
      </c>
      <c r="I253" s="79">
        <v>2.3339724988328978</v>
      </c>
      <c r="J253" s="79">
        <v>0.66602750116710219</v>
      </c>
      <c r="K253" s="79">
        <v>0.15836836334570728</v>
      </c>
    </row>
    <row r="254" spans="1:11" x14ac:dyDescent="0.2">
      <c r="A254">
        <v>13.166666666666666</v>
      </c>
      <c r="B254">
        <f t="shared" si="6"/>
        <v>1</v>
      </c>
      <c r="C254">
        <f t="shared" si="7"/>
        <v>1</v>
      </c>
      <c r="D254" s="25">
        <v>2</v>
      </c>
      <c r="E254">
        <v>60000</v>
      </c>
      <c r="F254" s="47" t="s">
        <v>290</v>
      </c>
      <c r="H254" s="79">
        <v>227</v>
      </c>
      <c r="I254" s="79">
        <v>15.826401185230262</v>
      </c>
      <c r="J254" s="79">
        <v>16.92359881476974</v>
      </c>
      <c r="K254" s="79">
        <v>4.024102070136589</v>
      </c>
    </row>
    <row r="255" spans="1:11" x14ac:dyDescent="0.2">
      <c r="A255">
        <v>7.5</v>
      </c>
      <c r="B255">
        <f t="shared" si="6"/>
        <v>0</v>
      </c>
      <c r="C255">
        <f t="shared" si="7"/>
        <v>1</v>
      </c>
      <c r="D255" s="27">
        <v>1</v>
      </c>
      <c r="E255">
        <v>40000</v>
      </c>
      <c r="F255" s="50" t="s">
        <v>431</v>
      </c>
      <c r="H255" s="79">
        <v>228</v>
      </c>
      <c r="I255" s="79">
        <v>7.475120632685563</v>
      </c>
      <c r="J255" s="79">
        <v>-3.475120632685563</v>
      </c>
      <c r="K255" s="79">
        <v>-0.82631597953975811</v>
      </c>
    </row>
    <row r="256" spans="1:11" x14ac:dyDescent="0.2">
      <c r="A256">
        <v>0.8</v>
      </c>
      <c r="B256">
        <f t="shared" si="6"/>
        <v>1</v>
      </c>
      <c r="C256">
        <f t="shared" si="7"/>
        <v>0</v>
      </c>
      <c r="D256" s="25">
        <v>1</v>
      </c>
      <c r="E256">
        <v>40000</v>
      </c>
      <c r="F256" s="47" t="s">
        <v>46</v>
      </c>
      <c r="H256" s="79">
        <v>229</v>
      </c>
      <c r="I256" s="79">
        <v>11.181171206217435</v>
      </c>
      <c r="J256" s="79">
        <v>4.8188287937825649</v>
      </c>
      <c r="K256" s="79">
        <v>1.1458236003426592</v>
      </c>
    </row>
    <row r="257" spans="1:11" x14ac:dyDescent="0.2">
      <c r="A257">
        <v>7</v>
      </c>
      <c r="B257">
        <f t="shared" si="6"/>
        <v>1</v>
      </c>
      <c r="C257">
        <f t="shared" si="7"/>
        <v>1</v>
      </c>
      <c r="D257" s="27">
        <v>2</v>
      </c>
      <c r="E257">
        <v>40000</v>
      </c>
      <c r="F257" s="50" t="s">
        <v>246</v>
      </c>
      <c r="H257" s="79">
        <v>230</v>
      </c>
      <c r="I257" s="79">
        <v>1.831059142523578</v>
      </c>
      <c r="J257" s="79">
        <v>0.50227419080975544</v>
      </c>
      <c r="K257" s="79">
        <v>0.11943101660208064</v>
      </c>
    </row>
    <row r="258" spans="1:11" x14ac:dyDescent="0.2">
      <c r="A258">
        <v>1.6666666666666667</v>
      </c>
      <c r="B258">
        <f t="shared" si="6"/>
        <v>1</v>
      </c>
      <c r="C258">
        <f t="shared" si="7"/>
        <v>0</v>
      </c>
      <c r="D258" s="25">
        <v>1</v>
      </c>
      <c r="E258">
        <v>40000</v>
      </c>
      <c r="F258" s="47" t="s">
        <v>100</v>
      </c>
      <c r="H258" s="79">
        <v>231</v>
      </c>
      <c r="I258" s="79">
        <v>2.3339724988328978</v>
      </c>
      <c r="J258" s="79">
        <v>0.66602750116710219</v>
      </c>
      <c r="K258" s="79">
        <v>0.15836836334570728</v>
      </c>
    </row>
    <row r="259" spans="1:11" x14ac:dyDescent="0.2">
      <c r="A259">
        <v>19.166666666666668</v>
      </c>
      <c r="B259">
        <f t="shared" ref="B259:B322" si="8">IF(ISNUMBER(SEARCH("bike",F259))+ISNUMBER(SEARCH("scooty",F259))&gt;0,1,0)</f>
        <v>1</v>
      </c>
      <c r="C259">
        <f t="shared" ref="C259:C322" si="9">IF(ISNUMBER(SEARCH("car",F259))+ISNUMBER(SEARCH("Commercial vehicle",F259))&gt;0,1,0)</f>
        <v>1</v>
      </c>
      <c r="D259" s="27">
        <v>3</v>
      </c>
      <c r="E259">
        <v>125000</v>
      </c>
      <c r="F259" s="50" t="s">
        <v>309</v>
      </c>
      <c r="H259" s="79">
        <v>232</v>
      </c>
      <c r="I259" s="79">
        <v>1.831059142523578</v>
      </c>
      <c r="J259" s="79">
        <v>-0.58105914252357804</v>
      </c>
      <c r="K259" s="79">
        <v>-0.13816454312662313</v>
      </c>
    </row>
    <row r="260" spans="1:11" x14ac:dyDescent="0.2">
      <c r="A260">
        <v>3</v>
      </c>
      <c r="B260">
        <f t="shared" si="8"/>
        <v>1</v>
      </c>
      <c r="C260">
        <f t="shared" si="9"/>
        <v>0</v>
      </c>
      <c r="D260" s="25">
        <v>1</v>
      </c>
      <c r="E260">
        <v>5000</v>
      </c>
      <c r="F260" s="47" t="s">
        <v>46</v>
      </c>
      <c r="H260" s="79">
        <v>233</v>
      </c>
      <c r="I260" s="79">
        <v>11.181171206217435</v>
      </c>
      <c r="J260" s="79">
        <v>0.65216212711589883</v>
      </c>
      <c r="K260" s="79">
        <v>0.15507144753995261</v>
      </c>
    </row>
    <row r="261" spans="1:11" x14ac:dyDescent="0.2">
      <c r="A261">
        <v>18.600000000000001</v>
      </c>
      <c r="B261">
        <f t="shared" si="8"/>
        <v>1</v>
      </c>
      <c r="C261">
        <f t="shared" si="9"/>
        <v>1</v>
      </c>
      <c r="D261" s="27">
        <v>2</v>
      </c>
      <c r="E261">
        <v>60000</v>
      </c>
      <c r="F261" s="50" t="s">
        <v>290</v>
      </c>
      <c r="H261" s="79">
        <v>234</v>
      </c>
      <c r="I261" s="79">
        <v>8.0498787541819272</v>
      </c>
      <c r="J261" s="79">
        <v>3.9501212458180728</v>
      </c>
      <c r="K261" s="79">
        <v>0.93926187075023171</v>
      </c>
    </row>
    <row r="262" spans="1:11" x14ac:dyDescent="0.2">
      <c r="A262">
        <v>2.25</v>
      </c>
      <c r="B262">
        <f t="shared" si="8"/>
        <v>1</v>
      </c>
      <c r="C262">
        <f t="shared" si="9"/>
        <v>0</v>
      </c>
      <c r="D262" s="25">
        <v>1</v>
      </c>
      <c r="E262">
        <v>40000</v>
      </c>
      <c r="F262" s="47" t="s">
        <v>46</v>
      </c>
      <c r="H262" s="79">
        <v>235</v>
      </c>
      <c r="I262" s="79">
        <v>15.826401185230262</v>
      </c>
      <c r="J262" s="79">
        <v>10.373598814769737</v>
      </c>
      <c r="K262" s="79">
        <v>2.4666396859307338</v>
      </c>
    </row>
    <row r="263" spans="1:11" x14ac:dyDescent="0.2">
      <c r="A263">
        <v>1.6666666666666667</v>
      </c>
      <c r="B263">
        <f t="shared" si="8"/>
        <v>1</v>
      </c>
      <c r="C263">
        <f t="shared" si="9"/>
        <v>0</v>
      </c>
      <c r="D263" s="27">
        <v>1</v>
      </c>
      <c r="E263">
        <v>40000</v>
      </c>
      <c r="F263" s="50" t="s">
        <v>100</v>
      </c>
      <c r="H263" s="79">
        <v>236</v>
      </c>
      <c r="I263" s="79">
        <v>2.0465934380847148</v>
      </c>
      <c r="J263" s="79">
        <v>-1.0465934380847148</v>
      </c>
      <c r="K263" s="79">
        <v>-0.2488595284539882</v>
      </c>
    </row>
    <row r="264" spans="1:11" x14ac:dyDescent="0.2">
      <c r="A264">
        <v>6</v>
      </c>
      <c r="B264">
        <f t="shared" si="8"/>
        <v>1</v>
      </c>
      <c r="C264">
        <f t="shared" si="9"/>
        <v>1</v>
      </c>
      <c r="D264" s="25">
        <v>3</v>
      </c>
      <c r="E264">
        <v>85000</v>
      </c>
      <c r="F264" s="47" t="s">
        <v>309</v>
      </c>
      <c r="H264" s="79">
        <v>237</v>
      </c>
      <c r="I264" s="79">
        <v>11.181171206217435</v>
      </c>
      <c r="J264" s="79">
        <v>-4.9311712062174351</v>
      </c>
      <c r="K264" s="79">
        <v>-1.1725364372156746</v>
      </c>
    </row>
    <row r="265" spans="1:11" x14ac:dyDescent="0.2">
      <c r="A265">
        <v>8.3333333333333339</v>
      </c>
      <c r="B265">
        <f t="shared" si="8"/>
        <v>0</v>
      </c>
      <c r="C265">
        <f t="shared" si="9"/>
        <v>1</v>
      </c>
      <c r="D265" s="27">
        <v>1</v>
      </c>
      <c r="E265">
        <v>40000</v>
      </c>
      <c r="F265" s="50" t="s">
        <v>431</v>
      </c>
      <c r="H265" s="79">
        <v>238</v>
      </c>
      <c r="I265" s="79">
        <v>1.831059142523578</v>
      </c>
      <c r="J265" s="79">
        <v>-0.43105914252357813</v>
      </c>
      <c r="K265" s="79">
        <v>-0.1024974656257257</v>
      </c>
    </row>
    <row r="266" spans="1:11" x14ac:dyDescent="0.2">
      <c r="A266">
        <v>1.6</v>
      </c>
      <c r="B266">
        <f t="shared" si="8"/>
        <v>1</v>
      </c>
      <c r="C266">
        <f t="shared" si="9"/>
        <v>0</v>
      </c>
      <c r="D266" s="28">
        <v>1</v>
      </c>
      <c r="E266">
        <v>40000</v>
      </c>
      <c r="F266" s="47" t="s">
        <v>46</v>
      </c>
      <c r="H266" s="79">
        <v>239</v>
      </c>
      <c r="I266" s="79">
        <v>11.181171206217435</v>
      </c>
      <c r="J266" s="79">
        <v>-1.3478378728841012</v>
      </c>
      <c r="K266" s="79">
        <v>-0.32048958580534659</v>
      </c>
    </row>
    <row r="267" spans="1:11" x14ac:dyDescent="0.2">
      <c r="A267">
        <v>1.6666666666666667</v>
      </c>
      <c r="B267">
        <f t="shared" si="8"/>
        <v>1</v>
      </c>
      <c r="C267">
        <f t="shared" si="9"/>
        <v>0</v>
      </c>
      <c r="D267" s="27">
        <v>1</v>
      </c>
      <c r="E267">
        <v>5000</v>
      </c>
      <c r="F267" s="50" t="s">
        <v>46</v>
      </c>
      <c r="H267" s="79">
        <v>240</v>
      </c>
      <c r="I267" s="79">
        <v>7.7624996934337451</v>
      </c>
      <c r="J267" s="79">
        <v>2.9041669732329209</v>
      </c>
      <c r="K267" s="79">
        <v>0.69055432339896894</v>
      </c>
    </row>
    <row r="268" spans="1:11" x14ac:dyDescent="0.2">
      <c r="A268">
        <v>17.8</v>
      </c>
      <c r="B268">
        <f t="shared" si="8"/>
        <v>1</v>
      </c>
      <c r="C268">
        <f t="shared" si="9"/>
        <v>1</v>
      </c>
      <c r="D268" s="25">
        <v>2</v>
      </c>
      <c r="E268">
        <v>60000</v>
      </c>
      <c r="F268" s="47" t="s">
        <v>290</v>
      </c>
      <c r="H268" s="79">
        <v>241</v>
      </c>
      <c r="I268" s="79">
        <v>2.3339724988328978</v>
      </c>
      <c r="J268" s="79">
        <v>-0.33397249883289781</v>
      </c>
      <c r="K268" s="79">
        <v>-7.9412153326942306E-2</v>
      </c>
    </row>
    <row r="269" spans="1:11" x14ac:dyDescent="0.2">
      <c r="A269">
        <v>1.25</v>
      </c>
      <c r="B269">
        <f t="shared" si="8"/>
        <v>1</v>
      </c>
      <c r="C269">
        <f t="shared" si="9"/>
        <v>0</v>
      </c>
      <c r="D269" s="27">
        <v>1</v>
      </c>
      <c r="E269">
        <v>40000</v>
      </c>
      <c r="F269" s="50" t="s">
        <v>100</v>
      </c>
      <c r="H269" s="79">
        <v>242</v>
      </c>
      <c r="I269" s="79">
        <v>2.3339724988328978</v>
      </c>
      <c r="J269" s="79">
        <v>-6.3916549956433144E-4</v>
      </c>
      <c r="K269" s="79">
        <v>-1.5198110272573892E-4</v>
      </c>
    </row>
    <row r="270" spans="1:11" x14ac:dyDescent="0.2">
      <c r="A270">
        <v>32.75</v>
      </c>
      <c r="B270">
        <f t="shared" si="8"/>
        <v>1</v>
      </c>
      <c r="C270">
        <f t="shared" si="9"/>
        <v>1</v>
      </c>
      <c r="D270" s="25">
        <v>3</v>
      </c>
      <c r="E270">
        <v>125000</v>
      </c>
      <c r="F270" s="47" t="s">
        <v>309</v>
      </c>
      <c r="H270" s="79">
        <v>243</v>
      </c>
      <c r="I270" s="79">
        <v>11.827774092900846</v>
      </c>
      <c r="J270" s="79">
        <v>-6.0277740929008461</v>
      </c>
      <c r="K270" s="79">
        <v>-1.4332872381959749</v>
      </c>
    </row>
    <row r="271" spans="1:11" x14ac:dyDescent="0.2">
      <c r="A271">
        <v>6</v>
      </c>
      <c r="B271">
        <f t="shared" si="8"/>
        <v>0</v>
      </c>
      <c r="C271">
        <f t="shared" si="9"/>
        <v>1</v>
      </c>
      <c r="D271" s="27">
        <v>1</v>
      </c>
      <c r="E271">
        <v>20000</v>
      </c>
      <c r="F271" s="50" t="s">
        <v>431</v>
      </c>
      <c r="H271" s="79">
        <v>244</v>
      </c>
      <c r="I271" s="79">
        <v>1.831059142523578</v>
      </c>
      <c r="J271" s="79">
        <v>0.16894085747642196</v>
      </c>
      <c r="K271" s="79">
        <v>4.0170844377864071E-2</v>
      </c>
    </row>
    <row r="272" spans="1:11" x14ac:dyDescent="0.2">
      <c r="A272">
        <v>3.25</v>
      </c>
      <c r="B272">
        <f t="shared" si="8"/>
        <v>1</v>
      </c>
      <c r="C272">
        <f t="shared" si="9"/>
        <v>0</v>
      </c>
      <c r="D272" s="25">
        <v>2</v>
      </c>
      <c r="E272">
        <v>40000</v>
      </c>
      <c r="F272" s="47" t="s">
        <v>61</v>
      </c>
      <c r="H272" s="79">
        <v>245</v>
      </c>
      <c r="I272" s="79">
        <v>11.468550266965616</v>
      </c>
      <c r="J272" s="79">
        <v>1.0314497330343837</v>
      </c>
      <c r="K272" s="79">
        <v>0.24525865044278225</v>
      </c>
    </row>
    <row r="273" spans="1:11" x14ac:dyDescent="0.2">
      <c r="A273">
        <v>1.3333333333333333</v>
      </c>
      <c r="B273">
        <f t="shared" si="8"/>
        <v>1</v>
      </c>
      <c r="C273">
        <f t="shared" si="9"/>
        <v>0</v>
      </c>
      <c r="D273" s="27">
        <v>1</v>
      </c>
      <c r="E273">
        <v>5000</v>
      </c>
      <c r="F273" s="50" t="s">
        <v>100</v>
      </c>
      <c r="H273" s="79">
        <v>246</v>
      </c>
      <c r="I273" s="79">
        <v>8.0498787541819272</v>
      </c>
      <c r="J273" s="79">
        <v>-4.0498787541819272</v>
      </c>
      <c r="K273" s="79">
        <v>-0.96298226263096509</v>
      </c>
    </row>
    <row r="274" spans="1:11" x14ac:dyDescent="0.2">
      <c r="A274">
        <v>5.2</v>
      </c>
      <c r="B274">
        <f t="shared" si="8"/>
        <v>1</v>
      </c>
      <c r="C274">
        <f t="shared" si="9"/>
        <v>1</v>
      </c>
      <c r="D274" s="25">
        <v>2</v>
      </c>
      <c r="E274">
        <v>60000</v>
      </c>
      <c r="F274" s="47" t="s">
        <v>246</v>
      </c>
      <c r="H274" s="79">
        <v>247</v>
      </c>
      <c r="I274" s="79">
        <v>2.0465934380847148</v>
      </c>
      <c r="J274" s="79">
        <v>-1.0465934380847148</v>
      </c>
      <c r="K274" s="79">
        <v>-0.2488595284539882</v>
      </c>
    </row>
    <row r="275" spans="1:11" x14ac:dyDescent="0.2">
      <c r="A275">
        <v>15.4</v>
      </c>
      <c r="B275">
        <f t="shared" si="8"/>
        <v>1</v>
      </c>
      <c r="C275">
        <f t="shared" si="9"/>
        <v>1</v>
      </c>
      <c r="D275" s="27">
        <v>2</v>
      </c>
      <c r="E275">
        <v>40000</v>
      </c>
      <c r="F275" s="50" t="s">
        <v>290</v>
      </c>
      <c r="H275" s="79">
        <v>248</v>
      </c>
      <c r="I275" s="79">
        <v>5.7578414696659506</v>
      </c>
      <c r="J275" s="79">
        <v>-3.7578414696659506</v>
      </c>
      <c r="K275" s="79">
        <v>-0.89354148623107865</v>
      </c>
    </row>
    <row r="276" spans="1:11" x14ac:dyDescent="0.2">
      <c r="A276">
        <v>4</v>
      </c>
      <c r="B276">
        <f t="shared" si="8"/>
        <v>0</v>
      </c>
      <c r="C276">
        <f t="shared" si="9"/>
        <v>1</v>
      </c>
      <c r="D276" s="25">
        <v>1</v>
      </c>
      <c r="E276">
        <v>40000</v>
      </c>
      <c r="F276" s="47" t="s">
        <v>431</v>
      </c>
      <c r="H276" s="79">
        <v>249</v>
      </c>
      <c r="I276" s="79">
        <v>14.892419237798668</v>
      </c>
      <c r="J276" s="79">
        <v>6.9075807622013325</v>
      </c>
      <c r="K276" s="79">
        <v>1.6424881225942876</v>
      </c>
    </row>
    <row r="277" spans="1:11" x14ac:dyDescent="0.2">
      <c r="A277">
        <v>1.75</v>
      </c>
      <c r="B277">
        <f t="shared" si="8"/>
        <v>1</v>
      </c>
      <c r="C277">
        <f t="shared" si="9"/>
        <v>0</v>
      </c>
      <c r="D277" s="27">
        <v>1</v>
      </c>
      <c r="E277">
        <v>40000</v>
      </c>
      <c r="F277" s="50" t="s">
        <v>46</v>
      </c>
      <c r="H277" s="79">
        <v>250</v>
      </c>
      <c r="I277" s="79">
        <v>7.7624996934337451</v>
      </c>
      <c r="J277" s="79">
        <v>-1.2624996934337451</v>
      </c>
      <c r="K277" s="79">
        <v>-0.30019782940373763</v>
      </c>
    </row>
    <row r="278" spans="1:11" x14ac:dyDescent="0.2">
      <c r="A278">
        <v>2.5</v>
      </c>
      <c r="B278">
        <f t="shared" si="8"/>
        <v>1</v>
      </c>
      <c r="C278">
        <f t="shared" si="9"/>
        <v>0</v>
      </c>
      <c r="D278" s="25">
        <v>1</v>
      </c>
      <c r="E278">
        <v>40000</v>
      </c>
      <c r="F278" s="47" t="s">
        <v>100</v>
      </c>
      <c r="H278" s="79">
        <v>251</v>
      </c>
      <c r="I278" s="79">
        <v>2.3339724988328978</v>
      </c>
      <c r="J278" s="79">
        <v>0.41602750116710219</v>
      </c>
      <c r="K278" s="79">
        <v>9.8923234177544894E-2</v>
      </c>
    </row>
    <row r="279" spans="1:11" x14ac:dyDescent="0.2">
      <c r="A279">
        <v>26</v>
      </c>
      <c r="B279">
        <f t="shared" si="8"/>
        <v>1</v>
      </c>
      <c r="C279">
        <f t="shared" si="9"/>
        <v>1</v>
      </c>
      <c r="D279" s="27">
        <v>3</v>
      </c>
      <c r="E279">
        <v>125000</v>
      </c>
      <c r="F279" s="50" t="s">
        <v>309</v>
      </c>
      <c r="H279" s="79">
        <v>252</v>
      </c>
      <c r="I279" s="79">
        <v>2.0465934380847148</v>
      </c>
      <c r="J279" s="79">
        <v>-0.84659343808471488</v>
      </c>
      <c r="K279" s="79">
        <v>-0.20130342511945828</v>
      </c>
    </row>
    <row r="280" spans="1:11" x14ac:dyDescent="0.2">
      <c r="A280">
        <v>2.6666666666666665</v>
      </c>
      <c r="B280">
        <f t="shared" si="8"/>
        <v>1</v>
      </c>
      <c r="C280">
        <f t="shared" si="9"/>
        <v>0</v>
      </c>
      <c r="D280" s="25">
        <v>1</v>
      </c>
      <c r="E280">
        <v>5000</v>
      </c>
      <c r="F280" s="47" t="s">
        <v>46</v>
      </c>
      <c r="H280" s="79">
        <v>253</v>
      </c>
      <c r="I280" s="79">
        <v>11.468550266965616</v>
      </c>
      <c r="J280" s="79">
        <v>1.6981163997010498</v>
      </c>
      <c r="K280" s="79">
        <v>0.40377899489121516</v>
      </c>
    </row>
    <row r="281" spans="1:11" x14ac:dyDescent="0.2">
      <c r="A281">
        <v>7</v>
      </c>
      <c r="B281">
        <f t="shared" si="8"/>
        <v>1</v>
      </c>
      <c r="C281">
        <f t="shared" si="9"/>
        <v>0</v>
      </c>
      <c r="D281" s="27">
        <v>1</v>
      </c>
      <c r="E281">
        <v>60000</v>
      </c>
      <c r="F281" s="50" t="s">
        <v>46</v>
      </c>
      <c r="H281" s="79">
        <v>254</v>
      </c>
      <c r="I281" s="79">
        <v>7.7624996934337451</v>
      </c>
      <c r="J281" s="79">
        <v>-0.26249969343374513</v>
      </c>
      <c r="K281" s="79">
        <v>-6.241731273108804E-2</v>
      </c>
    </row>
    <row r="282" spans="1:11" x14ac:dyDescent="0.2">
      <c r="A282">
        <v>2.5</v>
      </c>
      <c r="B282">
        <f t="shared" si="8"/>
        <v>1</v>
      </c>
      <c r="C282">
        <f t="shared" si="9"/>
        <v>0</v>
      </c>
      <c r="D282" s="25">
        <v>1</v>
      </c>
      <c r="E282">
        <v>5000</v>
      </c>
      <c r="F282" s="47" t="s">
        <v>46</v>
      </c>
      <c r="H282" s="79">
        <v>255</v>
      </c>
      <c r="I282" s="79">
        <v>2.3339724988328978</v>
      </c>
      <c r="J282" s="79">
        <v>-1.5339724988328978</v>
      </c>
      <c r="K282" s="79">
        <v>-0.36474877333412181</v>
      </c>
    </row>
    <row r="283" spans="1:11" x14ac:dyDescent="0.2">
      <c r="A283">
        <v>0.6</v>
      </c>
      <c r="B283">
        <f t="shared" si="8"/>
        <v>1</v>
      </c>
      <c r="C283">
        <f t="shared" si="9"/>
        <v>0</v>
      </c>
      <c r="D283" s="27">
        <v>1</v>
      </c>
      <c r="E283">
        <v>20000</v>
      </c>
      <c r="F283" s="50" t="s">
        <v>100</v>
      </c>
      <c r="H283" s="79">
        <v>256</v>
      </c>
      <c r="I283" s="79">
        <v>11.181171206217435</v>
      </c>
      <c r="J283" s="79">
        <v>-4.1811712062174351</v>
      </c>
      <c r="K283" s="79">
        <v>-0.99420104971118728</v>
      </c>
    </row>
    <row r="284" spans="1:11" x14ac:dyDescent="0.2">
      <c r="A284">
        <v>18</v>
      </c>
      <c r="B284">
        <f t="shared" si="8"/>
        <v>1</v>
      </c>
      <c r="C284">
        <f t="shared" si="9"/>
        <v>1</v>
      </c>
      <c r="D284" s="25">
        <v>3</v>
      </c>
      <c r="E284">
        <v>60000</v>
      </c>
      <c r="F284" s="47" t="s">
        <v>290</v>
      </c>
      <c r="H284" s="79">
        <v>257</v>
      </c>
      <c r="I284" s="79">
        <v>2.3339724988328978</v>
      </c>
      <c r="J284" s="79">
        <v>-0.66730583216623107</v>
      </c>
      <c r="K284" s="79">
        <v>-0.15867232555115882</v>
      </c>
    </row>
    <row r="285" spans="1:11" x14ac:dyDescent="0.2">
      <c r="A285">
        <v>1.8</v>
      </c>
      <c r="B285">
        <f t="shared" si="8"/>
        <v>1</v>
      </c>
      <c r="C285">
        <f t="shared" si="9"/>
        <v>0</v>
      </c>
      <c r="D285" s="27">
        <v>1</v>
      </c>
      <c r="E285">
        <v>5000</v>
      </c>
      <c r="F285" s="50" t="s">
        <v>46</v>
      </c>
      <c r="H285" s="79">
        <v>258</v>
      </c>
      <c r="I285" s="79">
        <v>15.826401185230262</v>
      </c>
      <c r="J285" s="79">
        <v>3.3402654814364059</v>
      </c>
      <c r="K285" s="79">
        <v>0.79425005199976528</v>
      </c>
    </row>
    <row r="286" spans="1:11" x14ac:dyDescent="0.2">
      <c r="A286">
        <v>8.3333333333333339</v>
      </c>
      <c r="B286">
        <f t="shared" si="8"/>
        <v>0</v>
      </c>
      <c r="C286">
        <f t="shared" si="9"/>
        <v>1</v>
      </c>
      <c r="D286" s="25">
        <v>1</v>
      </c>
      <c r="E286">
        <v>40000</v>
      </c>
      <c r="F286" s="47" t="s">
        <v>431</v>
      </c>
      <c r="H286" s="79">
        <v>259</v>
      </c>
      <c r="I286" s="79">
        <v>1.831059142523578</v>
      </c>
      <c r="J286" s="79">
        <v>1.168940857476422</v>
      </c>
      <c r="K286" s="79">
        <v>0.27795136105051366</v>
      </c>
    </row>
    <row r="287" spans="1:11" x14ac:dyDescent="0.2">
      <c r="A287">
        <v>5.2</v>
      </c>
      <c r="B287">
        <f t="shared" si="8"/>
        <v>1</v>
      </c>
      <c r="C287">
        <f t="shared" si="9"/>
        <v>1</v>
      </c>
      <c r="D287" s="27">
        <v>2</v>
      </c>
      <c r="E287">
        <v>60000</v>
      </c>
      <c r="F287" s="50" t="s">
        <v>246</v>
      </c>
      <c r="H287" s="79">
        <v>260</v>
      </c>
      <c r="I287" s="79">
        <v>11.468550266965616</v>
      </c>
      <c r="J287" s="79">
        <v>7.1314497330343851</v>
      </c>
      <c r="K287" s="79">
        <v>1.6957198021459452</v>
      </c>
    </row>
    <row r="288" spans="1:11" x14ac:dyDescent="0.2">
      <c r="A288">
        <v>2</v>
      </c>
      <c r="B288">
        <f t="shared" si="8"/>
        <v>1</v>
      </c>
      <c r="C288">
        <f t="shared" si="9"/>
        <v>0</v>
      </c>
      <c r="D288" s="25">
        <v>1</v>
      </c>
      <c r="E288">
        <v>40000</v>
      </c>
      <c r="F288" s="47" t="s">
        <v>100</v>
      </c>
      <c r="H288" s="79">
        <v>261</v>
      </c>
      <c r="I288" s="79">
        <v>2.3339724988328978</v>
      </c>
      <c r="J288" s="79">
        <v>-8.3972498832897813E-2</v>
      </c>
      <c r="K288" s="79">
        <v>-1.9967024158779906E-2</v>
      </c>
    </row>
    <row r="289" spans="1:11" x14ac:dyDescent="0.2">
      <c r="A289">
        <v>15.333333333333334</v>
      </c>
      <c r="B289">
        <f t="shared" si="8"/>
        <v>1</v>
      </c>
      <c r="C289">
        <f t="shared" si="9"/>
        <v>1</v>
      </c>
      <c r="D289" s="27">
        <v>2</v>
      </c>
      <c r="E289">
        <v>40000</v>
      </c>
      <c r="F289" s="50" t="s">
        <v>290</v>
      </c>
      <c r="H289" s="79">
        <v>262</v>
      </c>
      <c r="I289" s="79">
        <v>2.3339724988328978</v>
      </c>
      <c r="J289" s="79">
        <v>-0.66730583216623107</v>
      </c>
      <c r="K289" s="79">
        <v>-0.15867232555115882</v>
      </c>
    </row>
    <row r="290" spans="1:11" x14ac:dyDescent="0.2">
      <c r="A290">
        <v>2.6666666666666665</v>
      </c>
      <c r="B290">
        <f t="shared" si="8"/>
        <v>1</v>
      </c>
      <c r="C290">
        <f t="shared" si="9"/>
        <v>0</v>
      </c>
      <c r="D290" s="25">
        <v>1</v>
      </c>
      <c r="E290">
        <v>5000</v>
      </c>
      <c r="F290" s="47" t="s">
        <v>46</v>
      </c>
      <c r="H290" s="79">
        <v>263</v>
      </c>
      <c r="I290" s="79">
        <v>15.251643063733898</v>
      </c>
      <c r="J290" s="79">
        <v>-9.2516430637338978</v>
      </c>
      <c r="K290" s="79">
        <v>-2.1998604677655811</v>
      </c>
    </row>
    <row r="291" spans="1:11" x14ac:dyDescent="0.2">
      <c r="A291">
        <v>5.4</v>
      </c>
      <c r="B291">
        <f t="shared" si="8"/>
        <v>1</v>
      </c>
      <c r="C291">
        <f t="shared" si="9"/>
        <v>1</v>
      </c>
      <c r="D291" s="27">
        <v>2</v>
      </c>
      <c r="E291">
        <v>40000</v>
      </c>
      <c r="F291" s="50" t="s">
        <v>246</v>
      </c>
      <c r="H291" s="79">
        <v>264</v>
      </c>
      <c r="I291" s="79">
        <v>7.7624996934337451</v>
      </c>
      <c r="J291" s="79">
        <v>0.5708336398995888</v>
      </c>
      <c r="K291" s="79">
        <v>0.13573311782945344</v>
      </c>
    </row>
    <row r="292" spans="1:11" x14ac:dyDescent="0.2">
      <c r="A292">
        <v>2.4</v>
      </c>
      <c r="B292">
        <f t="shared" si="8"/>
        <v>1</v>
      </c>
      <c r="C292">
        <f t="shared" si="9"/>
        <v>0</v>
      </c>
      <c r="D292" s="25">
        <v>1</v>
      </c>
      <c r="E292">
        <v>40000</v>
      </c>
      <c r="F292" s="47" t="s">
        <v>46</v>
      </c>
      <c r="H292" s="79">
        <v>265</v>
      </c>
      <c r="I292" s="79">
        <v>2.3339724988328978</v>
      </c>
      <c r="J292" s="79">
        <v>-0.73397249883289772</v>
      </c>
      <c r="K292" s="79">
        <v>-0.17452435999600213</v>
      </c>
    </row>
    <row r="293" spans="1:11" x14ac:dyDescent="0.2">
      <c r="A293">
        <v>1.2</v>
      </c>
      <c r="B293">
        <f t="shared" si="8"/>
        <v>1</v>
      </c>
      <c r="C293">
        <f t="shared" si="9"/>
        <v>0</v>
      </c>
      <c r="D293" s="27">
        <v>1</v>
      </c>
      <c r="E293">
        <v>5000</v>
      </c>
      <c r="F293" s="50" t="s">
        <v>100</v>
      </c>
      <c r="H293" s="79">
        <v>266</v>
      </c>
      <c r="I293" s="79">
        <v>1.831059142523578</v>
      </c>
      <c r="J293" s="79">
        <v>-0.1643924758569113</v>
      </c>
      <c r="K293" s="79">
        <v>-3.9089327846352447E-2</v>
      </c>
    </row>
    <row r="294" spans="1:11" x14ac:dyDescent="0.2">
      <c r="A294">
        <v>15.666666666666666</v>
      </c>
      <c r="B294">
        <f t="shared" si="8"/>
        <v>1</v>
      </c>
      <c r="C294">
        <f t="shared" si="9"/>
        <v>1</v>
      </c>
      <c r="D294" s="25">
        <v>2</v>
      </c>
      <c r="E294">
        <v>40000</v>
      </c>
      <c r="F294" s="47" t="s">
        <v>290</v>
      </c>
      <c r="H294" s="79">
        <v>267</v>
      </c>
      <c r="I294" s="79">
        <v>11.468550266965616</v>
      </c>
      <c r="J294" s="79">
        <v>6.3314497330343844</v>
      </c>
      <c r="K294" s="79">
        <v>1.5054953888078253</v>
      </c>
    </row>
    <row r="295" spans="1:11" x14ac:dyDescent="0.2">
      <c r="A295">
        <v>6.5</v>
      </c>
      <c r="B295">
        <f t="shared" si="8"/>
        <v>0</v>
      </c>
      <c r="C295">
        <f t="shared" si="9"/>
        <v>1</v>
      </c>
      <c r="D295" s="27">
        <v>1</v>
      </c>
      <c r="E295">
        <v>40000</v>
      </c>
      <c r="F295" s="50" t="s">
        <v>431</v>
      </c>
      <c r="H295" s="79">
        <v>268</v>
      </c>
      <c r="I295" s="79">
        <v>2.3339724988328978</v>
      </c>
      <c r="J295" s="79">
        <v>-1.0839724988328978</v>
      </c>
      <c r="K295" s="79">
        <v>-0.25774754083142953</v>
      </c>
    </row>
    <row r="296" spans="1:11" x14ac:dyDescent="0.2">
      <c r="A296">
        <v>5.8</v>
      </c>
      <c r="B296">
        <f t="shared" si="8"/>
        <v>1</v>
      </c>
      <c r="C296">
        <f t="shared" si="9"/>
        <v>1</v>
      </c>
      <c r="D296" s="25">
        <v>2</v>
      </c>
      <c r="E296">
        <v>60000</v>
      </c>
      <c r="F296" s="47" t="s">
        <v>246</v>
      </c>
      <c r="H296" s="79">
        <v>269</v>
      </c>
      <c r="I296" s="79">
        <v>15.826401185230262</v>
      </c>
      <c r="J296" s="79">
        <v>16.92359881476974</v>
      </c>
      <c r="K296" s="79">
        <v>4.024102070136589</v>
      </c>
    </row>
    <row r="297" spans="1:11" x14ac:dyDescent="0.2">
      <c r="A297">
        <v>2.25</v>
      </c>
      <c r="B297">
        <f t="shared" si="8"/>
        <v>1</v>
      </c>
      <c r="C297">
        <f t="shared" si="9"/>
        <v>0</v>
      </c>
      <c r="D297" s="27">
        <v>1</v>
      </c>
      <c r="E297">
        <v>5000</v>
      </c>
      <c r="F297" s="50" t="s">
        <v>46</v>
      </c>
      <c r="H297" s="79">
        <v>270</v>
      </c>
      <c r="I297" s="79">
        <v>7.475120632685563</v>
      </c>
      <c r="J297" s="79">
        <v>-1.475120632685563</v>
      </c>
      <c r="K297" s="79">
        <v>-0.35075494619445896</v>
      </c>
    </row>
    <row r="298" spans="1:11" x14ac:dyDescent="0.2">
      <c r="A298">
        <v>18.600000000000001</v>
      </c>
      <c r="B298">
        <f t="shared" si="8"/>
        <v>1</v>
      </c>
      <c r="C298">
        <f t="shared" si="9"/>
        <v>1</v>
      </c>
      <c r="D298" s="25">
        <v>2</v>
      </c>
      <c r="E298">
        <v>60000</v>
      </c>
      <c r="F298" s="47" t="s">
        <v>290</v>
      </c>
      <c r="H298" s="79">
        <v>271</v>
      </c>
      <c r="I298" s="79">
        <v>5.7578414696659506</v>
      </c>
      <c r="J298" s="79">
        <v>-2.5078414696659506</v>
      </c>
      <c r="K298" s="79">
        <v>-0.59631584039026664</v>
      </c>
    </row>
    <row r="299" spans="1:11" x14ac:dyDescent="0.2">
      <c r="A299">
        <v>9</v>
      </c>
      <c r="B299">
        <f t="shared" si="8"/>
        <v>0</v>
      </c>
      <c r="C299">
        <f t="shared" si="9"/>
        <v>1</v>
      </c>
      <c r="D299" s="27">
        <v>1</v>
      </c>
      <c r="E299">
        <v>40000</v>
      </c>
      <c r="F299" s="50" t="s">
        <v>431</v>
      </c>
      <c r="H299" s="79">
        <v>272</v>
      </c>
      <c r="I299" s="79">
        <v>1.831059142523578</v>
      </c>
      <c r="J299" s="79">
        <v>-0.49772580919024478</v>
      </c>
      <c r="K299" s="79">
        <v>-0.11834950007056902</v>
      </c>
    </row>
    <row r="300" spans="1:11" x14ac:dyDescent="0.2">
      <c r="A300">
        <v>0.8</v>
      </c>
      <c r="B300">
        <f t="shared" si="8"/>
        <v>1</v>
      </c>
      <c r="C300">
        <f t="shared" si="9"/>
        <v>0</v>
      </c>
      <c r="D300" s="25">
        <v>1</v>
      </c>
      <c r="E300">
        <v>20000</v>
      </c>
      <c r="F300" s="47" t="s">
        <v>100</v>
      </c>
      <c r="H300" s="79">
        <v>273</v>
      </c>
      <c r="I300" s="79">
        <v>11.468550266965616</v>
      </c>
      <c r="J300" s="79">
        <v>-6.2685502669656161</v>
      </c>
      <c r="K300" s="79">
        <v>-1.4905391212675598</v>
      </c>
    </row>
    <row r="301" spans="1:11" x14ac:dyDescent="0.2">
      <c r="A301">
        <v>7.25</v>
      </c>
      <c r="B301">
        <f t="shared" si="8"/>
        <v>1</v>
      </c>
      <c r="C301">
        <f t="shared" si="9"/>
        <v>1</v>
      </c>
      <c r="D301" s="27">
        <v>2</v>
      </c>
      <c r="E301">
        <v>60000</v>
      </c>
      <c r="F301" s="50" t="s">
        <v>246</v>
      </c>
      <c r="H301" s="79">
        <v>274</v>
      </c>
      <c r="I301" s="79">
        <v>11.181171206217435</v>
      </c>
      <c r="J301" s="79">
        <v>4.2188287937825653</v>
      </c>
      <c r="K301" s="79">
        <v>1.0031552903390695</v>
      </c>
    </row>
    <row r="302" spans="1:11" x14ac:dyDescent="0.2">
      <c r="A302">
        <v>2.75</v>
      </c>
      <c r="B302">
        <f t="shared" si="8"/>
        <v>1</v>
      </c>
      <c r="C302">
        <f t="shared" si="9"/>
        <v>0</v>
      </c>
      <c r="D302" s="25">
        <v>1</v>
      </c>
      <c r="E302">
        <v>40000</v>
      </c>
      <c r="F302" s="47" t="s">
        <v>46</v>
      </c>
      <c r="H302" s="79">
        <v>275</v>
      </c>
      <c r="I302" s="79">
        <v>7.7624996934337451</v>
      </c>
      <c r="J302" s="79">
        <v>-3.7624996934337451</v>
      </c>
      <c r="K302" s="79">
        <v>-0.89464912108536165</v>
      </c>
    </row>
    <row r="303" spans="1:11" x14ac:dyDescent="0.2">
      <c r="A303">
        <v>1.6666666666666667</v>
      </c>
      <c r="B303">
        <f t="shared" si="8"/>
        <v>1</v>
      </c>
      <c r="C303">
        <f t="shared" si="9"/>
        <v>0</v>
      </c>
      <c r="D303" s="27">
        <v>1</v>
      </c>
      <c r="E303">
        <v>5000</v>
      </c>
      <c r="F303" s="50" t="s">
        <v>100</v>
      </c>
      <c r="H303" s="79">
        <v>276</v>
      </c>
      <c r="I303" s="79">
        <v>2.3339724988328978</v>
      </c>
      <c r="J303" s="79">
        <v>-0.58397249883289781</v>
      </c>
      <c r="K303" s="79">
        <v>-0.13885728249510471</v>
      </c>
    </row>
    <row r="304" spans="1:11" x14ac:dyDescent="0.2">
      <c r="A304">
        <v>25.25</v>
      </c>
      <c r="B304">
        <f t="shared" si="8"/>
        <v>1</v>
      </c>
      <c r="C304">
        <f t="shared" si="9"/>
        <v>1</v>
      </c>
      <c r="D304" s="25">
        <v>2</v>
      </c>
      <c r="E304">
        <v>60000</v>
      </c>
      <c r="F304" s="47" t="s">
        <v>290</v>
      </c>
      <c r="H304" s="79">
        <v>277</v>
      </c>
      <c r="I304" s="79">
        <v>2.3339724988328978</v>
      </c>
      <c r="J304" s="79">
        <v>0.16602750116710219</v>
      </c>
      <c r="K304" s="79">
        <v>3.9478105009382494E-2</v>
      </c>
    </row>
    <row r="305" spans="1:11" x14ac:dyDescent="0.2">
      <c r="A305">
        <v>8.6666666666666661</v>
      </c>
      <c r="B305">
        <f t="shared" si="8"/>
        <v>0</v>
      </c>
      <c r="C305">
        <f t="shared" si="9"/>
        <v>1</v>
      </c>
      <c r="D305" s="27">
        <v>1</v>
      </c>
      <c r="E305">
        <v>40000</v>
      </c>
      <c r="F305" s="50" t="s">
        <v>431</v>
      </c>
      <c r="H305" s="79">
        <v>278</v>
      </c>
      <c r="I305" s="79">
        <v>15.826401185230262</v>
      </c>
      <c r="J305" s="79">
        <v>10.173598814769738</v>
      </c>
      <c r="K305" s="79">
        <v>2.4190835825962038</v>
      </c>
    </row>
    <row r="306" spans="1:11" x14ac:dyDescent="0.2">
      <c r="A306">
        <v>4.666666666666667</v>
      </c>
      <c r="B306">
        <f t="shared" si="8"/>
        <v>1</v>
      </c>
      <c r="C306">
        <f t="shared" si="9"/>
        <v>1</v>
      </c>
      <c r="D306" s="25">
        <v>2</v>
      </c>
      <c r="E306">
        <v>60000</v>
      </c>
      <c r="F306" s="47" t="s">
        <v>246</v>
      </c>
      <c r="H306" s="79">
        <v>279</v>
      </c>
      <c r="I306" s="79">
        <v>1.831059142523578</v>
      </c>
      <c r="J306" s="79">
        <v>0.83560752414308848</v>
      </c>
      <c r="K306" s="79">
        <v>0.1986911888262971</v>
      </c>
    </row>
    <row r="307" spans="1:11" x14ac:dyDescent="0.2">
      <c r="A307">
        <v>1.25</v>
      </c>
      <c r="B307">
        <f t="shared" si="8"/>
        <v>1</v>
      </c>
      <c r="C307">
        <f t="shared" si="9"/>
        <v>0</v>
      </c>
      <c r="D307" s="27">
        <v>1</v>
      </c>
      <c r="E307">
        <v>40000</v>
      </c>
      <c r="F307" s="50" t="s">
        <v>100</v>
      </c>
      <c r="H307" s="79">
        <v>280</v>
      </c>
      <c r="I307" s="79">
        <v>2.6213515595810803</v>
      </c>
      <c r="J307" s="79">
        <v>4.3786484404189192</v>
      </c>
      <c r="K307" s="79">
        <v>1.0411572884907019</v>
      </c>
    </row>
    <row r="308" spans="1:11" x14ac:dyDescent="0.2">
      <c r="A308">
        <v>16</v>
      </c>
      <c r="B308">
        <f t="shared" si="8"/>
        <v>1</v>
      </c>
      <c r="C308">
        <f t="shared" si="9"/>
        <v>1</v>
      </c>
      <c r="D308" s="25">
        <v>2</v>
      </c>
      <c r="E308">
        <v>40000</v>
      </c>
      <c r="F308" s="47" t="s">
        <v>290</v>
      </c>
      <c r="H308" s="79">
        <v>281</v>
      </c>
      <c r="I308" s="79">
        <v>1.831059142523578</v>
      </c>
      <c r="J308" s="79">
        <v>0.66894085747642196</v>
      </c>
      <c r="K308" s="79">
        <v>0.15906110271418888</v>
      </c>
    </row>
    <row r="309" spans="1:11" x14ac:dyDescent="0.2">
      <c r="A309">
        <v>9.75</v>
      </c>
      <c r="B309">
        <f t="shared" si="8"/>
        <v>0</v>
      </c>
      <c r="C309">
        <f t="shared" si="9"/>
        <v>1</v>
      </c>
      <c r="D309" s="27">
        <v>1</v>
      </c>
      <c r="E309">
        <v>40000</v>
      </c>
      <c r="F309" s="50" t="s">
        <v>431</v>
      </c>
      <c r="H309" s="79">
        <v>282</v>
      </c>
      <c r="I309" s="79">
        <v>2.0465934380847148</v>
      </c>
      <c r="J309" s="79">
        <v>-1.4465934380847147</v>
      </c>
      <c r="K309" s="79">
        <v>-0.34397173512304802</v>
      </c>
    </row>
    <row r="310" spans="1:11" x14ac:dyDescent="0.2">
      <c r="A310">
        <v>1</v>
      </c>
      <c r="B310">
        <f t="shared" si="8"/>
        <v>1</v>
      </c>
      <c r="C310">
        <f t="shared" si="9"/>
        <v>0</v>
      </c>
      <c r="D310" s="25">
        <v>1</v>
      </c>
      <c r="E310">
        <v>20000</v>
      </c>
      <c r="F310" s="47" t="s">
        <v>100</v>
      </c>
      <c r="H310" s="79">
        <v>283</v>
      </c>
      <c r="I310" s="79">
        <v>14.892419237798668</v>
      </c>
      <c r="J310" s="79">
        <v>3.1075807622013318</v>
      </c>
      <c r="K310" s="79">
        <v>0.73892215923821891</v>
      </c>
    </row>
    <row r="311" spans="1:11" x14ac:dyDescent="0.2">
      <c r="A311">
        <v>7.5</v>
      </c>
      <c r="B311">
        <f t="shared" si="8"/>
        <v>1</v>
      </c>
      <c r="C311">
        <f t="shared" si="9"/>
        <v>1</v>
      </c>
      <c r="D311" s="27">
        <v>2</v>
      </c>
      <c r="E311">
        <v>60000</v>
      </c>
      <c r="F311" s="50" t="s">
        <v>246</v>
      </c>
      <c r="H311" s="79">
        <v>284</v>
      </c>
      <c r="I311" s="79">
        <v>1.831059142523578</v>
      </c>
      <c r="J311" s="79">
        <v>-3.1059142523577998E-2</v>
      </c>
      <c r="K311" s="79">
        <v>-7.3852589566658381E-3</v>
      </c>
    </row>
    <row r="312" spans="1:11" x14ac:dyDescent="0.2">
      <c r="A312">
        <v>3.3333333333333335</v>
      </c>
      <c r="B312">
        <f t="shared" si="8"/>
        <v>1</v>
      </c>
      <c r="C312">
        <f t="shared" si="9"/>
        <v>0</v>
      </c>
      <c r="D312" s="25">
        <v>1</v>
      </c>
      <c r="E312">
        <v>40000</v>
      </c>
      <c r="F312" s="47" t="s">
        <v>46</v>
      </c>
      <c r="H312" s="79">
        <v>285</v>
      </c>
      <c r="I312" s="79">
        <v>7.7624996934337451</v>
      </c>
      <c r="J312" s="79">
        <v>0.5708336398995888</v>
      </c>
      <c r="K312" s="79">
        <v>0.13573311782945344</v>
      </c>
    </row>
    <row r="313" spans="1:11" x14ac:dyDescent="0.2">
      <c r="A313">
        <v>5.2</v>
      </c>
      <c r="B313">
        <f t="shared" si="8"/>
        <v>1</v>
      </c>
      <c r="C313">
        <f t="shared" si="9"/>
        <v>1</v>
      </c>
      <c r="D313" s="27">
        <v>2</v>
      </c>
      <c r="E313">
        <v>40000</v>
      </c>
      <c r="F313" s="50" t="s">
        <v>246</v>
      </c>
      <c r="H313" s="79">
        <v>286</v>
      </c>
      <c r="I313" s="79">
        <v>11.468550266965616</v>
      </c>
      <c r="J313" s="79">
        <v>-6.2685502669656161</v>
      </c>
      <c r="K313" s="79">
        <v>-1.4905391212675598</v>
      </c>
    </row>
    <row r="314" spans="1:11" x14ac:dyDescent="0.2">
      <c r="A314">
        <v>17.8</v>
      </c>
      <c r="B314">
        <f t="shared" si="8"/>
        <v>1</v>
      </c>
      <c r="C314">
        <f t="shared" si="9"/>
        <v>1</v>
      </c>
      <c r="D314" s="25">
        <v>2</v>
      </c>
      <c r="E314">
        <v>40000</v>
      </c>
      <c r="F314" s="47" t="s">
        <v>290</v>
      </c>
      <c r="H314" s="79">
        <v>287</v>
      </c>
      <c r="I314" s="79">
        <v>2.3339724988328978</v>
      </c>
      <c r="J314" s="79">
        <v>-0.33397249883289781</v>
      </c>
      <c r="K314" s="79">
        <v>-7.9412153326942306E-2</v>
      </c>
    </row>
    <row r="315" spans="1:11" x14ac:dyDescent="0.2">
      <c r="A315">
        <v>2</v>
      </c>
      <c r="B315">
        <f t="shared" si="8"/>
        <v>1</v>
      </c>
      <c r="C315">
        <f t="shared" si="9"/>
        <v>0</v>
      </c>
      <c r="D315" s="27">
        <v>1</v>
      </c>
      <c r="E315">
        <v>5000</v>
      </c>
      <c r="F315" s="50" t="s">
        <v>100</v>
      </c>
      <c r="H315" s="79">
        <v>288</v>
      </c>
      <c r="I315" s="79">
        <v>11.181171206217435</v>
      </c>
      <c r="J315" s="79">
        <v>4.1521621271158988</v>
      </c>
      <c r="K315" s="79">
        <v>0.98730325589422618</v>
      </c>
    </row>
    <row r="316" spans="1:11" x14ac:dyDescent="0.2">
      <c r="A316">
        <v>2.75</v>
      </c>
      <c r="B316">
        <f t="shared" si="8"/>
        <v>1</v>
      </c>
      <c r="C316">
        <f t="shared" si="9"/>
        <v>0</v>
      </c>
      <c r="D316" s="25">
        <v>1</v>
      </c>
      <c r="E316">
        <v>40000</v>
      </c>
      <c r="F316" s="47" t="s">
        <v>46</v>
      </c>
      <c r="H316" s="79">
        <v>289</v>
      </c>
      <c r="I316" s="79">
        <v>1.831059142523578</v>
      </c>
      <c r="J316" s="79">
        <v>0.83560752414308848</v>
      </c>
      <c r="K316" s="79">
        <v>0.1986911888262971</v>
      </c>
    </row>
    <row r="317" spans="1:11" x14ac:dyDescent="0.2">
      <c r="A317">
        <v>1</v>
      </c>
      <c r="B317">
        <f t="shared" si="8"/>
        <v>1</v>
      </c>
      <c r="C317">
        <f t="shared" si="9"/>
        <v>0</v>
      </c>
      <c r="D317" s="27">
        <v>1</v>
      </c>
      <c r="E317">
        <v>20000</v>
      </c>
      <c r="F317" s="50" t="s">
        <v>100</v>
      </c>
      <c r="H317" s="79">
        <v>290</v>
      </c>
      <c r="I317" s="79">
        <v>11.181171206217435</v>
      </c>
      <c r="J317" s="79">
        <v>-5.7811712062174347</v>
      </c>
      <c r="K317" s="79">
        <v>-1.3746498763874266</v>
      </c>
    </row>
    <row r="318" spans="1:11" x14ac:dyDescent="0.2">
      <c r="A318">
        <v>17.8</v>
      </c>
      <c r="B318">
        <f t="shared" si="8"/>
        <v>1</v>
      </c>
      <c r="C318">
        <f t="shared" si="9"/>
        <v>1</v>
      </c>
      <c r="D318" s="25">
        <v>2</v>
      </c>
      <c r="E318">
        <v>60000</v>
      </c>
      <c r="F318" s="47" t="s">
        <v>290</v>
      </c>
      <c r="H318" s="79">
        <v>291</v>
      </c>
      <c r="I318" s="79">
        <v>2.3339724988328978</v>
      </c>
      <c r="J318" s="79">
        <v>6.6027501167102098E-2</v>
      </c>
      <c r="K318" s="79">
        <v>1.570005334211751E-2</v>
      </c>
    </row>
    <row r="319" spans="1:11" x14ac:dyDescent="0.2">
      <c r="A319">
        <v>6.5</v>
      </c>
      <c r="B319">
        <f t="shared" si="8"/>
        <v>0</v>
      </c>
      <c r="C319">
        <f t="shared" si="9"/>
        <v>1</v>
      </c>
      <c r="D319" s="27">
        <v>1</v>
      </c>
      <c r="E319">
        <v>60000</v>
      </c>
      <c r="F319" s="50" t="s">
        <v>431</v>
      </c>
      <c r="H319" s="79">
        <v>292</v>
      </c>
      <c r="I319" s="79">
        <v>1.831059142523578</v>
      </c>
      <c r="J319" s="79">
        <v>-0.63105914252357809</v>
      </c>
      <c r="K319" s="79">
        <v>-0.15005356896025562</v>
      </c>
    </row>
    <row r="320" spans="1:11" x14ac:dyDescent="0.2">
      <c r="A320">
        <v>1.5</v>
      </c>
      <c r="B320">
        <f t="shared" si="8"/>
        <v>1</v>
      </c>
      <c r="C320">
        <f t="shared" si="9"/>
        <v>0</v>
      </c>
      <c r="D320" s="25">
        <v>1</v>
      </c>
      <c r="E320">
        <v>20000</v>
      </c>
      <c r="F320" s="47" t="s">
        <v>46</v>
      </c>
      <c r="H320" s="79">
        <v>293</v>
      </c>
      <c r="I320" s="79">
        <v>11.181171206217435</v>
      </c>
      <c r="J320" s="79">
        <v>4.485495460449231</v>
      </c>
      <c r="K320" s="79">
        <v>1.0665634281184424</v>
      </c>
    </row>
    <row r="321" spans="1:11" x14ac:dyDescent="0.2">
      <c r="A321">
        <v>5.6</v>
      </c>
      <c r="B321">
        <f t="shared" si="8"/>
        <v>1</v>
      </c>
      <c r="C321">
        <f t="shared" si="9"/>
        <v>1</v>
      </c>
      <c r="D321" s="27">
        <v>2</v>
      </c>
      <c r="E321">
        <v>40000</v>
      </c>
      <c r="F321" s="50" t="s">
        <v>246</v>
      </c>
      <c r="H321" s="79">
        <v>294</v>
      </c>
      <c r="I321" s="79">
        <v>7.7624996934337451</v>
      </c>
      <c r="J321" s="79">
        <v>-1.2624996934337451</v>
      </c>
      <c r="K321" s="79">
        <v>-0.30019782940373763</v>
      </c>
    </row>
    <row r="322" spans="1:11" x14ac:dyDescent="0.2">
      <c r="A322">
        <v>2</v>
      </c>
      <c r="B322">
        <f t="shared" si="8"/>
        <v>1</v>
      </c>
      <c r="C322">
        <f t="shared" si="9"/>
        <v>0</v>
      </c>
      <c r="D322" s="25">
        <v>1</v>
      </c>
      <c r="E322">
        <v>40000</v>
      </c>
      <c r="F322" s="47" t="s">
        <v>46</v>
      </c>
      <c r="H322" s="79">
        <v>295</v>
      </c>
      <c r="I322" s="79">
        <v>11.468550266965616</v>
      </c>
      <c r="J322" s="79">
        <v>-5.6685502669656165</v>
      </c>
      <c r="K322" s="79">
        <v>-1.3478708112639701</v>
      </c>
    </row>
    <row r="323" spans="1:11" x14ac:dyDescent="0.2">
      <c r="A323">
        <v>0.75</v>
      </c>
      <c r="B323">
        <f t="shared" ref="B323:B386" si="10">IF(ISNUMBER(SEARCH("bike",F323))+ISNUMBER(SEARCH("scooty",F323))&gt;0,1,0)</f>
        <v>1</v>
      </c>
      <c r="C323">
        <f t="shared" ref="C323:C386" si="11">IF(ISNUMBER(SEARCH("car",F323))+ISNUMBER(SEARCH("Commercial vehicle",F323))&gt;0,1,0)</f>
        <v>0</v>
      </c>
      <c r="D323" s="27">
        <v>1</v>
      </c>
      <c r="E323">
        <v>5000</v>
      </c>
      <c r="F323" s="50" t="s">
        <v>1498</v>
      </c>
      <c r="H323" s="79">
        <v>296</v>
      </c>
      <c r="I323" s="79">
        <v>1.831059142523578</v>
      </c>
      <c r="J323" s="79">
        <v>0.41894085747642196</v>
      </c>
      <c r="K323" s="79">
        <v>9.9615973546026471E-2</v>
      </c>
    </row>
    <row r="324" spans="1:11" x14ac:dyDescent="0.2">
      <c r="A324">
        <v>6</v>
      </c>
      <c r="B324">
        <f t="shared" si="10"/>
        <v>1</v>
      </c>
      <c r="C324">
        <f t="shared" si="11"/>
        <v>0</v>
      </c>
      <c r="D324" s="25">
        <v>1</v>
      </c>
      <c r="E324">
        <v>20000</v>
      </c>
      <c r="F324" s="47" t="s">
        <v>46</v>
      </c>
      <c r="H324" s="79">
        <v>297</v>
      </c>
      <c r="I324" s="79">
        <v>11.468550266965616</v>
      </c>
      <c r="J324" s="79">
        <v>7.1314497330343851</v>
      </c>
      <c r="K324" s="79">
        <v>1.6957198021459452</v>
      </c>
    </row>
    <row r="325" spans="1:11" x14ac:dyDescent="0.2">
      <c r="A325">
        <v>23.5</v>
      </c>
      <c r="B325">
        <f t="shared" si="10"/>
        <v>1</v>
      </c>
      <c r="C325">
        <f t="shared" si="11"/>
        <v>1</v>
      </c>
      <c r="D325" s="27">
        <v>2</v>
      </c>
      <c r="E325">
        <v>40000</v>
      </c>
      <c r="F325" s="50" t="s">
        <v>290</v>
      </c>
      <c r="H325" s="79">
        <v>298</v>
      </c>
      <c r="I325" s="79">
        <v>7.7624996934337451</v>
      </c>
      <c r="J325" s="79">
        <v>1.2375003065662549</v>
      </c>
      <c r="K325" s="79">
        <v>0.29425346227788635</v>
      </c>
    </row>
    <row r="326" spans="1:11" x14ac:dyDescent="0.2">
      <c r="A326">
        <v>1.25</v>
      </c>
      <c r="B326">
        <f t="shared" si="10"/>
        <v>1</v>
      </c>
      <c r="C326">
        <f t="shared" si="11"/>
        <v>0</v>
      </c>
      <c r="D326" s="25">
        <v>1</v>
      </c>
      <c r="E326">
        <v>40000</v>
      </c>
      <c r="F326" s="47" t="s">
        <v>100</v>
      </c>
      <c r="H326" s="79">
        <v>299</v>
      </c>
      <c r="I326" s="79">
        <v>2.0465934380847148</v>
      </c>
      <c r="J326" s="79">
        <v>-1.2465934380847148</v>
      </c>
      <c r="K326" s="79">
        <v>-0.2964156317885181</v>
      </c>
    </row>
    <row r="327" spans="1:11" x14ac:dyDescent="0.2">
      <c r="A327">
        <v>7.25</v>
      </c>
      <c r="B327">
        <f t="shared" si="10"/>
        <v>1</v>
      </c>
      <c r="C327">
        <f t="shared" si="11"/>
        <v>1</v>
      </c>
      <c r="D327" s="27">
        <v>2</v>
      </c>
      <c r="E327">
        <v>60000</v>
      </c>
      <c r="F327" s="50" t="s">
        <v>246</v>
      </c>
      <c r="H327" s="79">
        <v>300</v>
      </c>
      <c r="I327" s="79">
        <v>11.468550266965616</v>
      </c>
      <c r="J327" s="79">
        <v>-4.2185502669656163</v>
      </c>
      <c r="K327" s="79">
        <v>-1.0030890620886281</v>
      </c>
    </row>
    <row r="328" spans="1:11" x14ac:dyDescent="0.2">
      <c r="A328">
        <v>2</v>
      </c>
      <c r="B328">
        <f t="shared" si="10"/>
        <v>1</v>
      </c>
      <c r="C328">
        <f t="shared" si="11"/>
        <v>0</v>
      </c>
      <c r="D328" s="25">
        <v>1</v>
      </c>
      <c r="E328">
        <v>5000</v>
      </c>
      <c r="F328" s="47" t="s">
        <v>46</v>
      </c>
      <c r="H328" s="79">
        <v>301</v>
      </c>
      <c r="I328" s="79">
        <v>2.3339724988328978</v>
      </c>
      <c r="J328" s="79">
        <v>0.41602750116710219</v>
      </c>
      <c r="K328" s="79">
        <v>9.8923234177544894E-2</v>
      </c>
    </row>
    <row r="329" spans="1:11" x14ac:dyDescent="0.2">
      <c r="A329">
        <v>6</v>
      </c>
      <c r="B329">
        <f t="shared" si="10"/>
        <v>0</v>
      </c>
      <c r="C329">
        <f t="shared" si="11"/>
        <v>1</v>
      </c>
      <c r="D329" s="27">
        <v>1</v>
      </c>
      <c r="E329">
        <v>40000</v>
      </c>
      <c r="F329" s="50" t="s">
        <v>431</v>
      </c>
      <c r="H329" s="79">
        <v>302</v>
      </c>
      <c r="I329" s="79">
        <v>1.831059142523578</v>
      </c>
      <c r="J329" s="79">
        <v>-0.1643924758569113</v>
      </c>
      <c r="K329" s="79">
        <v>-3.9089327846352447E-2</v>
      </c>
    </row>
    <row r="330" spans="1:11" x14ac:dyDescent="0.2">
      <c r="A330">
        <v>1.3333333333333333</v>
      </c>
      <c r="B330">
        <f t="shared" si="10"/>
        <v>1</v>
      </c>
      <c r="C330">
        <f t="shared" si="11"/>
        <v>0</v>
      </c>
      <c r="D330" s="25">
        <v>1</v>
      </c>
      <c r="E330">
        <v>20000</v>
      </c>
      <c r="F330" s="47" t="s">
        <v>1498</v>
      </c>
      <c r="H330" s="79">
        <v>303</v>
      </c>
      <c r="I330" s="79">
        <v>11.468550266965616</v>
      </c>
      <c r="J330" s="79">
        <v>13.781449733034384</v>
      </c>
      <c r="K330" s="79">
        <v>3.2769602380190648</v>
      </c>
    </row>
    <row r="331" spans="1:11" x14ac:dyDescent="0.2">
      <c r="A331">
        <v>9.3333333333333339</v>
      </c>
      <c r="B331">
        <f t="shared" si="10"/>
        <v>0</v>
      </c>
      <c r="C331">
        <f t="shared" si="11"/>
        <v>1</v>
      </c>
      <c r="D331" s="27">
        <v>1</v>
      </c>
      <c r="E331">
        <v>40000</v>
      </c>
      <c r="F331" s="50" t="s">
        <v>431</v>
      </c>
      <c r="H331" s="79">
        <v>304</v>
      </c>
      <c r="I331" s="79">
        <v>7.7624996934337451</v>
      </c>
      <c r="J331" s="79">
        <v>0.90416697323292095</v>
      </c>
      <c r="K331" s="79">
        <v>0.21499329005366968</v>
      </c>
    </row>
    <row r="332" spans="1:11" x14ac:dyDescent="0.2">
      <c r="A332">
        <v>2.25</v>
      </c>
      <c r="B332">
        <f t="shared" si="10"/>
        <v>1</v>
      </c>
      <c r="C332">
        <f t="shared" si="11"/>
        <v>0</v>
      </c>
      <c r="D332" s="25">
        <v>1</v>
      </c>
      <c r="E332">
        <v>40000</v>
      </c>
      <c r="F332" s="47" t="s">
        <v>100</v>
      </c>
      <c r="H332" s="79">
        <v>305</v>
      </c>
      <c r="I332" s="79">
        <v>11.468550266965616</v>
      </c>
      <c r="J332" s="79">
        <v>-6.8018836002989493</v>
      </c>
      <c r="K332" s="79">
        <v>-1.6173553968263061</v>
      </c>
    </row>
    <row r="333" spans="1:11" x14ac:dyDescent="0.2">
      <c r="A333">
        <v>5.6</v>
      </c>
      <c r="B333">
        <f t="shared" si="10"/>
        <v>1</v>
      </c>
      <c r="C333">
        <f t="shared" si="11"/>
        <v>1</v>
      </c>
      <c r="D333" s="27">
        <v>2</v>
      </c>
      <c r="E333">
        <v>40000</v>
      </c>
      <c r="F333" s="50" t="s">
        <v>246</v>
      </c>
      <c r="H333" s="79">
        <v>306</v>
      </c>
      <c r="I333" s="79">
        <v>2.3339724988328978</v>
      </c>
      <c r="J333" s="79">
        <v>-1.0839724988328978</v>
      </c>
      <c r="K333" s="79">
        <v>-0.25774754083142953</v>
      </c>
    </row>
    <row r="334" spans="1:11" x14ac:dyDescent="0.2">
      <c r="A334">
        <v>1</v>
      </c>
      <c r="B334">
        <f t="shared" si="10"/>
        <v>1</v>
      </c>
      <c r="C334">
        <f t="shared" si="11"/>
        <v>0</v>
      </c>
      <c r="D334" s="25">
        <v>1</v>
      </c>
      <c r="E334">
        <v>5000</v>
      </c>
      <c r="F334" s="47" t="s">
        <v>100</v>
      </c>
      <c r="H334" s="79">
        <v>307</v>
      </c>
      <c r="I334" s="79">
        <v>11.181171206217435</v>
      </c>
      <c r="J334" s="79">
        <v>4.8188287937825649</v>
      </c>
      <c r="K334" s="79">
        <v>1.1458236003426592</v>
      </c>
    </row>
    <row r="335" spans="1:11" x14ac:dyDescent="0.2">
      <c r="A335">
        <v>23.25</v>
      </c>
      <c r="B335">
        <f t="shared" si="10"/>
        <v>1</v>
      </c>
      <c r="C335">
        <f t="shared" si="11"/>
        <v>1</v>
      </c>
      <c r="D335" s="27">
        <v>2</v>
      </c>
      <c r="E335">
        <v>40000</v>
      </c>
      <c r="F335" s="50" t="s">
        <v>290</v>
      </c>
      <c r="H335" s="79">
        <v>308</v>
      </c>
      <c r="I335" s="79">
        <v>7.7624996934337451</v>
      </c>
      <c r="J335" s="79">
        <v>1.9875003065662549</v>
      </c>
      <c r="K335" s="79">
        <v>0.47258884978237353</v>
      </c>
    </row>
    <row r="336" spans="1:11" x14ac:dyDescent="0.2">
      <c r="A336">
        <v>2.25</v>
      </c>
      <c r="B336">
        <f t="shared" si="10"/>
        <v>1</v>
      </c>
      <c r="C336">
        <f t="shared" si="11"/>
        <v>0</v>
      </c>
      <c r="D336" s="25">
        <v>1</v>
      </c>
      <c r="E336">
        <v>20000</v>
      </c>
      <c r="F336" s="47" t="s">
        <v>46</v>
      </c>
      <c r="H336" s="79">
        <v>309</v>
      </c>
      <c r="I336" s="79">
        <v>2.0465934380847148</v>
      </c>
      <c r="J336" s="79">
        <v>-1.0465934380847148</v>
      </c>
      <c r="K336" s="79">
        <v>-0.2488595284539882</v>
      </c>
    </row>
    <row r="337" spans="1:11" x14ac:dyDescent="0.2">
      <c r="A337">
        <v>6</v>
      </c>
      <c r="B337">
        <f t="shared" si="10"/>
        <v>0</v>
      </c>
      <c r="C337">
        <f t="shared" si="11"/>
        <v>1</v>
      </c>
      <c r="D337" s="27">
        <v>1</v>
      </c>
      <c r="E337">
        <v>60000</v>
      </c>
      <c r="F337" s="50" t="s">
        <v>431</v>
      </c>
      <c r="H337" s="79">
        <v>310</v>
      </c>
      <c r="I337" s="79">
        <v>11.468550266965616</v>
      </c>
      <c r="J337" s="79">
        <v>-3.9685502669656163</v>
      </c>
      <c r="K337" s="79">
        <v>-0.94364393292046578</v>
      </c>
    </row>
    <row r="338" spans="1:11" x14ac:dyDescent="0.2">
      <c r="A338">
        <v>1.6</v>
      </c>
      <c r="B338">
        <f t="shared" si="10"/>
        <v>1</v>
      </c>
      <c r="C338">
        <f t="shared" si="11"/>
        <v>0</v>
      </c>
      <c r="D338" s="25">
        <v>1</v>
      </c>
      <c r="E338">
        <v>5000</v>
      </c>
      <c r="F338" s="47" t="s">
        <v>46</v>
      </c>
      <c r="H338" s="79">
        <v>311</v>
      </c>
      <c r="I338" s="79">
        <v>2.3339724988328978</v>
      </c>
      <c r="J338" s="79">
        <v>0.99936083450043567</v>
      </c>
      <c r="K338" s="79">
        <v>0.23762853556992386</v>
      </c>
    </row>
    <row r="339" spans="1:11" x14ac:dyDescent="0.2">
      <c r="A339">
        <v>18.399999999999999</v>
      </c>
      <c r="B339">
        <f t="shared" si="10"/>
        <v>1</v>
      </c>
      <c r="C339">
        <f t="shared" si="11"/>
        <v>1</v>
      </c>
      <c r="D339" s="27">
        <v>2</v>
      </c>
      <c r="E339">
        <v>60000</v>
      </c>
      <c r="F339" s="50" t="s">
        <v>290</v>
      </c>
      <c r="H339" s="79">
        <v>312</v>
      </c>
      <c r="I339" s="79">
        <v>11.181171206217435</v>
      </c>
      <c r="J339" s="79">
        <v>-5.9811712062174349</v>
      </c>
      <c r="K339" s="79">
        <v>-1.4222059797219566</v>
      </c>
    </row>
    <row r="340" spans="1:11" x14ac:dyDescent="0.2">
      <c r="A340">
        <v>5.6</v>
      </c>
      <c r="B340">
        <f t="shared" si="10"/>
        <v>1</v>
      </c>
      <c r="C340">
        <f t="shared" si="11"/>
        <v>0</v>
      </c>
      <c r="D340" s="25">
        <v>1</v>
      </c>
      <c r="E340">
        <v>40000</v>
      </c>
      <c r="F340" s="47" t="s">
        <v>46</v>
      </c>
      <c r="H340" s="79">
        <v>313</v>
      </c>
      <c r="I340" s="79">
        <v>11.181171206217435</v>
      </c>
      <c r="J340" s="79">
        <v>6.6188287937825656</v>
      </c>
      <c r="K340" s="79">
        <v>1.5738285303534285</v>
      </c>
    </row>
    <row r="341" spans="1:11" x14ac:dyDescent="0.2">
      <c r="A341">
        <v>0.6</v>
      </c>
      <c r="B341">
        <f t="shared" si="10"/>
        <v>1</v>
      </c>
      <c r="C341">
        <f t="shared" si="11"/>
        <v>0</v>
      </c>
      <c r="D341" s="27">
        <v>1</v>
      </c>
      <c r="E341">
        <v>5000</v>
      </c>
      <c r="F341" s="50" t="s">
        <v>100</v>
      </c>
      <c r="H341" s="79">
        <v>314</v>
      </c>
      <c r="I341" s="79">
        <v>1.831059142523578</v>
      </c>
      <c r="J341" s="79">
        <v>0.16894085747642196</v>
      </c>
      <c r="K341" s="79">
        <v>4.0170844377864071E-2</v>
      </c>
    </row>
    <row r="342" spans="1:11" x14ac:dyDescent="0.2">
      <c r="A342">
        <v>7.25</v>
      </c>
      <c r="B342">
        <f t="shared" si="10"/>
        <v>1</v>
      </c>
      <c r="C342">
        <f t="shared" si="11"/>
        <v>1</v>
      </c>
      <c r="D342" s="25">
        <v>2</v>
      </c>
      <c r="E342">
        <v>40000</v>
      </c>
      <c r="F342" s="47" t="s">
        <v>246</v>
      </c>
      <c r="H342" s="79">
        <v>315</v>
      </c>
      <c r="I342" s="79">
        <v>2.3339724988328978</v>
      </c>
      <c r="J342" s="79">
        <v>0.41602750116710219</v>
      </c>
      <c r="K342" s="79">
        <v>9.8923234177544894E-2</v>
      </c>
    </row>
    <row r="343" spans="1:11" x14ac:dyDescent="0.2">
      <c r="A343">
        <v>1</v>
      </c>
      <c r="B343">
        <f t="shared" si="10"/>
        <v>1</v>
      </c>
      <c r="C343">
        <f t="shared" si="11"/>
        <v>0</v>
      </c>
      <c r="D343" s="27">
        <v>1</v>
      </c>
      <c r="E343">
        <v>40000</v>
      </c>
      <c r="F343" s="50" t="s">
        <v>46</v>
      </c>
      <c r="H343" s="79">
        <v>316</v>
      </c>
      <c r="I343" s="79">
        <v>2.0465934380847148</v>
      </c>
      <c r="J343" s="79">
        <v>-1.0465934380847148</v>
      </c>
      <c r="K343" s="79">
        <v>-0.2488595284539882</v>
      </c>
    </row>
    <row r="344" spans="1:11" x14ac:dyDescent="0.2">
      <c r="A344">
        <v>2.5</v>
      </c>
      <c r="B344">
        <f t="shared" si="10"/>
        <v>1</v>
      </c>
      <c r="C344">
        <f t="shared" si="11"/>
        <v>0</v>
      </c>
      <c r="D344" s="25">
        <v>1</v>
      </c>
      <c r="E344">
        <v>40000</v>
      </c>
      <c r="F344" s="47" t="s">
        <v>100</v>
      </c>
      <c r="H344" s="79">
        <v>317</v>
      </c>
      <c r="I344" s="79">
        <v>11.468550266965616</v>
      </c>
      <c r="J344" s="79">
        <v>6.3314497330343844</v>
      </c>
      <c r="K344" s="79">
        <v>1.5054953888078253</v>
      </c>
    </row>
    <row r="345" spans="1:11" x14ac:dyDescent="0.2">
      <c r="A345">
        <v>21.25</v>
      </c>
      <c r="B345">
        <f t="shared" si="10"/>
        <v>0</v>
      </c>
      <c r="C345">
        <f t="shared" si="11"/>
        <v>1</v>
      </c>
      <c r="D345" s="27">
        <v>1</v>
      </c>
      <c r="E345">
        <v>60000</v>
      </c>
      <c r="F345" s="50" t="s">
        <v>988</v>
      </c>
      <c r="H345" s="79">
        <v>318</v>
      </c>
      <c r="I345" s="79">
        <v>8.0498787541819272</v>
      </c>
      <c r="J345" s="79">
        <v>-1.5498787541819272</v>
      </c>
      <c r="K345" s="79">
        <v>-0.36853097094934112</v>
      </c>
    </row>
    <row r="346" spans="1:11" x14ac:dyDescent="0.2">
      <c r="A346">
        <v>7.25</v>
      </c>
      <c r="B346">
        <f t="shared" si="10"/>
        <v>1</v>
      </c>
      <c r="C346">
        <f t="shared" si="11"/>
        <v>1</v>
      </c>
      <c r="D346" s="25">
        <v>2</v>
      </c>
      <c r="E346">
        <v>40000</v>
      </c>
      <c r="F346" s="47" t="s">
        <v>246</v>
      </c>
      <c r="H346" s="79">
        <v>319</v>
      </c>
      <c r="I346" s="79">
        <v>2.0465934380847148</v>
      </c>
      <c r="J346" s="79">
        <v>-0.54659343808471483</v>
      </c>
      <c r="K346" s="79">
        <v>-0.1299692701176634</v>
      </c>
    </row>
    <row r="347" spans="1:11" x14ac:dyDescent="0.2">
      <c r="A347">
        <v>0.8</v>
      </c>
      <c r="B347">
        <f t="shared" si="10"/>
        <v>1</v>
      </c>
      <c r="C347">
        <f t="shared" si="11"/>
        <v>0</v>
      </c>
      <c r="D347" s="27">
        <v>1</v>
      </c>
      <c r="E347">
        <v>20000</v>
      </c>
      <c r="F347" s="50" t="s">
        <v>100</v>
      </c>
      <c r="H347" s="79">
        <v>320</v>
      </c>
      <c r="I347" s="79">
        <v>11.181171206217435</v>
      </c>
      <c r="J347" s="79">
        <v>-5.5811712062174355</v>
      </c>
      <c r="K347" s="79">
        <v>-1.3270937730528969</v>
      </c>
    </row>
    <row r="348" spans="1:11" x14ac:dyDescent="0.2">
      <c r="A348">
        <v>2.4</v>
      </c>
      <c r="B348">
        <f t="shared" si="10"/>
        <v>1</v>
      </c>
      <c r="C348">
        <f t="shared" si="11"/>
        <v>0</v>
      </c>
      <c r="D348" s="25">
        <v>1</v>
      </c>
      <c r="E348">
        <v>40000</v>
      </c>
      <c r="F348" s="47" t="s">
        <v>46</v>
      </c>
      <c r="H348" s="79">
        <v>321</v>
      </c>
      <c r="I348" s="79">
        <v>2.3339724988328978</v>
      </c>
      <c r="J348" s="79">
        <v>-0.33397249883289781</v>
      </c>
      <c r="K348" s="79">
        <v>-7.9412153326942306E-2</v>
      </c>
    </row>
    <row r="349" spans="1:11" x14ac:dyDescent="0.2">
      <c r="A349">
        <v>5.75</v>
      </c>
      <c r="B349">
        <f t="shared" si="10"/>
        <v>1</v>
      </c>
      <c r="C349">
        <f t="shared" si="11"/>
        <v>1</v>
      </c>
      <c r="D349" s="27">
        <v>2</v>
      </c>
      <c r="E349">
        <v>60000</v>
      </c>
      <c r="F349" s="50" t="s">
        <v>246</v>
      </c>
      <c r="H349" s="79">
        <v>322</v>
      </c>
      <c r="I349" s="79">
        <v>1.831059142523578</v>
      </c>
      <c r="J349" s="79">
        <v>-1.081059142523578</v>
      </c>
      <c r="K349" s="79">
        <v>-0.2570548014629479</v>
      </c>
    </row>
    <row r="350" spans="1:11" x14ac:dyDescent="0.2">
      <c r="A350">
        <v>0.8</v>
      </c>
      <c r="B350">
        <f t="shared" si="10"/>
        <v>1</v>
      </c>
      <c r="C350">
        <f t="shared" si="11"/>
        <v>0</v>
      </c>
      <c r="D350" s="25">
        <v>1</v>
      </c>
      <c r="E350">
        <v>5000</v>
      </c>
      <c r="F350" s="47" t="s">
        <v>100</v>
      </c>
      <c r="H350" s="79">
        <v>323</v>
      </c>
      <c r="I350" s="79">
        <v>2.0465934380847148</v>
      </c>
      <c r="J350" s="79">
        <v>3.9534065619152852</v>
      </c>
      <c r="K350" s="79">
        <v>0.94004305490925977</v>
      </c>
    </row>
    <row r="351" spans="1:11" x14ac:dyDescent="0.2">
      <c r="A351">
        <v>18</v>
      </c>
      <c r="B351">
        <f t="shared" si="10"/>
        <v>0</v>
      </c>
      <c r="C351">
        <f t="shared" si="11"/>
        <v>1</v>
      </c>
      <c r="D351" s="27">
        <v>1</v>
      </c>
      <c r="E351">
        <v>40000</v>
      </c>
      <c r="F351" s="50" t="s">
        <v>988</v>
      </c>
      <c r="H351" s="79">
        <v>324</v>
      </c>
      <c r="I351" s="79">
        <v>11.181171206217435</v>
      </c>
      <c r="J351" s="79">
        <v>12.318828793782565</v>
      </c>
      <c r="K351" s="79">
        <v>2.9291774753875313</v>
      </c>
    </row>
    <row r="352" spans="1:11" x14ac:dyDescent="0.2">
      <c r="A352">
        <v>1.6666666666666667</v>
      </c>
      <c r="B352">
        <f t="shared" si="10"/>
        <v>1</v>
      </c>
      <c r="C352">
        <f t="shared" si="11"/>
        <v>0</v>
      </c>
      <c r="D352" s="25">
        <v>2</v>
      </c>
      <c r="E352">
        <v>40000</v>
      </c>
      <c r="F352" s="47" t="s">
        <v>1102</v>
      </c>
      <c r="H352" s="79">
        <v>325</v>
      </c>
      <c r="I352" s="79">
        <v>2.3339724988328978</v>
      </c>
      <c r="J352" s="79">
        <v>-1.0839724988328978</v>
      </c>
      <c r="K352" s="79">
        <v>-0.25774754083142953</v>
      </c>
    </row>
    <row r="353" spans="1:11" x14ac:dyDescent="0.2">
      <c r="A353">
        <v>2</v>
      </c>
      <c r="B353">
        <f t="shared" si="10"/>
        <v>1</v>
      </c>
      <c r="C353">
        <f t="shared" si="11"/>
        <v>0</v>
      </c>
      <c r="D353" s="27">
        <v>1</v>
      </c>
      <c r="E353">
        <v>20000</v>
      </c>
      <c r="F353" s="50" t="s">
        <v>46</v>
      </c>
      <c r="H353" s="79">
        <v>326</v>
      </c>
      <c r="I353" s="79">
        <v>11.468550266965616</v>
      </c>
      <c r="J353" s="79">
        <v>-4.2185502669656163</v>
      </c>
      <c r="K353" s="79">
        <v>-1.0030890620886281</v>
      </c>
    </row>
    <row r="354" spans="1:11" x14ac:dyDescent="0.2">
      <c r="A354">
        <v>0.8</v>
      </c>
      <c r="B354">
        <f t="shared" si="10"/>
        <v>1</v>
      </c>
      <c r="C354">
        <f t="shared" si="11"/>
        <v>0</v>
      </c>
      <c r="D354" s="25">
        <v>1</v>
      </c>
      <c r="E354">
        <v>5000</v>
      </c>
      <c r="F354" s="47" t="s">
        <v>100</v>
      </c>
      <c r="H354" s="79">
        <v>327</v>
      </c>
      <c r="I354" s="79">
        <v>1.831059142523578</v>
      </c>
      <c r="J354" s="79">
        <v>0.16894085747642196</v>
      </c>
      <c r="K354" s="79">
        <v>4.0170844377864071E-2</v>
      </c>
    </row>
    <row r="355" spans="1:11" x14ac:dyDescent="0.2">
      <c r="A355">
        <v>6</v>
      </c>
      <c r="B355">
        <f t="shared" si="10"/>
        <v>1</v>
      </c>
      <c r="C355">
        <f t="shared" si="11"/>
        <v>1</v>
      </c>
      <c r="D355" s="27">
        <v>2</v>
      </c>
      <c r="E355">
        <v>60000</v>
      </c>
      <c r="F355" s="50" t="s">
        <v>246</v>
      </c>
      <c r="H355" s="79">
        <v>328</v>
      </c>
      <c r="I355" s="79">
        <v>7.7624996934337451</v>
      </c>
      <c r="J355" s="79">
        <v>-1.7624996934337451</v>
      </c>
      <c r="K355" s="79">
        <v>-0.41908808774006245</v>
      </c>
    </row>
    <row r="356" spans="1:11" x14ac:dyDescent="0.2">
      <c r="A356">
        <v>1.75</v>
      </c>
      <c r="B356">
        <f t="shared" si="10"/>
        <v>1</v>
      </c>
      <c r="C356">
        <f t="shared" si="11"/>
        <v>0</v>
      </c>
      <c r="D356" s="25">
        <v>1</v>
      </c>
      <c r="E356">
        <v>5000</v>
      </c>
      <c r="F356" s="47" t="s">
        <v>46</v>
      </c>
      <c r="H356" s="79">
        <v>329</v>
      </c>
      <c r="I356" s="79">
        <v>2.0465934380847148</v>
      </c>
      <c r="J356" s="79">
        <v>-0.71326010475138157</v>
      </c>
      <c r="K356" s="79">
        <v>-0.16959935622977168</v>
      </c>
    </row>
    <row r="357" spans="1:11" x14ac:dyDescent="0.2">
      <c r="A357">
        <v>18.2</v>
      </c>
      <c r="B357">
        <f t="shared" si="10"/>
        <v>1</v>
      </c>
      <c r="C357">
        <f t="shared" si="11"/>
        <v>1</v>
      </c>
      <c r="D357" s="27">
        <v>2</v>
      </c>
      <c r="E357">
        <v>60000</v>
      </c>
      <c r="F357" s="50" t="s">
        <v>290</v>
      </c>
      <c r="H357" s="79">
        <v>330</v>
      </c>
      <c r="I357" s="79">
        <v>7.7624996934337451</v>
      </c>
      <c r="J357" s="79">
        <v>1.5708336398995888</v>
      </c>
      <c r="K357" s="79">
        <v>0.37351363450210301</v>
      </c>
    </row>
    <row r="358" spans="1:11" x14ac:dyDescent="0.2">
      <c r="A358">
        <v>6.25</v>
      </c>
      <c r="B358">
        <f t="shared" si="10"/>
        <v>0</v>
      </c>
      <c r="C358">
        <f t="shared" si="11"/>
        <v>1</v>
      </c>
      <c r="D358" s="25">
        <v>1</v>
      </c>
      <c r="E358">
        <v>40000</v>
      </c>
      <c r="F358" s="47" t="s">
        <v>431</v>
      </c>
      <c r="H358" s="79">
        <v>331</v>
      </c>
      <c r="I358" s="79">
        <v>2.3339724988328978</v>
      </c>
      <c r="J358" s="79">
        <v>-8.3972498832897813E-2</v>
      </c>
      <c r="K358" s="79">
        <v>-1.9967024158779906E-2</v>
      </c>
    </row>
    <row r="359" spans="1:11" x14ac:dyDescent="0.2">
      <c r="A359">
        <v>0.6</v>
      </c>
      <c r="B359">
        <f t="shared" si="10"/>
        <v>1</v>
      </c>
      <c r="C359">
        <f t="shared" si="11"/>
        <v>0</v>
      </c>
      <c r="D359" s="27">
        <v>1</v>
      </c>
      <c r="E359">
        <v>20000</v>
      </c>
      <c r="F359" s="50" t="s">
        <v>100</v>
      </c>
      <c r="H359" s="79">
        <v>332</v>
      </c>
      <c r="I359" s="79">
        <v>11.181171206217435</v>
      </c>
      <c r="J359" s="79">
        <v>-5.5811712062174355</v>
      </c>
      <c r="K359" s="79">
        <v>-1.3270937730528969</v>
      </c>
    </row>
    <row r="360" spans="1:11" x14ac:dyDescent="0.2">
      <c r="A360">
        <v>6.5</v>
      </c>
      <c r="B360">
        <f t="shared" si="10"/>
        <v>1</v>
      </c>
      <c r="C360">
        <f t="shared" si="11"/>
        <v>1</v>
      </c>
      <c r="D360" s="25">
        <v>2</v>
      </c>
      <c r="E360">
        <v>40000</v>
      </c>
      <c r="F360" s="47" t="s">
        <v>246</v>
      </c>
      <c r="H360" s="79">
        <v>333</v>
      </c>
      <c r="I360" s="79">
        <v>1.831059142523578</v>
      </c>
      <c r="J360" s="79">
        <v>-0.83105914252357804</v>
      </c>
      <c r="K360" s="79">
        <v>-0.19760967229478552</v>
      </c>
    </row>
    <row r="361" spans="1:11" x14ac:dyDescent="0.2">
      <c r="A361">
        <v>2.5</v>
      </c>
      <c r="B361">
        <f t="shared" si="10"/>
        <v>1</v>
      </c>
      <c r="C361">
        <f t="shared" si="11"/>
        <v>0</v>
      </c>
      <c r="D361" s="27">
        <v>1</v>
      </c>
      <c r="E361">
        <v>40000</v>
      </c>
      <c r="F361" s="50" t="s">
        <v>46</v>
      </c>
      <c r="H361" s="79">
        <v>334</v>
      </c>
      <c r="I361" s="79">
        <v>11.181171206217435</v>
      </c>
      <c r="J361" s="79">
        <v>12.068828793782565</v>
      </c>
      <c r="K361" s="79">
        <v>2.8697323462193687</v>
      </c>
    </row>
    <row r="362" spans="1:11" x14ac:dyDescent="0.2">
      <c r="A362">
        <v>1.8</v>
      </c>
      <c r="B362">
        <f t="shared" si="10"/>
        <v>1</v>
      </c>
      <c r="C362">
        <f t="shared" si="11"/>
        <v>0</v>
      </c>
      <c r="D362" s="25">
        <v>1</v>
      </c>
      <c r="E362">
        <v>40000</v>
      </c>
      <c r="F362" s="47" t="s">
        <v>46</v>
      </c>
      <c r="H362" s="79">
        <v>335</v>
      </c>
      <c r="I362" s="79">
        <v>2.0465934380847148</v>
      </c>
      <c r="J362" s="79">
        <v>0.20340656191528517</v>
      </c>
      <c r="K362" s="79">
        <v>4.8366117386823795E-2</v>
      </c>
    </row>
    <row r="363" spans="1:11" x14ac:dyDescent="0.2">
      <c r="A363">
        <v>1.5</v>
      </c>
      <c r="B363">
        <f t="shared" si="10"/>
        <v>1</v>
      </c>
      <c r="C363">
        <f t="shared" si="11"/>
        <v>0</v>
      </c>
      <c r="D363" s="27">
        <v>1</v>
      </c>
      <c r="E363">
        <v>40000</v>
      </c>
      <c r="F363" s="50" t="s">
        <v>100</v>
      </c>
      <c r="H363" s="79">
        <v>336</v>
      </c>
      <c r="I363" s="79">
        <v>8.0498787541819272</v>
      </c>
      <c r="J363" s="79">
        <v>-2.0498787541819272</v>
      </c>
      <c r="K363" s="79">
        <v>-0.48742122928566595</v>
      </c>
    </row>
    <row r="364" spans="1:11" x14ac:dyDescent="0.2">
      <c r="A364">
        <v>6.5</v>
      </c>
      <c r="B364">
        <f t="shared" si="10"/>
        <v>1</v>
      </c>
      <c r="C364">
        <f t="shared" si="11"/>
        <v>1</v>
      </c>
      <c r="D364" s="25">
        <v>2</v>
      </c>
      <c r="E364">
        <v>40000</v>
      </c>
      <c r="F364" s="47" t="s">
        <v>246</v>
      </c>
      <c r="H364" s="79">
        <v>337</v>
      </c>
      <c r="I364" s="79">
        <v>1.831059142523578</v>
      </c>
      <c r="J364" s="79">
        <v>-0.23105914252357795</v>
      </c>
      <c r="K364" s="79">
        <v>-5.4941362291195749E-2</v>
      </c>
    </row>
    <row r="365" spans="1:11" x14ac:dyDescent="0.2">
      <c r="A365">
        <v>1</v>
      </c>
      <c r="B365">
        <f t="shared" si="10"/>
        <v>1</v>
      </c>
      <c r="C365">
        <f t="shared" si="11"/>
        <v>0</v>
      </c>
      <c r="D365" s="27">
        <v>1</v>
      </c>
      <c r="E365">
        <v>40000</v>
      </c>
      <c r="F365" s="50" t="s">
        <v>46</v>
      </c>
      <c r="H365" s="79">
        <v>338</v>
      </c>
      <c r="I365" s="79">
        <v>11.468550266965616</v>
      </c>
      <c r="J365" s="79">
        <v>6.9314497330343823</v>
      </c>
      <c r="K365" s="79">
        <v>1.6481636988114146</v>
      </c>
    </row>
    <row r="366" spans="1:11" x14ac:dyDescent="0.2">
      <c r="A366">
        <v>2</v>
      </c>
      <c r="B366">
        <f t="shared" si="10"/>
        <v>1</v>
      </c>
      <c r="C366">
        <f t="shared" si="11"/>
        <v>0</v>
      </c>
      <c r="D366" s="25">
        <v>1</v>
      </c>
      <c r="E366">
        <v>5000</v>
      </c>
      <c r="F366" s="47" t="s">
        <v>46</v>
      </c>
      <c r="H366" s="79">
        <v>339</v>
      </c>
      <c r="I366" s="79">
        <v>2.3339724988328978</v>
      </c>
      <c r="J366" s="79">
        <v>3.2660275011671018</v>
      </c>
      <c r="K366" s="79">
        <v>0.77659770669459616</v>
      </c>
    </row>
    <row r="367" spans="1:11" x14ac:dyDescent="0.2">
      <c r="A367">
        <v>13.833333333333334</v>
      </c>
      <c r="B367">
        <f t="shared" si="10"/>
        <v>1</v>
      </c>
      <c r="C367">
        <f t="shared" si="11"/>
        <v>1</v>
      </c>
      <c r="D367" s="27">
        <v>2</v>
      </c>
      <c r="E367">
        <v>40000</v>
      </c>
      <c r="F367" s="50" t="s">
        <v>290</v>
      </c>
      <c r="H367" s="79">
        <v>340</v>
      </c>
      <c r="I367" s="79">
        <v>1.831059142523578</v>
      </c>
      <c r="J367" s="79">
        <v>-1.231059142523578</v>
      </c>
      <c r="K367" s="79">
        <v>-0.29272187896384533</v>
      </c>
    </row>
    <row r="368" spans="1:11" x14ac:dyDescent="0.2">
      <c r="A368">
        <v>3.6666666666666665</v>
      </c>
      <c r="B368">
        <f t="shared" si="10"/>
        <v>1</v>
      </c>
      <c r="C368">
        <f t="shared" si="11"/>
        <v>0</v>
      </c>
      <c r="D368" s="25">
        <v>1</v>
      </c>
      <c r="E368">
        <v>40000</v>
      </c>
      <c r="F368" s="47" t="s">
        <v>46</v>
      </c>
      <c r="H368" s="79">
        <v>341</v>
      </c>
      <c r="I368" s="79">
        <v>11.181171206217435</v>
      </c>
      <c r="J368" s="79">
        <v>-3.9311712062174351</v>
      </c>
      <c r="K368" s="79">
        <v>-0.93475592054302492</v>
      </c>
    </row>
    <row r="369" spans="1:11" x14ac:dyDescent="0.2">
      <c r="A369">
        <v>0.6</v>
      </c>
      <c r="B369">
        <f t="shared" si="10"/>
        <v>1</v>
      </c>
      <c r="C369">
        <f t="shared" si="11"/>
        <v>0</v>
      </c>
      <c r="D369" s="27">
        <v>1</v>
      </c>
      <c r="E369">
        <v>40000</v>
      </c>
      <c r="F369" s="50" t="s">
        <v>100</v>
      </c>
      <c r="H369" s="79">
        <v>342</v>
      </c>
      <c r="I369" s="79">
        <v>2.3339724988328978</v>
      </c>
      <c r="J369" s="79">
        <v>-1.3339724988328978</v>
      </c>
      <c r="K369" s="79">
        <v>-0.31719266999959189</v>
      </c>
    </row>
    <row r="370" spans="1:11" x14ac:dyDescent="0.2">
      <c r="A370">
        <v>5.6</v>
      </c>
      <c r="B370">
        <f t="shared" si="10"/>
        <v>1</v>
      </c>
      <c r="C370">
        <f t="shared" si="11"/>
        <v>1</v>
      </c>
      <c r="D370" s="25">
        <v>2</v>
      </c>
      <c r="E370">
        <v>40000</v>
      </c>
      <c r="F370" s="47" t="s">
        <v>246</v>
      </c>
      <c r="H370" s="79">
        <v>343</v>
      </c>
      <c r="I370" s="79">
        <v>2.3339724988328978</v>
      </c>
      <c r="J370" s="79">
        <v>0.16602750116710219</v>
      </c>
      <c r="K370" s="79">
        <v>3.9478105009382494E-2</v>
      </c>
    </row>
    <row r="371" spans="1:11" x14ac:dyDescent="0.2">
      <c r="A371">
        <v>4.5</v>
      </c>
      <c r="B371">
        <f t="shared" si="10"/>
        <v>0</v>
      </c>
      <c r="C371">
        <f t="shared" si="11"/>
        <v>1</v>
      </c>
      <c r="D371" s="27">
        <v>1</v>
      </c>
      <c r="E371">
        <v>60000</v>
      </c>
      <c r="F371" s="50" t="s">
        <v>431</v>
      </c>
      <c r="H371" s="79">
        <v>344</v>
      </c>
      <c r="I371" s="79">
        <v>8.0498787541819272</v>
      </c>
      <c r="J371" s="79">
        <v>13.200121245818073</v>
      </c>
      <c r="K371" s="79">
        <v>3.1387316499722404</v>
      </c>
    </row>
    <row r="372" spans="1:11" x14ac:dyDescent="0.2">
      <c r="A372">
        <v>2.25</v>
      </c>
      <c r="B372">
        <f t="shared" si="10"/>
        <v>1</v>
      </c>
      <c r="C372">
        <f t="shared" si="11"/>
        <v>0</v>
      </c>
      <c r="D372" s="25">
        <v>1</v>
      </c>
      <c r="E372">
        <v>40000</v>
      </c>
      <c r="F372" s="47" t="s">
        <v>100</v>
      </c>
      <c r="H372" s="79">
        <v>345</v>
      </c>
      <c r="I372" s="79">
        <v>11.181171206217435</v>
      </c>
      <c r="J372" s="79">
        <v>-3.9311712062174351</v>
      </c>
      <c r="K372" s="79">
        <v>-0.93475592054302492</v>
      </c>
    </row>
    <row r="373" spans="1:11" x14ac:dyDescent="0.2">
      <c r="A373">
        <v>3</v>
      </c>
      <c r="B373">
        <f t="shared" si="10"/>
        <v>1</v>
      </c>
      <c r="C373">
        <f t="shared" si="11"/>
        <v>0</v>
      </c>
      <c r="D373" s="27">
        <v>1</v>
      </c>
      <c r="E373">
        <v>5000</v>
      </c>
      <c r="F373" s="50" t="s">
        <v>46</v>
      </c>
      <c r="H373" s="79">
        <v>346</v>
      </c>
      <c r="I373" s="79">
        <v>2.0465934380847148</v>
      </c>
      <c r="J373" s="79">
        <v>-1.2465934380847148</v>
      </c>
      <c r="K373" s="79">
        <v>-0.2964156317885181</v>
      </c>
    </row>
    <row r="374" spans="1:11" x14ac:dyDescent="0.2">
      <c r="A374">
        <v>5.5</v>
      </c>
      <c r="B374">
        <f t="shared" si="10"/>
        <v>1</v>
      </c>
      <c r="C374">
        <f t="shared" si="11"/>
        <v>0</v>
      </c>
      <c r="D374" s="25">
        <v>2</v>
      </c>
      <c r="E374">
        <v>40000</v>
      </c>
      <c r="F374" s="47" t="s">
        <v>46</v>
      </c>
      <c r="H374" s="79">
        <v>347</v>
      </c>
      <c r="I374" s="79">
        <v>2.3339724988328978</v>
      </c>
      <c r="J374" s="79">
        <v>6.6027501167102098E-2</v>
      </c>
      <c r="K374" s="79">
        <v>1.570005334211751E-2</v>
      </c>
    </row>
    <row r="375" spans="1:11" x14ac:dyDescent="0.2">
      <c r="A375">
        <v>3</v>
      </c>
      <c r="B375">
        <f t="shared" si="10"/>
        <v>1</v>
      </c>
      <c r="C375">
        <f t="shared" si="11"/>
        <v>0</v>
      </c>
      <c r="D375" s="27">
        <v>1</v>
      </c>
      <c r="E375">
        <v>40000</v>
      </c>
      <c r="F375" s="50" t="s">
        <v>46</v>
      </c>
      <c r="H375" s="79">
        <v>348</v>
      </c>
      <c r="I375" s="79">
        <v>11.468550266965616</v>
      </c>
      <c r="J375" s="79">
        <v>-5.7185502669656163</v>
      </c>
      <c r="K375" s="79">
        <v>-1.3597598370976025</v>
      </c>
    </row>
    <row r="376" spans="1:11" x14ac:dyDescent="0.2">
      <c r="A376">
        <v>13.75</v>
      </c>
      <c r="B376">
        <f t="shared" si="10"/>
        <v>0</v>
      </c>
      <c r="C376">
        <f t="shared" si="11"/>
        <v>1</v>
      </c>
      <c r="D376" s="25">
        <v>1</v>
      </c>
      <c r="E376">
        <v>40000</v>
      </c>
      <c r="F376" s="47" t="s">
        <v>431</v>
      </c>
      <c r="H376" s="79">
        <v>349</v>
      </c>
      <c r="I376" s="79">
        <v>1.831059142523578</v>
      </c>
      <c r="J376" s="79">
        <v>-1.031059142523578</v>
      </c>
      <c r="K376" s="79">
        <v>-0.24516577562931544</v>
      </c>
    </row>
    <row r="377" spans="1:11" x14ac:dyDescent="0.2">
      <c r="A377">
        <v>1.6</v>
      </c>
      <c r="B377">
        <f t="shared" si="10"/>
        <v>1</v>
      </c>
      <c r="C377">
        <f t="shared" si="11"/>
        <v>0</v>
      </c>
      <c r="D377" s="27">
        <v>1</v>
      </c>
      <c r="E377">
        <v>5000</v>
      </c>
      <c r="F377" s="50" t="s">
        <v>100</v>
      </c>
      <c r="H377" s="79">
        <v>350</v>
      </c>
      <c r="I377" s="79">
        <v>7.7624996934337451</v>
      </c>
      <c r="J377" s="79">
        <v>10.237500306566254</v>
      </c>
      <c r="K377" s="79">
        <v>2.4342781123317327</v>
      </c>
    </row>
    <row r="378" spans="1:11" x14ac:dyDescent="0.2">
      <c r="A378">
        <v>3.6</v>
      </c>
      <c r="B378">
        <f t="shared" si="10"/>
        <v>1</v>
      </c>
      <c r="C378">
        <f t="shared" si="11"/>
        <v>0</v>
      </c>
      <c r="D378" s="25">
        <v>1</v>
      </c>
      <c r="E378">
        <v>60000</v>
      </c>
      <c r="F378" s="47" t="s">
        <v>46</v>
      </c>
      <c r="H378" s="79">
        <v>351</v>
      </c>
      <c r="I378" s="79">
        <v>5.7578414696659506</v>
      </c>
      <c r="J378" s="79">
        <v>-4.0911748029992836</v>
      </c>
      <c r="K378" s="79">
        <v>-0.97280165845529509</v>
      </c>
    </row>
    <row r="379" spans="1:11" x14ac:dyDescent="0.2">
      <c r="A379">
        <v>6</v>
      </c>
      <c r="B379">
        <f t="shared" si="10"/>
        <v>1</v>
      </c>
      <c r="C379">
        <f t="shared" si="11"/>
        <v>0</v>
      </c>
      <c r="D379" s="27">
        <v>1</v>
      </c>
      <c r="E379">
        <v>40000</v>
      </c>
      <c r="F379" s="50" t="s">
        <v>46</v>
      </c>
      <c r="H379" s="79">
        <v>352</v>
      </c>
      <c r="I379" s="79">
        <v>2.0465934380847148</v>
      </c>
      <c r="J379" s="79">
        <v>-4.6593438084714833E-2</v>
      </c>
      <c r="K379" s="79">
        <v>-1.1079011781338603E-2</v>
      </c>
    </row>
    <row r="380" spans="1:11" x14ac:dyDescent="0.2">
      <c r="A380">
        <v>3.3333333333333335</v>
      </c>
      <c r="B380">
        <f t="shared" si="10"/>
        <v>1</v>
      </c>
      <c r="C380">
        <f t="shared" si="11"/>
        <v>0</v>
      </c>
      <c r="D380" s="25">
        <v>2</v>
      </c>
      <c r="E380">
        <v>60000</v>
      </c>
      <c r="F380" s="47" t="s">
        <v>46</v>
      </c>
      <c r="H380" s="79">
        <v>353</v>
      </c>
      <c r="I380" s="79">
        <v>1.831059142523578</v>
      </c>
      <c r="J380" s="79">
        <v>-1.031059142523578</v>
      </c>
      <c r="K380" s="79">
        <v>-0.24516577562931544</v>
      </c>
    </row>
    <row r="381" spans="1:11" x14ac:dyDescent="0.2">
      <c r="A381">
        <v>4.8</v>
      </c>
      <c r="B381">
        <f t="shared" si="10"/>
        <v>0</v>
      </c>
      <c r="C381">
        <f t="shared" si="11"/>
        <v>1</v>
      </c>
      <c r="D381" s="27">
        <v>1</v>
      </c>
      <c r="E381">
        <v>40000</v>
      </c>
      <c r="F381" s="50" t="s">
        <v>431</v>
      </c>
      <c r="H381" s="79">
        <v>354</v>
      </c>
      <c r="I381" s="79">
        <v>11.468550266965616</v>
      </c>
      <c r="J381" s="79">
        <v>-5.4685502669656163</v>
      </c>
      <c r="K381" s="79">
        <v>-1.3003147079294402</v>
      </c>
    </row>
    <row r="382" spans="1:11" x14ac:dyDescent="0.2">
      <c r="A382">
        <v>1</v>
      </c>
      <c r="B382">
        <f t="shared" si="10"/>
        <v>1</v>
      </c>
      <c r="C382">
        <f t="shared" si="11"/>
        <v>0</v>
      </c>
      <c r="D382" s="25">
        <v>1</v>
      </c>
      <c r="E382">
        <v>5000</v>
      </c>
      <c r="F382" s="47" t="s">
        <v>100</v>
      </c>
      <c r="H382" s="79">
        <v>355</v>
      </c>
      <c r="I382" s="79">
        <v>1.831059142523578</v>
      </c>
      <c r="J382" s="79">
        <v>-8.1059142523578043E-2</v>
      </c>
      <c r="K382" s="79">
        <v>-1.9274284790298329E-2</v>
      </c>
    </row>
    <row r="383" spans="1:11" x14ac:dyDescent="0.2">
      <c r="A383">
        <v>18.600000000000001</v>
      </c>
      <c r="B383">
        <f t="shared" si="10"/>
        <v>1</v>
      </c>
      <c r="C383">
        <f t="shared" si="11"/>
        <v>1</v>
      </c>
      <c r="D383" s="27">
        <v>2</v>
      </c>
      <c r="E383">
        <v>60000</v>
      </c>
      <c r="F383" s="50" t="s">
        <v>290</v>
      </c>
      <c r="H383" s="79">
        <v>356</v>
      </c>
      <c r="I383" s="79">
        <v>11.468550266965616</v>
      </c>
      <c r="J383" s="79">
        <v>6.731449733034383</v>
      </c>
      <c r="K383" s="79">
        <v>1.6006075954768848</v>
      </c>
    </row>
    <row r="384" spans="1:11" x14ac:dyDescent="0.2">
      <c r="A384">
        <v>3</v>
      </c>
      <c r="B384">
        <f t="shared" si="10"/>
        <v>1</v>
      </c>
      <c r="C384">
        <f t="shared" si="11"/>
        <v>0</v>
      </c>
      <c r="D384" s="25">
        <v>1</v>
      </c>
      <c r="E384">
        <v>40000</v>
      </c>
      <c r="F384" s="47" t="s">
        <v>46</v>
      </c>
      <c r="H384" s="79">
        <v>357</v>
      </c>
      <c r="I384" s="79">
        <v>7.7624996934337451</v>
      </c>
      <c r="J384" s="79">
        <v>-1.5124996934337451</v>
      </c>
      <c r="K384" s="79">
        <v>-0.35964295857190004</v>
      </c>
    </row>
    <row r="385" spans="1:11" x14ac:dyDescent="0.2">
      <c r="A385">
        <v>14</v>
      </c>
      <c r="B385">
        <f t="shared" si="10"/>
        <v>0</v>
      </c>
      <c r="C385">
        <f t="shared" si="11"/>
        <v>1</v>
      </c>
      <c r="D385" s="27">
        <v>1</v>
      </c>
      <c r="E385">
        <v>40000</v>
      </c>
      <c r="F385" s="50" t="s">
        <v>988</v>
      </c>
      <c r="H385" s="79">
        <v>358</v>
      </c>
      <c r="I385" s="79">
        <v>2.0465934380847148</v>
      </c>
      <c r="J385" s="79">
        <v>-1.4465934380847147</v>
      </c>
      <c r="K385" s="79">
        <v>-0.34397173512304802</v>
      </c>
    </row>
    <row r="386" spans="1:11" x14ac:dyDescent="0.2">
      <c r="A386">
        <v>17</v>
      </c>
      <c r="B386">
        <f t="shared" si="10"/>
        <v>0</v>
      </c>
      <c r="C386">
        <f t="shared" si="11"/>
        <v>1</v>
      </c>
      <c r="D386" s="25">
        <v>1</v>
      </c>
      <c r="E386">
        <v>40000</v>
      </c>
      <c r="F386" s="47" t="s">
        <v>988</v>
      </c>
      <c r="H386" s="79">
        <v>359</v>
      </c>
      <c r="I386" s="79">
        <v>11.181171206217435</v>
      </c>
      <c r="J386" s="79">
        <v>-4.6811712062174351</v>
      </c>
      <c r="K386" s="79">
        <v>-1.113091308047512</v>
      </c>
    </row>
    <row r="387" spans="1:11" x14ac:dyDescent="0.2">
      <c r="A387">
        <v>7</v>
      </c>
      <c r="B387">
        <f t="shared" ref="B387:B450" si="12">IF(ISNUMBER(SEARCH("bike",F387))+ISNUMBER(SEARCH("scooty",F387))&gt;0,1,0)</f>
        <v>1</v>
      </c>
      <c r="C387">
        <f t="shared" ref="C387:C450" si="13">IF(ISNUMBER(SEARCH("car",F387))+ISNUMBER(SEARCH("Commercial vehicle",F387))&gt;0,1,0)</f>
        <v>1</v>
      </c>
      <c r="D387" s="27">
        <v>2</v>
      </c>
      <c r="E387">
        <v>40000</v>
      </c>
      <c r="F387" s="50" t="s">
        <v>246</v>
      </c>
      <c r="H387" s="79">
        <v>360</v>
      </c>
      <c r="I387" s="79">
        <v>2.3339724988328978</v>
      </c>
      <c r="J387" s="79">
        <v>0.16602750116710219</v>
      </c>
      <c r="K387" s="79">
        <v>3.9478105009382494E-2</v>
      </c>
    </row>
    <row r="388" spans="1:11" x14ac:dyDescent="0.2">
      <c r="A388">
        <v>0.6</v>
      </c>
      <c r="B388">
        <f t="shared" si="12"/>
        <v>1</v>
      </c>
      <c r="C388">
        <f t="shared" si="13"/>
        <v>0</v>
      </c>
      <c r="D388" s="25">
        <v>1</v>
      </c>
      <c r="E388">
        <v>20000</v>
      </c>
      <c r="F388" s="47" t="s">
        <v>100</v>
      </c>
      <c r="H388" s="79">
        <v>361</v>
      </c>
      <c r="I388" s="79">
        <v>2.3339724988328978</v>
      </c>
      <c r="J388" s="79">
        <v>-0.53397249883289777</v>
      </c>
      <c r="K388" s="79">
        <v>-0.12696825666147221</v>
      </c>
    </row>
    <row r="389" spans="1:11" x14ac:dyDescent="0.2">
      <c r="A389">
        <v>6.75</v>
      </c>
      <c r="B389">
        <f t="shared" si="12"/>
        <v>1</v>
      </c>
      <c r="C389">
        <f t="shared" si="13"/>
        <v>1</v>
      </c>
      <c r="D389" s="27">
        <v>2</v>
      </c>
      <c r="E389">
        <v>60000</v>
      </c>
      <c r="F389" s="50" t="s">
        <v>246</v>
      </c>
      <c r="H389" s="79">
        <v>362</v>
      </c>
      <c r="I389" s="79">
        <v>2.3339724988328978</v>
      </c>
      <c r="J389" s="79">
        <v>-0.83397249883289781</v>
      </c>
      <c r="K389" s="79">
        <v>-0.19830241166326712</v>
      </c>
    </row>
    <row r="390" spans="1:11" x14ac:dyDescent="0.2">
      <c r="A390">
        <v>1.8</v>
      </c>
      <c r="B390">
        <f t="shared" si="12"/>
        <v>1</v>
      </c>
      <c r="C390">
        <f t="shared" si="13"/>
        <v>0</v>
      </c>
      <c r="D390" s="25">
        <v>1</v>
      </c>
      <c r="E390">
        <v>40000</v>
      </c>
      <c r="F390" s="47" t="s">
        <v>46</v>
      </c>
      <c r="H390" s="79">
        <v>363</v>
      </c>
      <c r="I390" s="79">
        <v>11.181171206217435</v>
      </c>
      <c r="J390" s="79">
        <v>-4.6811712062174351</v>
      </c>
      <c r="K390" s="79">
        <v>-1.113091308047512</v>
      </c>
    </row>
    <row r="391" spans="1:11" x14ac:dyDescent="0.2">
      <c r="A391">
        <v>2.5</v>
      </c>
      <c r="B391">
        <f t="shared" si="12"/>
        <v>1</v>
      </c>
      <c r="C391">
        <f t="shared" si="13"/>
        <v>0</v>
      </c>
      <c r="D391" s="27">
        <v>1</v>
      </c>
      <c r="E391">
        <v>40000</v>
      </c>
      <c r="F391" s="50" t="s">
        <v>46</v>
      </c>
      <c r="H391" s="79">
        <v>364</v>
      </c>
      <c r="I391" s="79">
        <v>2.3339724988328978</v>
      </c>
      <c r="J391" s="79">
        <v>-1.3339724988328978</v>
      </c>
      <c r="K391" s="79">
        <v>-0.31719266999959189</v>
      </c>
    </row>
    <row r="392" spans="1:11" x14ac:dyDescent="0.2">
      <c r="A392">
        <v>2.5</v>
      </c>
      <c r="B392">
        <f t="shared" si="12"/>
        <v>1</v>
      </c>
      <c r="C392">
        <f t="shared" si="13"/>
        <v>0</v>
      </c>
      <c r="D392" s="25">
        <v>2</v>
      </c>
      <c r="E392">
        <v>60000</v>
      </c>
      <c r="F392" s="47" t="s">
        <v>61</v>
      </c>
      <c r="H392" s="79">
        <v>365</v>
      </c>
      <c r="I392" s="79">
        <v>1.831059142523578</v>
      </c>
      <c r="J392" s="79">
        <v>0.16894085747642196</v>
      </c>
      <c r="K392" s="79">
        <v>4.0170844377864071E-2</v>
      </c>
    </row>
    <row r="393" spans="1:11" x14ac:dyDescent="0.2">
      <c r="A393">
        <v>1</v>
      </c>
      <c r="B393">
        <f t="shared" si="12"/>
        <v>1</v>
      </c>
      <c r="C393">
        <f t="shared" si="13"/>
        <v>0</v>
      </c>
      <c r="D393" s="27">
        <v>1</v>
      </c>
      <c r="E393">
        <v>40000</v>
      </c>
      <c r="F393" s="50" t="s">
        <v>100</v>
      </c>
      <c r="H393" s="79">
        <v>366</v>
      </c>
      <c r="I393" s="79">
        <v>11.181171206217435</v>
      </c>
      <c r="J393" s="79">
        <v>2.6521621271158988</v>
      </c>
      <c r="K393" s="79">
        <v>0.63063248088525181</v>
      </c>
    </row>
    <row r="394" spans="1:11" x14ac:dyDescent="0.2">
      <c r="A394">
        <v>1</v>
      </c>
      <c r="B394">
        <f t="shared" si="12"/>
        <v>1</v>
      </c>
      <c r="C394">
        <f t="shared" si="13"/>
        <v>0</v>
      </c>
      <c r="D394" s="25">
        <v>1</v>
      </c>
      <c r="E394">
        <v>40000</v>
      </c>
      <c r="F394" s="47" t="s">
        <v>46</v>
      </c>
      <c r="H394" s="79">
        <v>367</v>
      </c>
      <c r="I394" s="79">
        <v>2.3339724988328978</v>
      </c>
      <c r="J394" s="79">
        <v>1.3326941678337687</v>
      </c>
      <c r="K394" s="79">
        <v>0.3168887077941403</v>
      </c>
    </row>
    <row r="395" spans="1:11" x14ac:dyDescent="0.2">
      <c r="A395">
        <v>0.6</v>
      </c>
      <c r="B395">
        <f t="shared" si="12"/>
        <v>1</v>
      </c>
      <c r="C395">
        <f t="shared" si="13"/>
        <v>0</v>
      </c>
      <c r="D395" s="27">
        <v>1</v>
      </c>
      <c r="E395">
        <v>20000</v>
      </c>
      <c r="F395" s="50" t="s">
        <v>100</v>
      </c>
      <c r="H395" s="79">
        <v>368</v>
      </c>
      <c r="I395" s="79">
        <v>2.3339724988328978</v>
      </c>
      <c r="J395" s="79">
        <v>-1.7339724988328977</v>
      </c>
      <c r="K395" s="79">
        <v>-0.41230487666865173</v>
      </c>
    </row>
    <row r="396" spans="1:11" x14ac:dyDescent="0.2">
      <c r="A396">
        <v>7.25</v>
      </c>
      <c r="B396">
        <f t="shared" si="12"/>
        <v>1</v>
      </c>
      <c r="C396">
        <f t="shared" si="13"/>
        <v>1</v>
      </c>
      <c r="D396" s="25">
        <v>3</v>
      </c>
      <c r="E396">
        <v>60000</v>
      </c>
      <c r="F396" s="47" t="s">
        <v>390</v>
      </c>
      <c r="H396" s="79">
        <v>369</v>
      </c>
      <c r="I396" s="79">
        <v>11.181171206217435</v>
      </c>
      <c r="J396" s="79">
        <v>-5.5811712062174355</v>
      </c>
      <c r="K396" s="79">
        <v>-1.3270937730528969</v>
      </c>
    </row>
    <row r="397" spans="1:11" x14ac:dyDescent="0.2">
      <c r="A397">
        <v>2.2000000000000002</v>
      </c>
      <c r="B397">
        <f t="shared" si="12"/>
        <v>1</v>
      </c>
      <c r="C397">
        <f t="shared" si="13"/>
        <v>0</v>
      </c>
      <c r="D397" s="27">
        <v>1</v>
      </c>
      <c r="E397">
        <v>40000</v>
      </c>
      <c r="F397" s="50" t="s">
        <v>46</v>
      </c>
      <c r="H397" s="79">
        <v>370</v>
      </c>
      <c r="I397" s="79">
        <v>8.0498787541819272</v>
      </c>
      <c r="J397" s="79">
        <v>-3.5498787541819272</v>
      </c>
      <c r="K397" s="79">
        <v>-0.84409200429464037</v>
      </c>
    </row>
    <row r="398" spans="1:11" x14ac:dyDescent="0.2">
      <c r="A398">
        <v>0.4</v>
      </c>
      <c r="B398">
        <f t="shared" si="12"/>
        <v>1</v>
      </c>
      <c r="C398">
        <f t="shared" si="13"/>
        <v>0</v>
      </c>
      <c r="D398" s="25">
        <v>1</v>
      </c>
      <c r="E398">
        <v>20000</v>
      </c>
      <c r="F398" s="47" t="s">
        <v>100</v>
      </c>
      <c r="H398" s="79">
        <v>371</v>
      </c>
      <c r="I398" s="79">
        <v>2.3339724988328978</v>
      </c>
      <c r="J398" s="79">
        <v>-8.3972498832897813E-2</v>
      </c>
      <c r="K398" s="79">
        <v>-1.9967024158779906E-2</v>
      </c>
    </row>
    <row r="399" spans="1:11" x14ac:dyDescent="0.2">
      <c r="A399">
        <v>3</v>
      </c>
      <c r="B399">
        <f t="shared" si="12"/>
        <v>1</v>
      </c>
      <c r="C399">
        <f t="shared" si="13"/>
        <v>0</v>
      </c>
      <c r="D399" s="27">
        <v>1</v>
      </c>
      <c r="E399">
        <v>5000</v>
      </c>
      <c r="F399" s="50" t="s">
        <v>46</v>
      </c>
      <c r="H399" s="79">
        <v>372</v>
      </c>
      <c r="I399" s="79">
        <v>1.831059142523578</v>
      </c>
      <c r="J399" s="79">
        <v>1.168940857476422</v>
      </c>
      <c r="K399" s="79">
        <v>0.27795136105051366</v>
      </c>
    </row>
    <row r="400" spans="1:11" x14ac:dyDescent="0.2">
      <c r="A400">
        <v>2.4</v>
      </c>
      <c r="B400">
        <f t="shared" si="12"/>
        <v>1</v>
      </c>
      <c r="C400">
        <f t="shared" si="13"/>
        <v>0</v>
      </c>
      <c r="D400" s="25">
        <v>1</v>
      </c>
      <c r="E400">
        <v>40000</v>
      </c>
      <c r="F400" s="47" t="s">
        <v>46</v>
      </c>
      <c r="H400" s="79">
        <v>373</v>
      </c>
      <c r="I400" s="79">
        <v>5.7578414696659506</v>
      </c>
      <c r="J400" s="79">
        <v>-0.25784146966595056</v>
      </c>
      <c r="K400" s="79">
        <v>-6.1309677876805031E-2</v>
      </c>
    </row>
    <row r="401" spans="1:11" x14ac:dyDescent="0.2">
      <c r="A401">
        <v>0.6</v>
      </c>
      <c r="B401">
        <f t="shared" si="12"/>
        <v>1</v>
      </c>
      <c r="C401">
        <f t="shared" si="13"/>
        <v>0</v>
      </c>
      <c r="D401" s="27">
        <v>1</v>
      </c>
      <c r="E401">
        <v>20000</v>
      </c>
      <c r="F401" s="50" t="s">
        <v>46</v>
      </c>
      <c r="H401" s="79">
        <v>374</v>
      </c>
      <c r="I401" s="79">
        <v>2.3339724988328978</v>
      </c>
      <c r="J401" s="79">
        <v>0.66602750116710219</v>
      </c>
      <c r="K401" s="79">
        <v>0.15836836334570728</v>
      </c>
    </row>
    <row r="402" spans="1:11" x14ac:dyDescent="0.2">
      <c r="A402">
        <v>6.75</v>
      </c>
      <c r="B402">
        <f t="shared" si="12"/>
        <v>1</v>
      </c>
      <c r="C402">
        <f t="shared" si="13"/>
        <v>1</v>
      </c>
      <c r="D402" s="25">
        <v>2</v>
      </c>
      <c r="E402">
        <v>40000</v>
      </c>
      <c r="F402" s="47" t="s">
        <v>246</v>
      </c>
      <c r="H402" s="79">
        <v>375</v>
      </c>
      <c r="I402" s="79">
        <v>7.7624996934337451</v>
      </c>
      <c r="J402" s="79">
        <v>5.9875003065662549</v>
      </c>
      <c r="K402" s="79">
        <v>1.423710916472972</v>
      </c>
    </row>
    <row r="403" spans="1:11" x14ac:dyDescent="0.2">
      <c r="A403">
        <v>1</v>
      </c>
      <c r="B403">
        <f t="shared" si="12"/>
        <v>1</v>
      </c>
      <c r="C403">
        <f t="shared" si="13"/>
        <v>0</v>
      </c>
      <c r="D403" s="27">
        <v>1</v>
      </c>
      <c r="E403">
        <v>40000</v>
      </c>
      <c r="F403" s="50" t="s">
        <v>100</v>
      </c>
      <c r="H403" s="79">
        <v>376</v>
      </c>
      <c r="I403" s="79">
        <v>1.831059142523578</v>
      </c>
      <c r="J403" s="79">
        <v>-0.23105914252357795</v>
      </c>
      <c r="K403" s="79">
        <v>-5.4941362291195749E-2</v>
      </c>
    </row>
    <row r="404" spans="1:11" x14ac:dyDescent="0.2">
      <c r="A404">
        <v>15.833333333333334</v>
      </c>
      <c r="B404">
        <f t="shared" si="12"/>
        <v>0</v>
      </c>
      <c r="C404">
        <f t="shared" si="13"/>
        <v>1</v>
      </c>
      <c r="D404" s="25">
        <v>1</v>
      </c>
      <c r="E404">
        <v>85000</v>
      </c>
      <c r="F404" s="47" t="s">
        <v>988</v>
      </c>
      <c r="H404" s="79">
        <v>377</v>
      </c>
      <c r="I404" s="79">
        <v>2.6213515595810803</v>
      </c>
      <c r="J404" s="79">
        <v>0.97864844041891974</v>
      </c>
      <c r="K404" s="79">
        <v>0.23270353180369346</v>
      </c>
    </row>
    <row r="405" spans="1:11" x14ac:dyDescent="0.2">
      <c r="A405">
        <v>2.75</v>
      </c>
      <c r="B405">
        <f t="shared" si="12"/>
        <v>1</v>
      </c>
      <c r="C405">
        <f t="shared" si="13"/>
        <v>0</v>
      </c>
      <c r="D405" s="27">
        <v>1</v>
      </c>
      <c r="E405">
        <v>5000</v>
      </c>
      <c r="F405" s="50" t="s">
        <v>46</v>
      </c>
      <c r="H405" s="79">
        <v>378</v>
      </c>
      <c r="I405" s="79">
        <v>2.3339724988328978</v>
      </c>
      <c r="J405" s="79">
        <v>3.6660275011671022</v>
      </c>
      <c r="K405" s="79">
        <v>0.87170991336365611</v>
      </c>
    </row>
    <row r="406" spans="1:11" x14ac:dyDescent="0.2">
      <c r="A406">
        <v>17.2</v>
      </c>
      <c r="B406">
        <f t="shared" si="12"/>
        <v>1</v>
      </c>
      <c r="C406">
        <f t="shared" si="13"/>
        <v>1</v>
      </c>
      <c r="D406" s="25">
        <v>2</v>
      </c>
      <c r="E406">
        <v>60000</v>
      </c>
      <c r="F406" s="47" t="s">
        <v>290</v>
      </c>
      <c r="H406" s="79">
        <v>379</v>
      </c>
      <c r="I406" s="79">
        <v>6.0452205304141335</v>
      </c>
      <c r="J406" s="79">
        <v>-2.7118871970808001</v>
      </c>
      <c r="K406" s="79">
        <v>-0.64483393887981622</v>
      </c>
    </row>
    <row r="407" spans="1:11" x14ac:dyDescent="0.2">
      <c r="A407">
        <v>1</v>
      </c>
      <c r="B407">
        <f t="shared" si="12"/>
        <v>1</v>
      </c>
      <c r="C407">
        <f t="shared" si="13"/>
        <v>0</v>
      </c>
      <c r="D407" s="27">
        <v>1</v>
      </c>
      <c r="E407">
        <v>5000</v>
      </c>
      <c r="F407" s="50" t="s">
        <v>100</v>
      </c>
      <c r="H407" s="79">
        <v>380</v>
      </c>
      <c r="I407" s="79">
        <v>7.7624996934337451</v>
      </c>
      <c r="J407" s="79">
        <v>-2.9624996934337453</v>
      </c>
      <c r="K407" s="79">
        <v>-0.70442470774724197</v>
      </c>
    </row>
    <row r="408" spans="1:11" x14ac:dyDescent="0.2">
      <c r="A408">
        <v>2.4</v>
      </c>
      <c r="B408">
        <f t="shared" si="12"/>
        <v>1</v>
      </c>
      <c r="C408">
        <f t="shared" si="13"/>
        <v>0</v>
      </c>
      <c r="D408" s="25">
        <v>1</v>
      </c>
      <c r="E408">
        <v>40000</v>
      </c>
      <c r="F408" s="47" t="s">
        <v>46</v>
      </c>
      <c r="H408" s="79">
        <v>381</v>
      </c>
      <c r="I408" s="79">
        <v>1.831059142523578</v>
      </c>
      <c r="J408" s="79">
        <v>-0.83105914252357804</v>
      </c>
      <c r="K408" s="79">
        <v>-0.19760967229478552</v>
      </c>
    </row>
    <row r="409" spans="1:11" x14ac:dyDescent="0.2">
      <c r="A409">
        <v>0.6</v>
      </c>
      <c r="B409">
        <f t="shared" si="12"/>
        <v>1</v>
      </c>
      <c r="C409">
        <f t="shared" si="13"/>
        <v>0</v>
      </c>
      <c r="D409" s="27">
        <v>1</v>
      </c>
      <c r="E409">
        <v>20000</v>
      </c>
      <c r="F409" s="50" t="s">
        <v>46</v>
      </c>
      <c r="H409" s="79">
        <v>382</v>
      </c>
      <c r="I409" s="79">
        <v>11.468550266965616</v>
      </c>
      <c r="J409" s="79">
        <v>7.1314497330343851</v>
      </c>
      <c r="K409" s="79">
        <v>1.6957198021459452</v>
      </c>
    </row>
    <row r="410" spans="1:11" x14ac:dyDescent="0.2">
      <c r="A410">
        <v>4.8</v>
      </c>
      <c r="B410">
        <f t="shared" si="12"/>
        <v>1</v>
      </c>
      <c r="C410">
        <f t="shared" si="13"/>
        <v>0</v>
      </c>
      <c r="D410" s="25">
        <v>1</v>
      </c>
      <c r="E410">
        <v>20000</v>
      </c>
      <c r="F410" s="47" t="s">
        <v>46</v>
      </c>
      <c r="H410" s="79">
        <v>383</v>
      </c>
      <c r="I410" s="79">
        <v>2.3339724988328978</v>
      </c>
      <c r="J410" s="79">
        <v>0.66602750116710219</v>
      </c>
      <c r="K410" s="79">
        <v>0.15836836334570728</v>
      </c>
    </row>
    <row r="411" spans="1:11" x14ac:dyDescent="0.2">
      <c r="A411">
        <v>0.4</v>
      </c>
      <c r="B411">
        <f t="shared" si="12"/>
        <v>1</v>
      </c>
      <c r="C411">
        <f t="shared" si="13"/>
        <v>0</v>
      </c>
      <c r="D411" s="27">
        <v>1</v>
      </c>
      <c r="E411">
        <v>20000</v>
      </c>
      <c r="F411" s="50" t="s">
        <v>100</v>
      </c>
      <c r="H411" s="79">
        <v>384</v>
      </c>
      <c r="I411" s="79">
        <v>7.7624996934337451</v>
      </c>
      <c r="J411" s="79">
        <v>6.2375003065662549</v>
      </c>
      <c r="K411" s="79">
        <v>1.4831560456411343</v>
      </c>
    </row>
    <row r="412" spans="1:11" x14ac:dyDescent="0.2">
      <c r="A412">
        <v>6.75</v>
      </c>
      <c r="B412">
        <f t="shared" si="12"/>
        <v>1</v>
      </c>
      <c r="C412">
        <f t="shared" si="13"/>
        <v>1</v>
      </c>
      <c r="D412" s="25">
        <v>2</v>
      </c>
      <c r="E412">
        <v>60000</v>
      </c>
      <c r="F412" s="47" t="s">
        <v>246</v>
      </c>
      <c r="H412" s="79">
        <v>385</v>
      </c>
      <c r="I412" s="79">
        <v>7.7624996934337451</v>
      </c>
      <c r="J412" s="79">
        <v>9.237500306566254</v>
      </c>
      <c r="K412" s="79">
        <v>2.1964975956590829</v>
      </c>
    </row>
    <row r="413" spans="1:11" x14ac:dyDescent="0.2">
      <c r="A413">
        <v>0.6</v>
      </c>
      <c r="B413">
        <f t="shared" si="12"/>
        <v>1</v>
      </c>
      <c r="C413">
        <f t="shared" si="13"/>
        <v>0</v>
      </c>
      <c r="D413" s="27">
        <v>1</v>
      </c>
      <c r="E413">
        <v>20000</v>
      </c>
      <c r="F413" s="50" t="s">
        <v>100</v>
      </c>
      <c r="H413" s="79">
        <v>386</v>
      </c>
      <c r="I413" s="79">
        <v>11.181171206217435</v>
      </c>
      <c r="J413" s="79">
        <v>-4.1811712062174351</v>
      </c>
      <c r="K413" s="79">
        <v>-0.99420104971118728</v>
      </c>
    </row>
    <row r="414" spans="1:11" x14ac:dyDescent="0.2">
      <c r="A414">
        <v>3.25</v>
      </c>
      <c r="B414">
        <f t="shared" si="12"/>
        <v>1</v>
      </c>
      <c r="C414">
        <f t="shared" si="13"/>
        <v>0</v>
      </c>
      <c r="D414" s="25">
        <v>1</v>
      </c>
      <c r="E414">
        <v>5000</v>
      </c>
      <c r="F414" s="47" t="s">
        <v>46</v>
      </c>
      <c r="H414" s="79">
        <v>387</v>
      </c>
      <c r="I414" s="79">
        <v>2.0465934380847148</v>
      </c>
      <c r="J414" s="79">
        <v>-1.4465934380847147</v>
      </c>
      <c r="K414" s="79">
        <v>-0.34397173512304802</v>
      </c>
    </row>
    <row r="415" spans="1:11" x14ac:dyDescent="0.2">
      <c r="A415">
        <v>15.666666666666666</v>
      </c>
      <c r="B415">
        <f t="shared" si="12"/>
        <v>1</v>
      </c>
      <c r="C415">
        <f t="shared" si="13"/>
        <v>1</v>
      </c>
      <c r="D415" s="27">
        <v>2</v>
      </c>
      <c r="E415">
        <v>40000</v>
      </c>
      <c r="F415" s="50" t="s">
        <v>290</v>
      </c>
      <c r="H415" s="79">
        <v>388</v>
      </c>
      <c r="I415" s="79">
        <v>11.468550266965616</v>
      </c>
      <c r="J415" s="79">
        <v>-4.7185502669656163</v>
      </c>
      <c r="K415" s="79">
        <v>-1.1219793204249529</v>
      </c>
    </row>
    <row r="416" spans="1:11" x14ac:dyDescent="0.2">
      <c r="A416">
        <v>1.6666666666666667</v>
      </c>
      <c r="B416">
        <f t="shared" si="12"/>
        <v>1</v>
      </c>
      <c r="C416">
        <f t="shared" si="13"/>
        <v>0</v>
      </c>
      <c r="D416" s="25">
        <v>1</v>
      </c>
      <c r="E416">
        <v>40000</v>
      </c>
      <c r="F416" s="47" t="s">
        <v>100</v>
      </c>
      <c r="H416" s="79">
        <v>389</v>
      </c>
      <c r="I416" s="79">
        <v>2.3339724988328978</v>
      </c>
      <c r="J416" s="79">
        <v>-0.53397249883289777</v>
      </c>
      <c r="K416" s="79">
        <v>-0.12696825666147221</v>
      </c>
    </row>
    <row r="417" spans="1:11" x14ac:dyDescent="0.2">
      <c r="A417">
        <v>7.75</v>
      </c>
      <c r="B417">
        <f t="shared" si="12"/>
        <v>1</v>
      </c>
      <c r="C417">
        <f t="shared" si="13"/>
        <v>1</v>
      </c>
      <c r="D417" s="27">
        <v>3</v>
      </c>
      <c r="E417">
        <v>85000</v>
      </c>
      <c r="F417" s="50" t="s">
        <v>390</v>
      </c>
      <c r="H417" s="79">
        <v>390</v>
      </c>
      <c r="I417" s="79">
        <v>2.3339724988328978</v>
      </c>
      <c r="J417" s="79">
        <v>0.16602750116710219</v>
      </c>
      <c r="K417" s="79">
        <v>3.9478105009382494E-2</v>
      </c>
    </row>
    <row r="418" spans="1:11" x14ac:dyDescent="0.2">
      <c r="A418">
        <v>0.5</v>
      </c>
      <c r="B418">
        <f t="shared" si="12"/>
        <v>1</v>
      </c>
      <c r="C418">
        <f t="shared" si="13"/>
        <v>0</v>
      </c>
      <c r="D418" s="25">
        <v>1</v>
      </c>
      <c r="E418">
        <v>20000</v>
      </c>
      <c r="F418" s="47" t="s">
        <v>46</v>
      </c>
      <c r="H418" s="79">
        <v>391</v>
      </c>
      <c r="I418" s="79">
        <v>6.0452205304141335</v>
      </c>
      <c r="J418" s="79">
        <v>-3.5452205304141335</v>
      </c>
      <c r="K418" s="79">
        <v>-0.84298436944035748</v>
      </c>
    </row>
    <row r="419" spans="1:11" x14ac:dyDescent="0.2">
      <c r="A419">
        <v>6.5</v>
      </c>
      <c r="B419">
        <f t="shared" si="12"/>
        <v>0</v>
      </c>
      <c r="C419">
        <f t="shared" si="13"/>
        <v>1</v>
      </c>
      <c r="D419" s="27">
        <v>1</v>
      </c>
      <c r="E419">
        <v>60000</v>
      </c>
      <c r="F419" s="50" t="s">
        <v>431</v>
      </c>
      <c r="H419" s="79">
        <v>392</v>
      </c>
      <c r="I419" s="79">
        <v>2.3339724988328978</v>
      </c>
      <c r="J419" s="79">
        <v>-1.3339724988328978</v>
      </c>
      <c r="K419" s="79">
        <v>-0.31719266999959189</v>
      </c>
    </row>
    <row r="420" spans="1:11" x14ac:dyDescent="0.2">
      <c r="A420">
        <v>3.6666666666666665</v>
      </c>
      <c r="B420">
        <f t="shared" si="12"/>
        <v>1</v>
      </c>
      <c r="C420">
        <f t="shared" si="13"/>
        <v>0</v>
      </c>
      <c r="D420" s="25">
        <v>1</v>
      </c>
      <c r="E420">
        <v>40000</v>
      </c>
      <c r="F420" s="47" t="s">
        <v>46</v>
      </c>
      <c r="H420" s="79">
        <v>393</v>
      </c>
      <c r="I420" s="79">
        <v>2.3339724988328978</v>
      </c>
      <c r="J420" s="79">
        <v>-1.3339724988328978</v>
      </c>
      <c r="K420" s="79">
        <v>-0.31719266999959189</v>
      </c>
    </row>
    <row r="421" spans="1:11" x14ac:dyDescent="0.2">
      <c r="A421">
        <v>0.6</v>
      </c>
      <c r="B421">
        <f t="shared" si="12"/>
        <v>1</v>
      </c>
      <c r="C421">
        <f t="shared" si="13"/>
        <v>0</v>
      </c>
      <c r="D421" s="27">
        <v>3</v>
      </c>
      <c r="E421">
        <v>40000</v>
      </c>
      <c r="F421" s="50" t="s">
        <v>46</v>
      </c>
      <c r="H421" s="79">
        <v>394</v>
      </c>
      <c r="I421" s="79">
        <v>2.0465934380847148</v>
      </c>
      <c r="J421" s="79">
        <v>-1.4465934380847147</v>
      </c>
      <c r="K421" s="79">
        <v>-0.34397173512304802</v>
      </c>
    </row>
    <row r="422" spans="1:11" x14ac:dyDescent="0.2">
      <c r="A422">
        <v>14.8</v>
      </c>
      <c r="B422">
        <f t="shared" si="12"/>
        <v>1</v>
      </c>
      <c r="C422">
        <f t="shared" si="13"/>
        <v>1</v>
      </c>
      <c r="D422" s="25">
        <v>2</v>
      </c>
      <c r="E422">
        <v>40000</v>
      </c>
      <c r="F422" s="47" t="s">
        <v>290</v>
      </c>
      <c r="H422" s="79">
        <v>395</v>
      </c>
      <c r="I422" s="79">
        <v>14.892419237798668</v>
      </c>
      <c r="J422" s="79">
        <v>-7.6424192377986682</v>
      </c>
      <c r="K422" s="79">
        <v>-1.8172183949927643</v>
      </c>
    </row>
    <row r="423" spans="1:11" x14ac:dyDescent="0.2">
      <c r="A423">
        <v>1</v>
      </c>
      <c r="B423">
        <f t="shared" si="12"/>
        <v>1</v>
      </c>
      <c r="C423">
        <f t="shared" si="13"/>
        <v>0</v>
      </c>
      <c r="D423" s="27">
        <v>1</v>
      </c>
      <c r="E423">
        <v>5000</v>
      </c>
      <c r="F423" s="50" t="s">
        <v>100</v>
      </c>
      <c r="H423" s="79">
        <v>396</v>
      </c>
      <c r="I423" s="79">
        <v>2.3339724988328978</v>
      </c>
      <c r="J423" s="79">
        <v>-0.13397249883289764</v>
      </c>
      <c r="K423" s="79">
        <v>-3.1856049992412344E-2</v>
      </c>
    </row>
    <row r="424" spans="1:11" x14ac:dyDescent="0.2">
      <c r="A424">
        <v>6.75</v>
      </c>
      <c r="B424">
        <f t="shared" si="12"/>
        <v>1</v>
      </c>
      <c r="C424">
        <f t="shared" si="13"/>
        <v>1</v>
      </c>
      <c r="D424" s="25">
        <v>2</v>
      </c>
      <c r="E424">
        <v>60000</v>
      </c>
      <c r="F424" s="47" t="s">
        <v>246</v>
      </c>
      <c r="H424" s="79">
        <v>397</v>
      </c>
      <c r="I424" s="79">
        <v>2.0465934380847148</v>
      </c>
      <c r="J424" s="79">
        <v>-1.6465934380847149</v>
      </c>
      <c r="K424" s="79">
        <v>-0.39152783845757799</v>
      </c>
    </row>
    <row r="425" spans="1:11" x14ac:dyDescent="0.2">
      <c r="A425">
        <v>15</v>
      </c>
      <c r="B425">
        <f t="shared" si="12"/>
        <v>0</v>
      </c>
      <c r="C425">
        <f t="shared" si="13"/>
        <v>1</v>
      </c>
      <c r="D425" s="27">
        <v>1</v>
      </c>
      <c r="E425">
        <v>40000</v>
      </c>
      <c r="F425" s="50" t="s">
        <v>988</v>
      </c>
      <c r="H425" s="79">
        <v>398</v>
      </c>
      <c r="I425" s="79">
        <v>1.831059142523578</v>
      </c>
      <c r="J425" s="79">
        <v>1.168940857476422</v>
      </c>
      <c r="K425" s="79">
        <v>0.27795136105051366</v>
      </c>
    </row>
    <row r="426" spans="1:11" x14ac:dyDescent="0.2">
      <c r="A426">
        <v>1</v>
      </c>
      <c r="B426">
        <f t="shared" si="12"/>
        <v>1</v>
      </c>
      <c r="C426">
        <f t="shared" si="13"/>
        <v>0</v>
      </c>
      <c r="D426" s="25">
        <v>1</v>
      </c>
      <c r="E426">
        <v>60000</v>
      </c>
      <c r="F426" s="47" t="s">
        <v>46</v>
      </c>
      <c r="H426" s="79">
        <v>399</v>
      </c>
      <c r="I426" s="79">
        <v>2.3339724988328978</v>
      </c>
      <c r="J426" s="79">
        <v>6.6027501167102098E-2</v>
      </c>
      <c r="K426" s="79">
        <v>1.570005334211751E-2</v>
      </c>
    </row>
    <row r="427" spans="1:11" x14ac:dyDescent="0.2">
      <c r="A427">
        <v>1.4</v>
      </c>
      <c r="B427">
        <f t="shared" si="12"/>
        <v>1</v>
      </c>
      <c r="C427">
        <f t="shared" si="13"/>
        <v>0</v>
      </c>
      <c r="D427" s="27">
        <v>1</v>
      </c>
      <c r="E427">
        <v>40000</v>
      </c>
      <c r="F427" s="50" t="s">
        <v>100</v>
      </c>
      <c r="H427" s="79">
        <v>400</v>
      </c>
      <c r="I427" s="79">
        <v>2.0465934380847148</v>
      </c>
      <c r="J427" s="79">
        <v>-1.4465934380847147</v>
      </c>
      <c r="K427" s="79">
        <v>-0.34397173512304802</v>
      </c>
    </row>
    <row r="428" spans="1:11" x14ac:dyDescent="0.2">
      <c r="A428">
        <v>2.2000000000000002</v>
      </c>
      <c r="B428">
        <f t="shared" si="12"/>
        <v>1</v>
      </c>
      <c r="C428">
        <f t="shared" si="13"/>
        <v>0</v>
      </c>
      <c r="D428" s="25">
        <v>1</v>
      </c>
      <c r="E428">
        <v>5000</v>
      </c>
      <c r="F428" s="47" t="s">
        <v>46</v>
      </c>
      <c r="H428" s="79">
        <v>401</v>
      </c>
      <c r="I428" s="79">
        <v>11.181171206217435</v>
      </c>
      <c r="J428" s="79">
        <v>-4.4311712062174351</v>
      </c>
      <c r="K428" s="79">
        <v>-1.0536461788793496</v>
      </c>
    </row>
    <row r="429" spans="1:11" x14ac:dyDescent="0.2">
      <c r="A429">
        <v>5.6</v>
      </c>
      <c r="B429">
        <f t="shared" si="12"/>
        <v>1</v>
      </c>
      <c r="C429">
        <f t="shared" si="13"/>
        <v>1</v>
      </c>
      <c r="D429" s="27">
        <v>2</v>
      </c>
      <c r="E429">
        <v>60000</v>
      </c>
      <c r="F429" s="50" t="s">
        <v>246</v>
      </c>
      <c r="H429" s="79">
        <v>402</v>
      </c>
      <c r="I429" s="79">
        <v>2.3339724988328978</v>
      </c>
      <c r="J429" s="79">
        <v>-1.3339724988328978</v>
      </c>
      <c r="K429" s="79">
        <v>-0.31719266999959189</v>
      </c>
    </row>
    <row r="430" spans="1:11" x14ac:dyDescent="0.2">
      <c r="A430">
        <v>0.8</v>
      </c>
      <c r="B430">
        <f t="shared" si="12"/>
        <v>1</v>
      </c>
      <c r="C430">
        <f t="shared" si="13"/>
        <v>0</v>
      </c>
      <c r="D430" s="25">
        <v>1</v>
      </c>
      <c r="E430">
        <v>20000</v>
      </c>
      <c r="F430" s="47" t="s">
        <v>100</v>
      </c>
      <c r="H430" s="79">
        <v>403</v>
      </c>
      <c r="I430" s="79">
        <v>8.4091025801171568</v>
      </c>
      <c r="J430" s="79">
        <v>7.4242307532161771</v>
      </c>
      <c r="K430" s="79">
        <v>1.765337424396717</v>
      </c>
    </row>
    <row r="431" spans="1:11" x14ac:dyDescent="0.2">
      <c r="A431">
        <v>3.2</v>
      </c>
      <c r="B431">
        <f t="shared" si="12"/>
        <v>1</v>
      </c>
      <c r="C431">
        <f t="shared" si="13"/>
        <v>0</v>
      </c>
      <c r="D431" s="27">
        <v>1</v>
      </c>
      <c r="E431">
        <v>60000</v>
      </c>
      <c r="F431" s="50" t="s">
        <v>46</v>
      </c>
      <c r="H431" s="79">
        <v>404</v>
      </c>
      <c r="I431" s="79">
        <v>1.831059142523578</v>
      </c>
      <c r="J431" s="79">
        <v>0.91894085747642196</v>
      </c>
      <c r="K431" s="79">
        <v>0.21850623188235127</v>
      </c>
    </row>
    <row r="432" spans="1:11" x14ac:dyDescent="0.2">
      <c r="A432">
        <v>0.6</v>
      </c>
      <c r="B432">
        <f t="shared" si="12"/>
        <v>1</v>
      </c>
      <c r="C432">
        <f t="shared" si="13"/>
        <v>0</v>
      </c>
      <c r="D432" s="25">
        <v>1</v>
      </c>
      <c r="E432">
        <v>40000</v>
      </c>
      <c r="F432" s="47" t="s">
        <v>46</v>
      </c>
      <c r="H432" s="79">
        <v>405</v>
      </c>
      <c r="I432" s="79">
        <v>11.468550266965616</v>
      </c>
      <c r="J432" s="79">
        <v>5.731449733034383</v>
      </c>
      <c r="K432" s="79">
        <v>1.3628270788042351</v>
      </c>
    </row>
    <row r="433" spans="1:11" x14ac:dyDescent="0.2">
      <c r="A433">
        <v>4.5</v>
      </c>
      <c r="B433">
        <f t="shared" si="12"/>
        <v>0</v>
      </c>
      <c r="C433">
        <f t="shared" si="13"/>
        <v>1</v>
      </c>
      <c r="D433" s="27">
        <v>1</v>
      </c>
      <c r="E433">
        <v>40000</v>
      </c>
      <c r="F433" s="50" t="s">
        <v>431</v>
      </c>
      <c r="H433" s="79">
        <v>406</v>
      </c>
      <c r="I433" s="79">
        <v>1.831059142523578</v>
      </c>
      <c r="J433" s="79">
        <v>-0.83105914252357804</v>
      </c>
      <c r="K433" s="79">
        <v>-0.19760967229478552</v>
      </c>
    </row>
    <row r="434" spans="1:11" x14ac:dyDescent="0.2">
      <c r="A434">
        <v>1</v>
      </c>
      <c r="B434">
        <f t="shared" si="12"/>
        <v>1</v>
      </c>
      <c r="C434">
        <f t="shared" si="13"/>
        <v>0</v>
      </c>
      <c r="D434" s="25">
        <v>1</v>
      </c>
      <c r="E434">
        <v>5000</v>
      </c>
      <c r="F434" s="47" t="s">
        <v>46</v>
      </c>
      <c r="H434" s="79">
        <v>407</v>
      </c>
      <c r="I434" s="79">
        <v>2.3339724988328978</v>
      </c>
      <c r="J434" s="79">
        <v>6.6027501167102098E-2</v>
      </c>
      <c r="K434" s="79">
        <v>1.570005334211751E-2</v>
      </c>
    </row>
    <row r="435" spans="1:11" x14ac:dyDescent="0.2">
      <c r="A435">
        <v>2.2000000000000002</v>
      </c>
      <c r="B435">
        <f t="shared" si="12"/>
        <v>1</v>
      </c>
      <c r="C435">
        <f t="shared" si="13"/>
        <v>0</v>
      </c>
      <c r="D435" s="27">
        <v>1</v>
      </c>
      <c r="E435">
        <v>40000</v>
      </c>
      <c r="F435" s="50" t="s">
        <v>46</v>
      </c>
      <c r="H435" s="79">
        <v>408</v>
      </c>
      <c r="I435" s="79">
        <v>2.0465934380847148</v>
      </c>
      <c r="J435" s="79">
        <v>-1.4465934380847147</v>
      </c>
      <c r="K435" s="79">
        <v>-0.34397173512304802</v>
      </c>
    </row>
    <row r="436" spans="1:11" x14ac:dyDescent="0.2">
      <c r="A436">
        <v>1.6</v>
      </c>
      <c r="B436">
        <f t="shared" si="12"/>
        <v>1</v>
      </c>
      <c r="C436">
        <f t="shared" si="13"/>
        <v>0</v>
      </c>
      <c r="D436" s="25">
        <v>1</v>
      </c>
      <c r="E436">
        <v>40000</v>
      </c>
      <c r="F436" s="47" t="s">
        <v>46</v>
      </c>
      <c r="H436" s="79">
        <v>409</v>
      </c>
      <c r="I436" s="79">
        <v>2.0465934380847148</v>
      </c>
      <c r="J436" s="79">
        <v>2.753406561915285</v>
      </c>
      <c r="K436" s="79">
        <v>0.65470643490208025</v>
      </c>
    </row>
    <row r="437" spans="1:11" x14ac:dyDescent="0.2">
      <c r="A437">
        <v>1.75</v>
      </c>
      <c r="B437">
        <f t="shared" si="12"/>
        <v>1</v>
      </c>
      <c r="C437">
        <f t="shared" si="13"/>
        <v>0</v>
      </c>
      <c r="D437" s="27">
        <v>1</v>
      </c>
      <c r="E437">
        <v>40000</v>
      </c>
      <c r="F437" s="50" t="s">
        <v>100</v>
      </c>
      <c r="H437" s="79">
        <v>410</v>
      </c>
      <c r="I437" s="79">
        <v>2.0465934380847148</v>
      </c>
      <c r="J437" s="79">
        <v>-1.6465934380847149</v>
      </c>
      <c r="K437" s="79">
        <v>-0.39152783845757799</v>
      </c>
    </row>
    <row r="438" spans="1:11" x14ac:dyDescent="0.2">
      <c r="A438">
        <v>2.4</v>
      </c>
      <c r="B438">
        <f t="shared" si="12"/>
        <v>1</v>
      </c>
      <c r="C438">
        <f t="shared" si="13"/>
        <v>0</v>
      </c>
      <c r="D438" s="25">
        <v>1</v>
      </c>
      <c r="E438">
        <v>5000</v>
      </c>
      <c r="F438" s="47" t="s">
        <v>46</v>
      </c>
      <c r="H438" s="79">
        <v>411</v>
      </c>
      <c r="I438" s="79">
        <v>11.468550266965616</v>
      </c>
      <c r="J438" s="79">
        <v>-4.7185502669656163</v>
      </c>
      <c r="K438" s="79">
        <v>-1.1219793204249529</v>
      </c>
    </row>
    <row r="439" spans="1:11" x14ac:dyDescent="0.2">
      <c r="A439">
        <v>6.4</v>
      </c>
      <c r="B439">
        <f t="shared" si="12"/>
        <v>1</v>
      </c>
      <c r="C439">
        <f t="shared" si="13"/>
        <v>1</v>
      </c>
      <c r="D439" s="27">
        <v>2</v>
      </c>
      <c r="E439">
        <v>60000</v>
      </c>
      <c r="F439" s="50" t="s">
        <v>246</v>
      </c>
      <c r="H439" s="79">
        <v>412</v>
      </c>
      <c r="I439" s="79">
        <v>2.0465934380847148</v>
      </c>
      <c r="J439" s="79">
        <v>-1.4465934380847147</v>
      </c>
      <c r="K439" s="79">
        <v>-0.34397173512304802</v>
      </c>
    </row>
    <row r="440" spans="1:11" x14ac:dyDescent="0.2">
      <c r="A440">
        <v>0.8</v>
      </c>
      <c r="B440">
        <f t="shared" si="12"/>
        <v>1</v>
      </c>
      <c r="C440">
        <f t="shared" si="13"/>
        <v>0</v>
      </c>
      <c r="D440" s="25">
        <v>1</v>
      </c>
      <c r="E440">
        <v>5000</v>
      </c>
      <c r="F440" s="47" t="s">
        <v>100</v>
      </c>
      <c r="H440" s="79">
        <v>413</v>
      </c>
      <c r="I440" s="79">
        <v>1.831059142523578</v>
      </c>
      <c r="J440" s="79">
        <v>1.418940857476422</v>
      </c>
      <c r="K440" s="79">
        <v>0.33739649021867607</v>
      </c>
    </row>
    <row r="441" spans="1:11" x14ac:dyDescent="0.2">
      <c r="A441">
        <v>3</v>
      </c>
      <c r="B441">
        <f t="shared" si="12"/>
        <v>1</v>
      </c>
      <c r="C441">
        <f t="shared" si="13"/>
        <v>0</v>
      </c>
      <c r="D441" s="27">
        <v>1</v>
      </c>
      <c r="E441">
        <v>40000</v>
      </c>
      <c r="F441" s="50" t="s">
        <v>46</v>
      </c>
      <c r="H441" s="79">
        <v>414</v>
      </c>
      <c r="I441" s="79">
        <v>11.181171206217435</v>
      </c>
      <c r="J441" s="79">
        <v>4.485495460449231</v>
      </c>
      <c r="K441" s="79">
        <v>1.0665634281184424</v>
      </c>
    </row>
    <row r="442" spans="1:11" x14ac:dyDescent="0.2">
      <c r="A442">
        <v>0.6</v>
      </c>
      <c r="B442">
        <f t="shared" si="12"/>
        <v>1</v>
      </c>
      <c r="C442">
        <f t="shared" si="13"/>
        <v>0</v>
      </c>
      <c r="D442" s="25">
        <v>1</v>
      </c>
      <c r="E442">
        <v>5000</v>
      </c>
      <c r="F442" s="47" t="s">
        <v>46</v>
      </c>
      <c r="H442" s="79">
        <v>415</v>
      </c>
      <c r="I442" s="79">
        <v>2.3339724988328978</v>
      </c>
      <c r="J442" s="79">
        <v>-0.66730583216623107</v>
      </c>
      <c r="K442" s="79">
        <v>-0.15867232555115882</v>
      </c>
    </row>
    <row r="443" spans="1:11" x14ac:dyDescent="0.2">
      <c r="A443">
        <v>7</v>
      </c>
      <c r="B443">
        <f t="shared" si="12"/>
        <v>0</v>
      </c>
      <c r="C443">
        <f t="shared" si="13"/>
        <v>1</v>
      </c>
      <c r="D443" s="27">
        <v>1</v>
      </c>
      <c r="E443">
        <v>40000</v>
      </c>
      <c r="F443" s="50" t="s">
        <v>431</v>
      </c>
      <c r="H443" s="79">
        <v>416</v>
      </c>
      <c r="I443" s="79">
        <v>15.251643063733898</v>
      </c>
      <c r="J443" s="79">
        <v>-7.5016430637338978</v>
      </c>
      <c r="K443" s="79">
        <v>-1.7837445635884444</v>
      </c>
    </row>
    <row r="444" spans="1:11" x14ac:dyDescent="0.2">
      <c r="A444">
        <v>1.25</v>
      </c>
      <c r="B444">
        <f t="shared" si="12"/>
        <v>1</v>
      </c>
      <c r="C444">
        <f t="shared" si="13"/>
        <v>0</v>
      </c>
      <c r="D444" s="25">
        <v>1</v>
      </c>
      <c r="E444">
        <v>40000</v>
      </c>
      <c r="F444" s="47" t="s">
        <v>46</v>
      </c>
      <c r="H444" s="79">
        <v>417</v>
      </c>
      <c r="I444" s="79">
        <v>2.0465934380847148</v>
      </c>
      <c r="J444" s="79">
        <v>-1.5465934380847148</v>
      </c>
      <c r="K444" s="79">
        <v>-0.367749786790313</v>
      </c>
    </row>
    <row r="445" spans="1:11" x14ac:dyDescent="0.2">
      <c r="A445">
        <v>2.75</v>
      </c>
      <c r="B445">
        <f t="shared" si="12"/>
        <v>1</v>
      </c>
      <c r="C445">
        <f t="shared" si="13"/>
        <v>0</v>
      </c>
      <c r="D445" s="27">
        <v>2</v>
      </c>
      <c r="E445">
        <v>60000</v>
      </c>
      <c r="F445" s="50" t="s">
        <v>61</v>
      </c>
      <c r="H445" s="79">
        <v>418</v>
      </c>
      <c r="I445" s="79">
        <v>8.0498787541819272</v>
      </c>
      <c r="J445" s="79">
        <v>-1.5498787541819272</v>
      </c>
      <c r="K445" s="79">
        <v>-0.36853097094934112</v>
      </c>
    </row>
    <row r="446" spans="1:11" x14ac:dyDescent="0.2">
      <c r="A446">
        <v>1.6</v>
      </c>
      <c r="B446">
        <f t="shared" si="12"/>
        <v>1</v>
      </c>
      <c r="C446">
        <f t="shared" si="13"/>
        <v>0</v>
      </c>
      <c r="D446" s="25">
        <v>1</v>
      </c>
      <c r="E446">
        <v>40000</v>
      </c>
      <c r="F446" s="47" t="s">
        <v>46</v>
      </c>
      <c r="H446" s="79">
        <v>419</v>
      </c>
      <c r="I446" s="79">
        <v>2.3339724988328978</v>
      </c>
      <c r="J446" s="79">
        <v>1.3326941678337687</v>
      </c>
      <c r="K446" s="79">
        <v>0.3168887077941403</v>
      </c>
    </row>
    <row r="447" spans="1:11" x14ac:dyDescent="0.2">
      <c r="A447">
        <v>2</v>
      </c>
      <c r="B447">
        <f t="shared" si="12"/>
        <v>1</v>
      </c>
      <c r="C447">
        <f t="shared" si="13"/>
        <v>0</v>
      </c>
      <c r="D447" s="27">
        <v>1</v>
      </c>
      <c r="E447">
        <v>40000</v>
      </c>
      <c r="F447" s="50" t="s">
        <v>100</v>
      </c>
      <c r="H447" s="79">
        <v>420</v>
      </c>
      <c r="I447" s="79">
        <v>9.1817104404990033</v>
      </c>
      <c r="J447" s="79">
        <v>-8.5817104404990037</v>
      </c>
      <c r="K447" s="79">
        <v>-2.0405635424769244</v>
      </c>
    </row>
    <row r="448" spans="1:11" x14ac:dyDescent="0.2">
      <c r="A448">
        <v>21.25</v>
      </c>
      <c r="B448">
        <f t="shared" si="12"/>
        <v>0</v>
      </c>
      <c r="C448">
        <f t="shared" si="13"/>
        <v>1</v>
      </c>
      <c r="D448" s="25">
        <v>1</v>
      </c>
      <c r="E448">
        <v>60000</v>
      </c>
      <c r="F448" s="47" t="s">
        <v>988</v>
      </c>
      <c r="H448" s="79">
        <v>421</v>
      </c>
      <c r="I448" s="79">
        <v>11.181171206217435</v>
      </c>
      <c r="J448" s="79">
        <v>3.6188287937825656</v>
      </c>
      <c r="K448" s="79">
        <v>0.86048698033547977</v>
      </c>
    </row>
    <row r="449" spans="1:11" x14ac:dyDescent="0.2">
      <c r="A449">
        <v>2.25</v>
      </c>
      <c r="B449">
        <f t="shared" si="12"/>
        <v>1</v>
      </c>
      <c r="C449">
        <f t="shared" si="13"/>
        <v>0</v>
      </c>
      <c r="D449" s="27">
        <v>1</v>
      </c>
      <c r="E449">
        <v>5000</v>
      </c>
      <c r="F449" s="50" t="s">
        <v>46</v>
      </c>
      <c r="H449" s="79">
        <v>422</v>
      </c>
      <c r="I449" s="79">
        <v>1.831059142523578</v>
      </c>
      <c r="J449" s="79">
        <v>-0.83105914252357804</v>
      </c>
      <c r="K449" s="79">
        <v>-0.19760967229478552</v>
      </c>
    </row>
    <row r="450" spans="1:11" x14ac:dyDescent="0.2">
      <c r="A450">
        <v>5</v>
      </c>
      <c r="B450">
        <f t="shared" si="12"/>
        <v>1</v>
      </c>
      <c r="C450">
        <f t="shared" si="13"/>
        <v>1</v>
      </c>
      <c r="D450" s="25">
        <v>2</v>
      </c>
      <c r="E450">
        <v>85000</v>
      </c>
      <c r="F450" s="47" t="s">
        <v>246</v>
      </c>
      <c r="H450" s="79">
        <v>423</v>
      </c>
      <c r="I450" s="79">
        <v>11.468550266965616</v>
      </c>
      <c r="J450" s="79">
        <v>-4.7185502669656163</v>
      </c>
      <c r="K450" s="79">
        <v>-1.1219793204249529</v>
      </c>
    </row>
    <row r="451" spans="1:11" x14ac:dyDescent="0.2">
      <c r="A451">
        <v>10.666666666666666</v>
      </c>
      <c r="B451">
        <f t="shared" ref="B451:B514" si="14">IF(ISNUMBER(SEARCH("bike",F451))+ISNUMBER(SEARCH("scooty",F451))&gt;0,1,0)</f>
        <v>1</v>
      </c>
      <c r="C451">
        <f t="shared" ref="C451:C514" si="15">IF(ISNUMBER(SEARCH("car",F451))+ISNUMBER(SEARCH("Commercial vehicle",F451))&gt;0,1,0)</f>
        <v>0</v>
      </c>
      <c r="D451" s="27">
        <v>1</v>
      </c>
      <c r="E451">
        <v>40000</v>
      </c>
      <c r="F451" s="50" t="s">
        <v>46</v>
      </c>
      <c r="H451" s="79">
        <v>424</v>
      </c>
      <c r="I451" s="79">
        <v>7.7624996934337451</v>
      </c>
      <c r="J451" s="79">
        <v>7.2375003065662549</v>
      </c>
      <c r="K451" s="79">
        <v>1.720936562313784</v>
      </c>
    </row>
    <row r="452" spans="1:11" x14ac:dyDescent="0.2">
      <c r="A452">
        <v>1</v>
      </c>
      <c r="B452">
        <f t="shared" si="14"/>
        <v>1</v>
      </c>
      <c r="C452">
        <f t="shared" si="15"/>
        <v>0</v>
      </c>
      <c r="D452" s="25">
        <v>1</v>
      </c>
      <c r="E452">
        <v>20000</v>
      </c>
      <c r="F452" s="47" t="s">
        <v>100</v>
      </c>
      <c r="H452" s="79">
        <v>425</v>
      </c>
      <c r="I452" s="79">
        <v>2.6213515595810803</v>
      </c>
      <c r="J452" s="79">
        <v>-1.6213515595810803</v>
      </c>
      <c r="K452" s="79">
        <v>-0.3855258115451955</v>
      </c>
    </row>
    <row r="453" spans="1:11" x14ac:dyDescent="0.2">
      <c r="A453">
        <v>2.2000000000000002</v>
      </c>
      <c r="B453">
        <f t="shared" si="14"/>
        <v>1</v>
      </c>
      <c r="C453">
        <f t="shared" si="15"/>
        <v>0</v>
      </c>
      <c r="D453" s="27">
        <v>1</v>
      </c>
      <c r="E453">
        <v>5000</v>
      </c>
      <c r="F453" s="50" t="s">
        <v>46</v>
      </c>
      <c r="H453" s="79">
        <v>426</v>
      </c>
      <c r="I453" s="79">
        <v>2.3339724988328978</v>
      </c>
      <c r="J453" s="79">
        <v>-0.9339724988328979</v>
      </c>
      <c r="K453" s="79">
        <v>-0.22208046333053208</v>
      </c>
    </row>
    <row r="454" spans="1:11" x14ac:dyDescent="0.2">
      <c r="A454">
        <v>1</v>
      </c>
      <c r="B454">
        <f t="shared" si="14"/>
        <v>1</v>
      </c>
      <c r="C454">
        <f t="shared" si="15"/>
        <v>0</v>
      </c>
      <c r="D454" s="25">
        <v>1</v>
      </c>
      <c r="E454">
        <v>60000</v>
      </c>
      <c r="F454" s="47" t="s">
        <v>46</v>
      </c>
      <c r="H454" s="79">
        <v>427</v>
      </c>
      <c r="I454" s="79">
        <v>1.831059142523578</v>
      </c>
      <c r="J454" s="79">
        <v>0.36894085747642213</v>
      </c>
      <c r="K454" s="79">
        <v>8.7726947712394032E-2</v>
      </c>
    </row>
    <row r="455" spans="1:11" x14ac:dyDescent="0.2">
      <c r="A455">
        <v>8.6666666666666661</v>
      </c>
      <c r="B455">
        <f t="shared" si="14"/>
        <v>0</v>
      </c>
      <c r="C455">
        <f t="shared" si="15"/>
        <v>1</v>
      </c>
      <c r="D455" s="27">
        <v>1</v>
      </c>
      <c r="E455">
        <v>125000</v>
      </c>
      <c r="F455" s="50" t="s">
        <v>431</v>
      </c>
      <c r="H455" s="79">
        <v>428</v>
      </c>
      <c r="I455" s="79">
        <v>11.468550266965616</v>
      </c>
      <c r="J455" s="79">
        <v>-5.8685502669656167</v>
      </c>
      <c r="K455" s="79">
        <v>-1.3954269145985001</v>
      </c>
    </row>
    <row r="456" spans="1:11" x14ac:dyDescent="0.2">
      <c r="A456">
        <v>1.4</v>
      </c>
      <c r="B456">
        <f t="shared" si="14"/>
        <v>1</v>
      </c>
      <c r="C456">
        <f t="shared" si="15"/>
        <v>0</v>
      </c>
      <c r="D456" s="25">
        <v>1</v>
      </c>
      <c r="E456">
        <v>20000</v>
      </c>
      <c r="F456" s="47" t="s">
        <v>46</v>
      </c>
      <c r="H456" s="79">
        <v>429</v>
      </c>
      <c r="I456" s="79">
        <v>2.0465934380847148</v>
      </c>
      <c r="J456" s="79">
        <v>-1.2465934380847148</v>
      </c>
      <c r="K456" s="79">
        <v>-0.2964156317885181</v>
      </c>
    </row>
    <row r="457" spans="1:11" x14ac:dyDescent="0.2">
      <c r="A457">
        <v>2.3333333333333335</v>
      </c>
      <c r="B457">
        <f t="shared" si="14"/>
        <v>1</v>
      </c>
      <c r="C457">
        <f t="shared" si="15"/>
        <v>0</v>
      </c>
      <c r="D457" s="27">
        <v>1</v>
      </c>
      <c r="E457">
        <v>40000</v>
      </c>
      <c r="F457" s="50" t="s">
        <v>100</v>
      </c>
      <c r="H457" s="79">
        <v>430</v>
      </c>
      <c r="I457" s="79">
        <v>2.6213515595810803</v>
      </c>
      <c r="J457" s="79">
        <v>0.57864844041891983</v>
      </c>
      <c r="K457" s="79">
        <v>0.13759132513463365</v>
      </c>
    </row>
    <row r="458" spans="1:11" x14ac:dyDescent="0.2">
      <c r="A458">
        <v>2.5</v>
      </c>
      <c r="B458">
        <f t="shared" si="14"/>
        <v>1</v>
      </c>
      <c r="C458">
        <f t="shared" si="15"/>
        <v>0</v>
      </c>
      <c r="D458" s="25">
        <v>1</v>
      </c>
      <c r="E458">
        <v>20000</v>
      </c>
      <c r="F458" s="47" t="s">
        <v>46</v>
      </c>
      <c r="H458" s="79">
        <v>431</v>
      </c>
      <c r="I458" s="79">
        <v>2.3339724988328978</v>
      </c>
      <c r="J458" s="79">
        <v>-1.7339724988328977</v>
      </c>
      <c r="K458" s="79">
        <v>-0.41230487666865173</v>
      </c>
    </row>
    <row r="459" spans="1:11" x14ac:dyDescent="0.2">
      <c r="A459">
        <v>5.166666666666667</v>
      </c>
      <c r="B459">
        <f t="shared" si="14"/>
        <v>1</v>
      </c>
      <c r="C459">
        <f t="shared" si="15"/>
        <v>1</v>
      </c>
      <c r="D459" s="27">
        <v>2</v>
      </c>
      <c r="E459">
        <v>60000</v>
      </c>
      <c r="F459" s="50" t="s">
        <v>246</v>
      </c>
      <c r="H459" s="79">
        <v>432</v>
      </c>
      <c r="I459" s="79">
        <v>7.7624996934337451</v>
      </c>
      <c r="J459" s="79">
        <v>-3.2624996934337451</v>
      </c>
      <c r="K459" s="79">
        <v>-0.77575886274903683</v>
      </c>
    </row>
    <row r="460" spans="1:11" x14ac:dyDescent="0.2">
      <c r="A460">
        <v>0.75</v>
      </c>
      <c r="B460">
        <f t="shared" si="14"/>
        <v>1</v>
      </c>
      <c r="C460">
        <f t="shared" si="15"/>
        <v>0</v>
      </c>
      <c r="D460" s="25">
        <v>1</v>
      </c>
      <c r="E460">
        <v>20000</v>
      </c>
      <c r="F460" s="47" t="s">
        <v>100</v>
      </c>
      <c r="H460" s="79">
        <v>433</v>
      </c>
      <c r="I460" s="79">
        <v>1.831059142523578</v>
      </c>
      <c r="J460" s="79">
        <v>-0.83105914252357804</v>
      </c>
      <c r="K460" s="79">
        <v>-0.19760967229478552</v>
      </c>
    </row>
    <row r="461" spans="1:11" x14ac:dyDescent="0.2">
      <c r="A461">
        <v>4.666666666666667</v>
      </c>
      <c r="B461">
        <f t="shared" si="14"/>
        <v>1</v>
      </c>
      <c r="C461">
        <f t="shared" si="15"/>
        <v>0</v>
      </c>
      <c r="D461" s="27">
        <v>1</v>
      </c>
      <c r="E461">
        <v>60000</v>
      </c>
      <c r="F461" s="50" t="s">
        <v>46</v>
      </c>
      <c r="H461" s="79">
        <v>434</v>
      </c>
      <c r="I461" s="79">
        <v>2.3339724988328978</v>
      </c>
      <c r="J461" s="79">
        <v>-0.13397249883289764</v>
      </c>
      <c r="K461" s="79">
        <v>-3.1856049992412344E-2</v>
      </c>
    </row>
    <row r="462" spans="1:11" x14ac:dyDescent="0.2">
      <c r="A462">
        <v>0.8</v>
      </c>
      <c r="B462">
        <f t="shared" si="14"/>
        <v>1</v>
      </c>
      <c r="C462">
        <f t="shared" si="15"/>
        <v>0</v>
      </c>
      <c r="D462" s="25">
        <v>1</v>
      </c>
      <c r="E462">
        <v>20000</v>
      </c>
      <c r="F462" s="47" t="s">
        <v>46</v>
      </c>
      <c r="H462" s="79">
        <v>435</v>
      </c>
      <c r="I462" s="79">
        <v>2.3339724988328978</v>
      </c>
      <c r="J462" s="79">
        <v>-0.73397249883289772</v>
      </c>
      <c r="K462" s="79">
        <v>-0.17452435999600213</v>
      </c>
    </row>
    <row r="463" spans="1:11" x14ac:dyDescent="0.2">
      <c r="A463">
        <v>6</v>
      </c>
      <c r="B463">
        <f t="shared" si="14"/>
        <v>0</v>
      </c>
      <c r="C463">
        <f t="shared" si="15"/>
        <v>1</v>
      </c>
      <c r="D463" s="27">
        <v>1</v>
      </c>
      <c r="E463">
        <v>85000</v>
      </c>
      <c r="F463" s="50" t="s">
        <v>431</v>
      </c>
      <c r="H463" s="79">
        <v>436</v>
      </c>
      <c r="I463" s="79">
        <v>2.3339724988328978</v>
      </c>
      <c r="J463" s="79">
        <v>-0.58397249883289781</v>
      </c>
      <c r="K463" s="79">
        <v>-0.13885728249510471</v>
      </c>
    </row>
    <row r="464" spans="1:11" x14ac:dyDescent="0.2">
      <c r="A464">
        <v>2.25</v>
      </c>
      <c r="B464">
        <f t="shared" si="14"/>
        <v>1</v>
      </c>
      <c r="C464">
        <f t="shared" si="15"/>
        <v>0</v>
      </c>
      <c r="D464" s="25">
        <v>1</v>
      </c>
      <c r="E464">
        <v>5000</v>
      </c>
      <c r="F464" s="47" t="s">
        <v>46</v>
      </c>
      <c r="H464" s="79">
        <v>437</v>
      </c>
      <c r="I464" s="79">
        <v>1.831059142523578</v>
      </c>
      <c r="J464" s="79">
        <v>0.56894085747642187</v>
      </c>
      <c r="K464" s="79">
        <v>0.1352830510469239</v>
      </c>
    </row>
    <row r="465" spans="1:11" x14ac:dyDescent="0.2">
      <c r="A465">
        <v>2</v>
      </c>
      <c r="B465">
        <f t="shared" si="14"/>
        <v>1</v>
      </c>
      <c r="C465">
        <f t="shared" si="15"/>
        <v>0</v>
      </c>
      <c r="D465" s="27">
        <v>1</v>
      </c>
      <c r="E465">
        <v>40000</v>
      </c>
      <c r="F465" s="50" t="s">
        <v>100</v>
      </c>
      <c r="H465" s="79">
        <v>438</v>
      </c>
      <c r="I465" s="79">
        <v>11.468550266965616</v>
      </c>
      <c r="J465" s="79">
        <v>-5.0685502669656159</v>
      </c>
      <c r="K465" s="79">
        <v>-1.2052025012603802</v>
      </c>
    </row>
    <row r="466" spans="1:11" x14ac:dyDescent="0.2">
      <c r="A466">
        <v>1.75</v>
      </c>
      <c r="B466">
        <f t="shared" si="14"/>
        <v>1</v>
      </c>
      <c r="C466">
        <f t="shared" si="15"/>
        <v>0</v>
      </c>
      <c r="D466" s="25">
        <v>1</v>
      </c>
      <c r="E466">
        <v>40000</v>
      </c>
      <c r="F466" s="47" t="s">
        <v>46</v>
      </c>
      <c r="H466" s="79">
        <v>439</v>
      </c>
      <c r="I466" s="79">
        <v>1.831059142523578</v>
      </c>
      <c r="J466" s="79">
        <v>-1.031059142523578</v>
      </c>
      <c r="K466" s="79">
        <v>-0.24516577562931544</v>
      </c>
    </row>
    <row r="467" spans="1:11" x14ac:dyDescent="0.2">
      <c r="A467">
        <v>1.6666666666666667</v>
      </c>
      <c r="B467">
        <f t="shared" si="14"/>
        <v>1</v>
      </c>
      <c r="C467">
        <f t="shared" si="15"/>
        <v>0</v>
      </c>
      <c r="D467" s="27">
        <v>1</v>
      </c>
      <c r="E467">
        <v>40000</v>
      </c>
      <c r="F467" s="50" t="s">
        <v>100</v>
      </c>
      <c r="H467" s="79">
        <v>440</v>
      </c>
      <c r="I467" s="79">
        <v>2.3339724988328978</v>
      </c>
      <c r="J467" s="79">
        <v>0.66602750116710219</v>
      </c>
      <c r="K467" s="79">
        <v>0.15836836334570728</v>
      </c>
    </row>
    <row r="468" spans="1:11" x14ac:dyDescent="0.2">
      <c r="A468">
        <v>2.4</v>
      </c>
      <c r="B468">
        <f t="shared" si="14"/>
        <v>1</v>
      </c>
      <c r="C468">
        <f t="shared" si="15"/>
        <v>0</v>
      </c>
      <c r="D468" s="25">
        <v>1</v>
      </c>
      <c r="E468">
        <v>5000</v>
      </c>
      <c r="F468" s="47" t="s">
        <v>46</v>
      </c>
      <c r="H468" s="79">
        <v>441</v>
      </c>
      <c r="I468" s="79">
        <v>1.831059142523578</v>
      </c>
      <c r="J468" s="79">
        <v>-1.231059142523578</v>
      </c>
      <c r="K468" s="79">
        <v>-0.29272187896384533</v>
      </c>
    </row>
    <row r="469" spans="1:11" x14ac:dyDescent="0.2">
      <c r="A469">
        <v>4.5</v>
      </c>
      <c r="B469">
        <f t="shared" si="14"/>
        <v>1</v>
      </c>
      <c r="C469">
        <f t="shared" si="15"/>
        <v>1</v>
      </c>
      <c r="D469" s="27">
        <v>2</v>
      </c>
      <c r="E469">
        <v>60000</v>
      </c>
      <c r="F469" s="50" t="s">
        <v>246</v>
      </c>
      <c r="H469" s="79">
        <v>442</v>
      </c>
      <c r="I469" s="79">
        <v>7.7624996934337451</v>
      </c>
      <c r="J469" s="79">
        <v>-0.76249969343374513</v>
      </c>
      <c r="K469" s="79">
        <v>-0.18130757106741285</v>
      </c>
    </row>
    <row r="470" spans="1:11" x14ac:dyDescent="0.2">
      <c r="A470">
        <v>0.75</v>
      </c>
      <c r="B470">
        <f t="shared" si="14"/>
        <v>1</v>
      </c>
      <c r="C470">
        <f t="shared" si="15"/>
        <v>0</v>
      </c>
      <c r="D470" s="25">
        <v>1</v>
      </c>
      <c r="E470">
        <v>20000</v>
      </c>
      <c r="F470" s="47" t="s">
        <v>100</v>
      </c>
      <c r="H470" s="79">
        <v>443</v>
      </c>
      <c r="I470" s="79">
        <v>2.3339724988328978</v>
      </c>
      <c r="J470" s="79">
        <v>-1.0839724988328978</v>
      </c>
      <c r="K470" s="79">
        <v>-0.25774754083142953</v>
      </c>
    </row>
    <row r="471" spans="1:11" x14ac:dyDescent="0.2">
      <c r="A471">
        <v>5.333333333333333</v>
      </c>
      <c r="B471">
        <f t="shared" si="14"/>
        <v>1</v>
      </c>
      <c r="C471">
        <f t="shared" si="15"/>
        <v>0</v>
      </c>
      <c r="D471" s="27">
        <v>1</v>
      </c>
      <c r="E471">
        <v>60000</v>
      </c>
      <c r="F471" s="50" t="s">
        <v>46</v>
      </c>
      <c r="H471" s="79">
        <v>444</v>
      </c>
      <c r="I471" s="79">
        <v>6.0452205304141335</v>
      </c>
      <c r="J471" s="79">
        <v>-3.2952205304141335</v>
      </c>
      <c r="K471" s="79">
        <v>-0.78353924027219513</v>
      </c>
    </row>
    <row r="472" spans="1:11" x14ac:dyDescent="0.2">
      <c r="A472">
        <v>0.6</v>
      </c>
      <c r="B472">
        <f t="shared" si="14"/>
        <v>1</v>
      </c>
      <c r="C472">
        <f t="shared" si="15"/>
        <v>0</v>
      </c>
      <c r="D472" s="25">
        <v>1</v>
      </c>
      <c r="E472">
        <v>20000</v>
      </c>
      <c r="F472" s="47" t="s">
        <v>46</v>
      </c>
      <c r="H472" s="79">
        <v>445</v>
      </c>
      <c r="I472" s="79">
        <v>2.3339724988328978</v>
      </c>
      <c r="J472" s="79">
        <v>-0.73397249883289772</v>
      </c>
      <c r="K472" s="79">
        <v>-0.17452435999600213</v>
      </c>
    </row>
    <row r="473" spans="1:11" x14ac:dyDescent="0.2">
      <c r="A473">
        <v>6.5</v>
      </c>
      <c r="B473">
        <f t="shared" si="14"/>
        <v>0</v>
      </c>
      <c r="C473">
        <f t="shared" si="15"/>
        <v>1</v>
      </c>
      <c r="D473" s="27">
        <v>1</v>
      </c>
      <c r="E473">
        <v>85000</v>
      </c>
      <c r="F473" s="50" t="s">
        <v>431</v>
      </c>
      <c r="H473" s="79">
        <v>446</v>
      </c>
      <c r="I473" s="79">
        <v>2.3339724988328978</v>
      </c>
      <c r="J473" s="79">
        <v>-0.33397249883289781</v>
      </c>
      <c r="K473" s="79">
        <v>-7.9412153326942306E-2</v>
      </c>
    </row>
    <row r="474" spans="1:11" x14ac:dyDescent="0.2">
      <c r="A474">
        <v>0.66666666666666663</v>
      </c>
      <c r="B474">
        <f t="shared" si="14"/>
        <v>1</v>
      </c>
      <c r="C474">
        <f t="shared" si="15"/>
        <v>0</v>
      </c>
      <c r="D474" s="25">
        <v>1</v>
      </c>
      <c r="E474">
        <v>5000</v>
      </c>
      <c r="F474" s="47" t="s">
        <v>46</v>
      </c>
      <c r="H474" s="79">
        <v>447</v>
      </c>
      <c r="I474" s="79">
        <v>8.0498787541819272</v>
      </c>
      <c r="J474" s="79">
        <v>13.200121245818073</v>
      </c>
      <c r="K474" s="79">
        <v>3.1387316499722404</v>
      </c>
    </row>
    <row r="475" spans="1:11" x14ac:dyDescent="0.2">
      <c r="A475">
        <v>3.6666666666666665</v>
      </c>
      <c r="B475">
        <f t="shared" si="14"/>
        <v>1</v>
      </c>
      <c r="C475">
        <f t="shared" si="15"/>
        <v>0</v>
      </c>
      <c r="D475" s="27">
        <v>1</v>
      </c>
      <c r="E475">
        <v>40000</v>
      </c>
      <c r="F475" s="50" t="s">
        <v>46</v>
      </c>
      <c r="H475" s="79">
        <v>448</v>
      </c>
      <c r="I475" s="79">
        <v>1.831059142523578</v>
      </c>
      <c r="J475" s="79">
        <v>0.41894085747642196</v>
      </c>
      <c r="K475" s="79">
        <v>9.9615973546026471E-2</v>
      </c>
    </row>
    <row r="476" spans="1:11" x14ac:dyDescent="0.2">
      <c r="A476">
        <v>1.75</v>
      </c>
      <c r="B476">
        <f t="shared" si="14"/>
        <v>1</v>
      </c>
      <c r="C476">
        <f t="shared" si="15"/>
        <v>0</v>
      </c>
      <c r="D476" s="25">
        <v>1</v>
      </c>
      <c r="E476">
        <v>40000</v>
      </c>
      <c r="F476" s="47" t="s">
        <v>46</v>
      </c>
      <c r="H476" s="79">
        <v>449</v>
      </c>
      <c r="I476" s="79">
        <v>11.827774092900846</v>
      </c>
      <c r="J476" s="79">
        <v>-6.8277740929008459</v>
      </c>
      <c r="K476" s="79">
        <v>-1.6235116515340946</v>
      </c>
    </row>
    <row r="477" spans="1:11" x14ac:dyDescent="0.2">
      <c r="A477">
        <v>1.6666666666666667</v>
      </c>
      <c r="B477">
        <f t="shared" si="14"/>
        <v>1</v>
      </c>
      <c r="C477">
        <f t="shared" si="15"/>
        <v>0</v>
      </c>
      <c r="D477" s="27">
        <v>1</v>
      </c>
      <c r="E477">
        <v>40000</v>
      </c>
      <c r="F477" s="50" t="s">
        <v>100</v>
      </c>
      <c r="H477" s="79">
        <v>450</v>
      </c>
      <c r="I477" s="79">
        <v>2.3339724988328978</v>
      </c>
      <c r="J477" s="79">
        <v>8.3326941678337683</v>
      </c>
      <c r="K477" s="79">
        <v>1.9813523245026874</v>
      </c>
    </row>
    <row r="478" spans="1:11" x14ac:dyDescent="0.2">
      <c r="A478">
        <v>1.8</v>
      </c>
      <c r="B478">
        <f t="shared" si="14"/>
        <v>1</v>
      </c>
      <c r="C478">
        <f t="shared" si="15"/>
        <v>0</v>
      </c>
      <c r="D478" s="25">
        <v>1</v>
      </c>
      <c r="E478">
        <v>5000</v>
      </c>
      <c r="F478" s="47" t="s">
        <v>46</v>
      </c>
      <c r="H478" s="79">
        <v>451</v>
      </c>
      <c r="I478" s="79">
        <v>2.0465934380847148</v>
      </c>
      <c r="J478" s="79">
        <v>-1.0465934380847148</v>
      </c>
      <c r="K478" s="79">
        <v>-0.2488595284539882</v>
      </c>
    </row>
    <row r="479" spans="1:11" x14ac:dyDescent="0.2">
      <c r="A479">
        <v>2</v>
      </c>
      <c r="B479">
        <f t="shared" si="14"/>
        <v>1</v>
      </c>
      <c r="C479">
        <f t="shared" si="15"/>
        <v>0</v>
      </c>
      <c r="D479" s="27">
        <v>1</v>
      </c>
      <c r="E479">
        <v>5000</v>
      </c>
      <c r="F479" s="50" t="s">
        <v>46</v>
      </c>
      <c r="H479" s="79">
        <v>452</v>
      </c>
      <c r="I479" s="79">
        <v>1.831059142523578</v>
      </c>
      <c r="J479" s="79">
        <v>0.36894085747642213</v>
      </c>
      <c r="K479" s="79">
        <v>8.7726947712394032E-2</v>
      </c>
    </row>
    <row r="480" spans="1:11" x14ac:dyDescent="0.2">
      <c r="A480">
        <v>4.333333333333333</v>
      </c>
      <c r="B480">
        <f t="shared" si="14"/>
        <v>1</v>
      </c>
      <c r="C480">
        <f t="shared" si="15"/>
        <v>1</v>
      </c>
      <c r="D480" s="25">
        <v>2</v>
      </c>
      <c r="E480">
        <v>60000</v>
      </c>
      <c r="F480" s="47" t="s">
        <v>246</v>
      </c>
      <c r="H480" s="79">
        <v>453</v>
      </c>
      <c r="I480" s="79">
        <v>2.6213515595810803</v>
      </c>
      <c r="J480" s="79">
        <v>-1.6213515595810803</v>
      </c>
      <c r="K480" s="79">
        <v>-0.3855258115451955</v>
      </c>
    </row>
    <row r="481" spans="1:11" x14ac:dyDescent="0.2">
      <c r="A481">
        <v>0.75</v>
      </c>
      <c r="B481">
        <f t="shared" si="14"/>
        <v>1</v>
      </c>
      <c r="C481">
        <f t="shared" si="15"/>
        <v>0</v>
      </c>
      <c r="D481" s="27">
        <v>1</v>
      </c>
      <c r="E481">
        <v>20000</v>
      </c>
      <c r="F481" s="50" t="s">
        <v>100</v>
      </c>
      <c r="H481" s="79">
        <v>454</v>
      </c>
      <c r="I481" s="79">
        <v>8.983860701613521</v>
      </c>
      <c r="J481" s="79">
        <v>-0.31719403494685494</v>
      </c>
      <c r="K481" s="79">
        <v>-7.5422561515145647E-2</v>
      </c>
    </row>
    <row r="482" spans="1:11" x14ac:dyDescent="0.2">
      <c r="A482">
        <v>5</v>
      </c>
      <c r="B482">
        <f t="shared" si="14"/>
        <v>1</v>
      </c>
      <c r="C482">
        <f t="shared" si="15"/>
        <v>0</v>
      </c>
      <c r="D482" s="25">
        <v>1</v>
      </c>
      <c r="E482">
        <v>60000</v>
      </c>
      <c r="F482" s="47" t="s">
        <v>46</v>
      </c>
      <c r="H482" s="79">
        <v>455</v>
      </c>
      <c r="I482" s="79">
        <v>2.0465934380847148</v>
      </c>
      <c r="J482" s="79">
        <v>-0.64659343808471492</v>
      </c>
      <c r="K482" s="79">
        <v>-0.15374732178492839</v>
      </c>
    </row>
    <row r="483" spans="1:11" x14ac:dyDescent="0.2">
      <c r="A483">
        <v>0.6</v>
      </c>
      <c r="B483">
        <f t="shared" si="14"/>
        <v>1</v>
      </c>
      <c r="C483">
        <f t="shared" si="15"/>
        <v>0</v>
      </c>
      <c r="D483" s="27">
        <v>1</v>
      </c>
      <c r="E483">
        <v>20000</v>
      </c>
      <c r="F483" s="50" t="s">
        <v>46</v>
      </c>
      <c r="H483" s="79">
        <v>456</v>
      </c>
      <c r="I483" s="79">
        <v>2.3339724988328978</v>
      </c>
      <c r="J483" s="79">
        <v>-6.3916549956433144E-4</v>
      </c>
      <c r="K483" s="79">
        <v>-1.5198110272573892E-4</v>
      </c>
    </row>
    <row r="484" spans="1:11" x14ac:dyDescent="0.2">
      <c r="A484">
        <v>6.75</v>
      </c>
      <c r="B484">
        <f t="shared" si="14"/>
        <v>0</v>
      </c>
      <c r="C484">
        <f t="shared" si="15"/>
        <v>1</v>
      </c>
      <c r="D484" s="25">
        <v>1</v>
      </c>
      <c r="E484">
        <v>85000</v>
      </c>
      <c r="F484" s="47" t="s">
        <v>431</v>
      </c>
      <c r="H484" s="79">
        <v>457</v>
      </c>
      <c r="I484" s="79">
        <v>2.0465934380847148</v>
      </c>
      <c r="J484" s="79">
        <v>0.45340656191528517</v>
      </c>
      <c r="K484" s="79">
        <v>0.1078112465549862</v>
      </c>
    </row>
    <row r="485" spans="1:11" x14ac:dyDescent="0.2">
      <c r="A485">
        <v>0.66666666666666663</v>
      </c>
      <c r="B485">
        <f t="shared" si="14"/>
        <v>1</v>
      </c>
      <c r="C485">
        <f t="shared" si="15"/>
        <v>0</v>
      </c>
      <c r="D485" s="27">
        <v>1</v>
      </c>
      <c r="E485">
        <v>5000</v>
      </c>
      <c r="F485" s="50" t="s">
        <v>46</v>
      </c>
      <c r="H485" s="79">
        <v>458</v>
      </c>
      <c r="I485" s="79">
        <v>11.468550266965616</v>
      </c>
      <c r="J485" s="79">
        <v>-6.3018836002989493</v>
      </c>
      <c r="K485" s="79">
        <v>-1.4984651384899814</v>
      </c>
    </row>
    <row r="486" spans="1:11" x14ac:dyDescent="0.2">
      <c r="A486">
        <v>4</v>
      </c>
      <c r="B486">
        <f t="shared" si="14"/>
        <v>1</v>
      </c>
      <c r="C486">
        <f t="shared" si="15"/>
        <v>0</v>
      </c>
      <c r="D486" s="25">
        <v>1</v>
      </c>
      <c r="E486">
        <v>40000</v>
      </c>
      <c r="F486" s="47" t="s">
        <v>46</v>
      </c>
      <c r="H486" s="79">
        <v>459</v>
      </c>
      <c r="I486" s="79">
        <v>2.0465934380847148</v>
      </c>
      <c r="J486" s="79">
        <v>-1.2965934380847148</v>
      </c>
      <c r="K486" s="79">
        <v>-0.30830465762215059</v>
      </c>
    </row>
    <row r="487" spans="1:11" x14ac:dyDescent="0.2">
      <c r="A487">
        <v>0.8</v>
      </c>
      <c r="B487">
        <f t="shared" si="14"/>
        <v>1</v>
      </c>
      <c r="C487">
        <f t="shared" si="15"/>
        <v>0</v>
      </c>
      <c r="D487" s="27">
        <v>1</v>
      </c>
      <c r="E487">
        <v>5000</v>
      </c>
      <c r="F487" s="50" t="s">
        <v>100</v>
      </c>
      <c r="H487" s="79">
        <v>460</v>
      </c>
      <c r="I487" s="79">
        <v>2.6213515595810803</v>
      </c>
      <c r="J487" s="79">
        <v>2.0453151070855866</v>
      </c>
      <c r="K487" s="79">
        <v>0.48633608292118641</v>
      </c>
    </row>
    <row r="488" spans="1:11" x14ac:dyDescent="0.2">
      <c r="A488">
        <v>4.8</v>
      </c>
      <c r="B488">
        <f t="shared" si="14"/>
        <v>0</v>
      </c>
      <c r="C488">
        <f t="shared" si="15"/>
        <v>1</v>
      </c>
      <c r="D488" s="25">
        <v>1</v>
      </c>
      <c r="E488">
        <v>40000</v>
      </c>
      <c r="F488" s="47" t="s">
        <v>431</v>
      </c>
      <c r="H488" s="79">
        <v>461</v>
      </c>
      <c r="I488" s="79">
        <v>2.0465934380847148</v>
      </c>
      <c r="J488" s="79">
        <v>-1.2465934380847148</v>
      </c>
      <c r="K488" s="79">
        <v>-0.2964156317885181</v>
      </c>
    </row>
    <row r="489" spans="1:11" x14ac:dyDescent="0.2">
      <c r="A489">
        <v>10.199999999999999</v>
      </c>
      <c r="B489">
        <f t="shared" si="14"/>
        <v>1</v>
      </c>
      <c r="C489">
        <f t="shared" si="15"/>
        <v>1</v>
      </c>
      <c r="D489" s="27">
        <v>2</v>
      </c>
      <c r="E489">
        <v>60000</v>
      </c>
      <c r="F489" s="50" t="s">
        <v>290</v>
      </c>
      <c r="H489" s="79">
        <v>462</v>
      </c>
      <c r="I489" s="79">
        <v>8.4091025801171568</v>
      </c>
      <c r="J489" s="79">
        <v>-2.4091025801171568</v>
      </c>
      <c r="K489" s="79">
        <v>-0.5728376562176708</v>
      </c>
    </row>
    <row r="490" spans="1:11" x14ac:dyDescent="0.2">
      <c r="A490">
        <v>2</v>
      </c>
      <c r="B490">
        <f t="shared" si="14"/>
        <v>1</v>
      </c>
      <c r="C490">
        <f t="shared" si="15"/>
        <v>0</v>
      </c>
      <c r="D490" s="25">
        <v>1</v>
      </c>
      <c r="E490">
        <v>40000</v>
      </c>
      <c r="F490" s="47" t="s">
        <v>100</v>
      </c>
      <c r="H490" s="79">
        <v>463</v>
      </c>
      <c r="I490" s="79">
        <v>1.831059142523578</v>
      </c>
      <c r="J490" s="79">
        <v>0.41894085747642196</v>
      </c>
      <c r="K490" s="79">
        <v>9.9615973546026471E-2</v>
      </c>
    </row>
    <row r="491" spans="1:11" x14ac:dyDescent="0.2">
      <c r="A491">
        <v>4</v>
      </c>
      <c r="B491">
        <f t="shared" si="14"/>
        <v>0</v>
      </c>
      <c r="C491">
        <f t="shared" si="15"/>
        <v>1</v>
      </c>
      <c r="D491" s="27">
        <v>1</v>
      </c>
      <c r="E491">
        <v>60000</v>
      </c>
      <c r="F491" s="50" t="s">
        <v>431</v>
      </c>
      <c r="H491" s="79">
        <v>464</v>
      </c>
      <c r="I491" s="79">
        <v>2.3339724988328978</v>
      </c>
      <c r="J491" s="79">
        <v>-0.33397249883289781</v>
      </c>
      <c r="K491" s="79">
        <v>-7.9412153326942306E-2</v>
      </c>
    </row>
    <row r="492" spans="1:11" x14ac:dyDescent="0.2">
      <c r="A492">
        <v>7.333333333333333</v>
      </c>
      <c r="B492">
        <f t="shared" si="14"/>
        <v>0</v>
      </c>
      <c r="C492">
        <f t="shared" si="15"/>
        <v>1</v>
      </c>
      <c r="D492" s="25">
        <v>1</v>
      </c>
      <c r="E492">
        <v>40000</v>
      </c>
      <c r="F492" s="47" t="s">
        <v>431</v>
      </c>
      <c r="H492" s="79">
        <v>465</v>
      </c>
      <c r="I492" s="79">
        <v>2.3339724988328978</v>
      </c>
      <c r="J492" s="79">
        <v>-0.58397249883289781</v>
      </c>
      <c r="K492" s="79">
        <v>-0.13885728249510471</v>
      </c>
    </row>
    <row r="493" spans="1:11" x14ac:dyDescent="0.2">
      <c r="A493">
        <v>2</v>
      </c>
      <c r="B493">
        <f t="shared" si="14"/>
        <v>1</v>
      </c>
      <c r="C493">
        <f t="shared" si="15"/>
        <v>0</v>
      </c>
      <c r="D493" s="27">
        <v>1</v>
      </c>
      <c r="E493">
        <v>5000</v>
      </c>
      <c r="F493" s="50" t="s">
        <v>46</v>
      </c>
      <c r="H493" s="79">
        <v>466</v>
      </c>
      <c r="I493" s="79">
        <v>2.3339724988328978</v>
      </c>
      <c r="J493" s="79">
        <v>-0.66730583216623107</v>
      </c>
      <c r="K493" s="79">
        <v>-0.15867232555115882</v>
      </c>
    </row>
    <row r="494" spans="1:11" x14ac:dyDescent="0.2">
      <c r="A494">
        <v>6.5</v>
      </c>
      <c r="B494">
        <f t="shared" si="14"/>
        <v>0</v>
      </c>
      <c r="C494">
        <f t="shared" si="15"/>
        <v>1</v>
      </c>
      <c r="D494" s="25">
        <v>1</v>
      </c>
      <c r="E494">
        <v>60000</v>
      </c>
      <c r="F494" s="47" t="s">
        <v>431</v>
      </c>
      <c r="H494" s="79">
        <v>467</v>
      </c>
      <c r="I494" s="79">
        <v>1.831059142523578</v>
      </c>
      <c r="J494" s="79">
        <v>0.56894085747642187</v>
      </c>
      <c r="K494" s="79">
        <v>0.1352830510469239</v>
      </c>
    </row>
    <row r="495" spans="1:11" x14ac:dyDescent="0.2">
      <c r="A495">
        <v>0.83333333333333337</v>
      </c>
      <c r="B495">
        <f t="shared" si="14"/>
        <v>1</v>
      </c>
      <c r="C495">
        <f t="shared" si="15"/>
        <v>0</v>
      </c>
      <c r="D495" s="27">
        <v>1</v>
      </c>
      <c r="E495">
        <v>40000</v>
      </c>
      <c r="F495" s="50" t="s">
        <v>46</v>
      </c>
      <c r="H495" s="79">
        <v>468</v>
      </c>
      <c r="I495" s="79">
        <v>11.468550266965616</v>
      </c>
      <c r="J495" s="79">
        <v>-6.9685502669656163</v>
      </c>
      <c r="K495" s="79">
        <v>-1.6569854829384145</v>
      </c>
    </row>
    <row r="496" spans="1:11" x14ac:dyDescent="0.2">
      <c r="A496">
        <v>2.75</v>
      </c>
      <c r="B496">
        <f t="shared" si="14"/>
        <v>1</v>
      </c>
      <c r="C496">
        <f t="shared" si="15"/>
        <v>0</v>
      </c>
      <c r="D496" s="25">
        <v>1</v>
      </c>
      <c r="E496">
        <v>40000</v>
      </c>
      <c r="F496" s="47" t="s">
        <v>46</v>
      </c>
      <c r="H496" s="79">
        <v>469</v>
      </c>
      <c r="I496" s="79">
        <v>2.0465934380847148</v>
      </c>
      <c r="J496" s="79">
        <v>-1.2965934380847148</v>
      </c>
      <c r="K496" s="79">
        <v>-0.30830465762215059</v>
      </c>
    </row>
    <row r="497" spans="1:11" x14ac:dyDescent="0.2">
      <c r="A497">
        <v>1.6666666666666667</v>
      </c>
      <c r="B497">
        <f t="shared" si="14"/>
        <v>1</v>
      </c>
      <c r="C497">
        <f t="shared" si="15"/>
        <v>0</v>
      </c>
      <c r="D497" s="27">
        <v>1</v>
      </c>
      <c r="E497">
        <v>20000</v>
      </c>
      <c r="F497" s="50" t="s">
        <v>100</v>
      </c>
      <c r="H497" s="79">
        <v>470</v>
      </c>
      <c r="I497" s="79">
        <v>2.6213515595810803</v>
      </c>
      <c r="J497" s="79">
        <v>2.7119817737522527</v>
      </c>
      <c r="K497" s="79">
        <v>0.64485642736961934</v>
      </c>
    </row>
    <row r="498" spans="1:11" x14ac:dyDescent="0.2">
      <c r="A498">
        <v>11</v>
      </c>
      <c r="B498">
        <f t="shared" si="14"/>
        <v>1</v>
      </c>
      <c r="C498">
        <f t="shared" si="15"/>
        <v>1</v>
      </c>
      <c r="D498" s="25">
        <v>2</v>
      </c>
      <c r="E498">
        <v>60000</v>
      </c>
      <c r="F498" s="47" t="s">
        <v>290</v>
      </c>
      <c r="H498" s="79">
        <v>471</v>
      </c>
      <c r="I498" s="79">
        <v>2.0465934380847148</v>
      </c>
      <c r="J498" s="79">
        <v>-1.4465934380847147</v>
      </c>
      <c r="K498" s="79">
        <v>-0.34397173512304802</v>
      </c>
    </row>
    <row r="499" spans="1:11" x14ac:dyDescent="0.2">
      <c r="A499">
        <v>10</v>
      </c>
      <c r="B499">
        <f t="shared" si="14"/>
        <v>0</v>
      </c>
      <c r="C499">
        <f t="shared" si="15"/>
        <v>1</v>
      </c>
      <c r="D499" s="27">
        <v>1</v>
      </c>
      <c r="E499">
        <v>85000</v>
      </c>
      <c r="F499" s="50" t="s">
        <v>431</v>
      </c>
      <c r="H499" s="79">
        <v>472</v>
      </c>
      <c r="I499" s="79">
        <v>8.4091025801171568</v>
      </c>
      <c r="J499" s="79">
        <v>-1.9091025801171568</v>
      </c>
      <c r="K499" s="79">
        <v>-0.45394739788134597</v>
      </c>
    </row>
    <row r="500" spans="1:11" x14ac:dyDescent="0.2">
      <c r="A500">
        <v>0.6</v>
      </c>
      <c r="B500">
        <f t="shared" si="14"/>
        <v>1</v>
      </c>
      <c r="C500">
        <f t="shared" si="15"/>
        <v>0</v>
      </c>
      <c r="D500" s="25">
        <v>1</v>
      </c>
      <c r="E500">
        <v>20000</v>
      </c>
      <c r="F500" s="47" t="s">
        <v>100</v>
      </c>
      <c r="H500" s="79">
        <v>473</v>
      </c>
      <c r="I500" s="79">
        <v>1.831059142523578</v>
      </c>
      <c r="J500" s="79">
        <v>-1.1643924758569115</v>
      </c>
      <c r="K500" s="79">
        <v>-0.2768698445190021</v>
      </c>
    </row>
    <row r="501" spans="1:11" x14ac:dyDescent="0.2">
      <c r="A501">
        <v>6.5</v>
      </c>
      <c r="B501">
        <f t="shared" si="14"/>
        <v>1</v>
      </c>
      <c r="C501">
        <f t="shared" si="15"/>
        <v>1</v>
      </c>
      <c r="D501" s="27">
        <v>2</v>
      </c>
      <c r="E501">
        <v>60000</v>
      </c>
      <c r="F501" s="50" t="s">
        <v>246</v>
      </c>
      <c r="H501" s="79">
        <v>474</v>
      </c>
      <c r="I501" s="79">
        <v>2.3339724988328978</v>
      </c>
      <c r="J501" s="79">
        <v>1.3326941678337687</v>
      </c>
      <c r="K501" s="79">
        <v>0.3168887077941403</v>
      </c>
    </row>
    <row r="502" spans="1:11" x14ac:dyDescent="0.2">
      <c r="A502">
        <v>1.8</v>
      </c>
      <c r="B502">
        <f t="shared" si="14"/>
        <v>1</v>
      </c>
      <c r="C502">
        <f t="shared" si="15"/>
        <v>0</v>
      </c>
      <c r="D502" s="25">
        <v>1</v>
      </c>
      <c r="E502">
        <v>5000</v>
      </c>
      <c r="F502" s="47" t="s">
        <v>46</v>
      </c>
      <c r="H502" s="79">
        <v>475</v>
      </c>
      <c r="I502" s="79">
        <v>2.3339724988328978</v>
      </c>
      <c r="J502" s="79">
        <v>-0.58397249883289781</v>
      </c>
      <c r="K502" s="79">
        <v>-0.13885728249510471</v>
      </c>
    </row>
    <row r="503" spans="1:11" x14ac:dyDescent="0.2">
      <c r="A503">
        <v>4</v>
      </c>
      <c r="B503">
        <f t="shared" si="14"/>
        <v>0</v>
      </c>
      <c r="C503">
        <f t="shared" si="15"/>
        <v>1</v>
      </c>
      <c r="D503" s="27">
        <v>1</v>
      </c>
      <c r="E503">
        <v>60000</v>
      </c>
      <c r="F503" s="50" t="s">
        <v>431</v>
      </c>
      <c r="H503" s="79">
        <v>476</v>
      </c>
      <c r="I503" s="79">
        <v>2.3339724988328978</v>
      </c>
      <c r="J503" s="79">
        <v>-0.66730583216623107</v>
      </c>
      <c r="K503" s="79">
        <v>-0.15867232555115882</v>
      </c>
    </row>
    <row r="504" spans="1:11" x14ac:dyDescent="0.2">
      <c r="A504">
        <v>2.25</v>
      </c>
      <c r="B504">
        <f t="shared" si="14"/>
        <v>1</v>
      </c>
      <c r="C504">
        <f t="shared" si="15"/>
        <v>0</v>
      </c>
      <c r="D504" s="25">
        <v>1</v>
      </c>
      <c r="E504">
        <v>5000</v>
      </c>
      <c r="F504" s="47" t="s">
        <v>46</v>
      </c>
      <c r="H504" s="79">
        <v>477</v>
      </c>
      <c r="I504" s="79">
        <v>1.831059142523578</v>
      </c>
      <c r="J504" s="79">
        <v>-3.1059142523577998E-2</v>
      </c>
      <c r="K504" s="79">
        <v>-7.3852589566658381E-3</v>
      </c>
    </row>
    <row r="505" spans="1:11" x14ac:dyDescent="0.2">
      <c r="A505">
        <v>5</v>
      </c>
      <c r="B505">
        <f t="shared" si="14"/>
        <v>0</v>
      </c>
      <c r="C505">
        <f t="shared" si="15"/>
        <v>1</v>
      </c>
      <c r="D505" s="27">
        <v>1</v>
      </c>
      <c r="E505">
        <v>60000</v>
      </c>
      <c r="F505" s="50" t="s">
        <v>431</v>
      </c>
      <c r="H505" s="79">
        <v>478</v>
      </c>
      <c r="I505" s="79">
        <v>1.831059142523578</v>
      </c>
      <c r="J505" s="79">
        <v>0.16894085747642196</v>
      </c>
      <c r="K505" s="79">
        <v>4.0170844377864071E-2</v>
      </c>
    </row>
    <row r="506" spans="1:11" x14ac:dyDescent="0.2">
      <c r="A506">
        <v>2.75</v>
      </c>
      <c r="B506">
        <f t="shared" si="14"/>
        <v>1</v>
      </c>
      <c r="C506">
        <f t="shared" si="15"/>
        <v>0</v>
      </c>
      <c r="D506" s="25">
        <v>1</v>
      </c>
      <c r="E506">
        <v>40000</v>
      </c>
      <c r="F506" s="47" t="s">
        <v>46</v>
      </c>
      <c r="H506" s="79">
        <v>479</v>
      </c>
      <c r="I506" s="79">
        <v>11.468550266965616</v>
      </c>
      <c r="J506" s="79">
        <v>-7.1352169336322833</v>
      </c>
      <c r="K506" s="79">
        <v>-1.6966155690505229</v>
      </c>
    </row>
    <row r="507" spans="1:11" x14ac:dyDescent="0.2">
      <c r="A507">
        <v>13</v>
      </c>
      <c r="B507">
        <f t="shared" si="14"/>
        <v>1</v>
      </c>
      <c r="C507">
        <f t="shared" si="15"/>
        <v>1</v>
      </c>
      <c r="D507" s="27">
        <v>2</v>
      </c>
      <c r="E507">
        <v>60000</v>
      </c>
      <c r="F507" s="50" t="s">
        <v>290</v>
      </c>
      <c r="H507" s="79">
        <v>480</v>
      </c>
      <c r="I507" s="79">
        <v>2.0465934380847148</v>
      </c>
      <c r="J507" s="79">
        <v>-1.2965934380847148</v>
      </c>
      <c r="K507" s="79">
        <v>-0.30830465762215059</v>
      </c>
    </row>
    <row r="508" spans="1:11" x14ac:dyDescent="0.2">
      <c r="A508">
        <v>1.1666666666666667</v>
      </c>
      <c r="B508">
        <f t="shared" si="14"/>
        <v>1</v>
      </c>
      <c r="C508">
        <f t="shared" si="15"/>
        <v>0</v>
      </c>
      <c r="D508" s="25">
        <v>1</v>
      </c>
      <c r="E508">
        <v>5000</v>
      </c>
      <c r="F508" s="47" t="s">
        <v>100</v>
      </c>
      <c r="H508" s="79">
        <v>481</v>
      </c>
      <c r="I508" s="79">
        <v>2.6213515595810803</v>
      </c>
      <c r="J508" s="79">
        <v>2.3786484404189197</v>
      </c>
      <c r="K508" s="79">
        <v>0.5655962551454029</v>
      </c>
    </row>
    <row r="509" spans="1:11" x14ac:dyDescent="0.2">
      <c r="A509">
        <v>1</v>
      </c>
      <c r="B509">
        <f t="shared" si="14"/>
        <v>1</v>
      </c>
      <c r="C509">
        <f t="shared" si="15"/>
        <v>0</v>
      </c>
      <c r="D509" s="27">
        <v>1</v>
      </c>
      <c r="E509">
        <v>20000</v>
      </c>
      <c r="F509" s="50" t="s">
        <v>46</v>
      </c>
      <c r="H509" s="79">
        <v>482</v>
      </c>
      <c r="I509" s="79">
        <v>2.0465934380847148</v>
      </c>
      <c r="J509" s="79">
        <v>-1.4465934380847147</v>
      </c>
      <c r="K509" s="79">
        <v>-0.34397173512304802</v>
      </c>
    </row>
    <row r="510" spans="1:11" x14ac:dyDescent="0.2">
      <c r="A510">
        <v>6.75</v>
      </c>
      <c r="B510">
        <f t="shared" si="14"/>
        <v>1</v>
      </c>
      <c r="C510">
        <f t="shared" si="15"/>
        <v>1</v>
      </c>
      <c r="D510" s="25">
        <v>2</v>
      </c>
      <c r="E510">
        <v>40000</v>
      </c>
      <c r="F510" s="47" t="s">
        <v>246</v>
      </c>
      <c r="H510" s="79">
        <v>483</v>
      </c>
      <c r="I510" s="79">
        <v>8.4091025801171568</v>
      </c>
      <c r="J510" s="79">
        <v>-1.6591025801171568</v>
      </c>
      <c r="K510" s="79">
        <v>-0.39450226871318356</v>
      </c>
    </row>
    <row r="511" spans="1:11" x14ac:dyDescent="0.2">
      <c r="A511">
        <v>4.5999999999999996</v>
      </c>
      <c r="B511">
        <f t="shared" si="14"/>
        <v>0</v>
      </c>
      <c r="C511">
        <f t="shared" si="15"/>
        <v>1</v>
      </c>
      <c r="D511" s="27">
        <v>1</v>
      </c>
      <c r="E511">
        <v>40000</v>
      </c>
      <c r="F511" s="50" t="s">
        <v>431</v>
      </c>
      <c r="H511" s="79">
        <v>484</v>
      </c>
      <c r="I511" s="79">
        <v>1.831059142523578</v>
      </c>
      <c r="J511" s="79">
        <v>-1.1643924758569115</v>
      </c>
      <c r="K511" s="79">
        <v>-0.2768698445190021</v>
      </c>
    </row>
    <row r="512" spans="1:11" x14ac:dyDescent="0.2">
      <c r="A512">
        <v>10.833333333333334</v>
      </c>
      <c r="B512">
        <f t="shared" si="14"/>
        <v>1</v>
      </c>
      <c r="C512">
        <f t="shared" si="15"/>
        <v>1</v>
      </c>
      <c r="D512" s="25">
        <v>2</v>
      </c>
      <c r="E512">
        <v>60000</v>
      </c>
      <c r="F512" s="47" t="s">
        <v>290</v>
      </c>
      <c r="H512" s="79">
        <v>485</v>
      </c>
      <c r="I512" s="79">
        <v>2.3339724988328978</v>
      </c>
      <c r="J512" s="79">
        <v>1.6660275011671022</v>
      </c>
      <c r="K512" s="79">
        <v>0.39614888001835691</v>
      </c>
    </row>
    <row r="513" spans="1:11" x14ac:dyDescent="0.2">
      <c r="A513">
        <v>0</v>
      </c>
      <c r="B513">
        <f t="shared" si="14"/>
        <v>0</v>
      </c>
      <c r="C513">
        <f t="shared" si="15"/>
        <v>0</v>
      </c>
      <c r="D513" s="27">
        <v>1</v>
      </c>
      <c r="E513">
        <v>60000</v>
      </c>
      <c r="F513" s="50" t="s">
        <v>1390</v>
      </c>
      <c r="H513" s="79">
        <v>486</v>
      </c>
      <c r="I513" s="79">
        <v>1.831059142523578</v>
      </c>
      <c r="J513" s="79">
        <v>-1.031059142523578</v>
      </c>
      <c r="K513" s="79">
        <v>-0.24516577562931544</v>
      </c>
    </row>
    <row r="514" spans="1:11" x14ac:dyDescent="0.2">
      <c r="A514">
        <v>0.8</v>
      </c>
      <c r="B514">
        <f t="shared" si="14"/>
        <v>1</v>
      </c>
      <c r="C514">
        <f t="shared" si="15"/>
        <v>0</v>
      </c>
      <c r="D514" s="25">
        <v>1</v>
      </c>
      <c r="E514">
        <v>20000</v>
      </c>
      <c r="F514" s="47" t="s">
        <v>100</v>
      </c>
      <c r="H514" s="79">
        <v>487</v>
      </c>
      <c r="I514" s="79">
        <v>7.7624996934337451</v>
      </c>
      <c r="J514" s="79">
        <v>-2.9624996934337453</v>
      </c>
      <c r="K514" s="79">
        <v>-0.70442470774724197</v>
      </c>
    </row>
    <row r="515" spans="1:11" x14ac:dyDescent="0.2">
      <c r="A515">
        <v>3.3333333333333335</v>
      </c>
      <c r="B515">
        <f t="shared" ref="B515:B568" si="16">IF(ISNUMBER(SEARCH("bike",F515))+ISNUMBER(SEARCH("scooty",F515))&gt;0,1,0)</f>
        <v>1</v>
      </c>
      <c r="C515">
        <f t="shared" ref="C515:C546" si="17">IF(ISNUMBER(SEARCH("car",F515))+ISNUMBER(SEARCH("Commercial vehicle",F515))&gt;0,1,0)</f>
        <v>0</v>
      </c>
      <c r="D515" s="27">
        <v>1</v>
      </c>
      <c r="E515">
        <v>40000</v>
      </c>
      <c r="F515" s="50" t="s">
        <v>46</v>
      </c>
      <c r="H515" s="79">
        <v>488</v>
      </c>
      <c r="I515" s="79">
        <v>11.468550266965616</v>
      </c>
      <c r="J515" s="79">
        <v>-1.268550266965617</v>
      </c>
      <c r="K515" s="79">
        <v>-0.301636537904312</v>
      </c>
    </row>
    <row r="516" spans="1:11" x14ac:dyDescent="0.2">
      <c r="A516">
        <v>0</v>
      </c>
      <c r="B516">
        <f t="shared" si="16"/>
        <v>0</v>
      </c>
      <c r="C516">
        <f t="shared" si="17"/>
        <v>0</v>
      </c>
      <c r="D516" s="25">
        <v>1</v>
      </c>
      <c r="E516">
        <v>40000</v>
      </c>
      <c r="F516" s="47" t="s">
        <v>1390</v>
      </c>
      <c r="H516" s="79">
        <v>489</v>
      </c>
      <c r="I516" s="79">
        <v>2.3339724988328978</v>
      </c>
      <c r="J516" s="79">
        <v>-0.33397249883289781</v>
      </c>
      <c r="K516" s="79">
        <v>-7.9412153326942306E-2</v>
      </c>
    </row>
    <row r="517" spans="1:11" x14ac:dyDescent="0.2">
      <c r="A517">
        <v>4.2</v>
      </c>
      <c r="B517">
        <f t="shared" si="16"/>
        <v>1</v>
      </c>
      <c r="C517">
        <f t="shared" si="17"/>
        <v>1</v>
      </c>
      <c r="D517" s="27">
        <v>2</v>
      </c>
      <c r="E517">
        <v>60000</v>
      </c>
      <c r="F517" s="50" t="s">
        <v>246</v>
      </c>
      <c r="H517" s="79">
        <v>490</v>
      </c>
      <c r="I517" s="79">
        <v>8.0498787541819272</v>
      </c>
      <c r="J517" s="79">
        <v>-4.0498787541819272</v>
      </c>
      <c r="K517" s="79">
        <v>-0.96298226263096509</v>
      </c>
    </row>
    <row r="518" spans="1:11" x14ac:dyDescent="0.2">
      <c r="A518">
        <v>1.6</v>
      </c>
      <c r="B518">
        <f t="shared" si="16"/>
        <v>1</v>
      </c>
      <c r="C518">
        <f t="shared" si="17"/>
        <v>0</v>
      </c>
      <c r="D518" s="25">
        <v>1</v>
      </c>
      <c r="E518">
        <v>5000</v>
      </c>
      <c r="F518" s="47" t="s">
        <v>46</v>
      </c>
      <c r="H518" s="79">
        <v>491</v>
      </c>
      <c r="I518" s="79">
        <v>7.7624996934337451</v>
      </c>
      <c r="J518" s="79">
        <v>-0.42916636010041209</v>
      </c>
      <c r="K518" s="79">
        <v>-0.10204739884319639</v>
      </c>
    </row>
    <row r="519" spans="1:11" x14ac:dyDescent="0.2">
      <c r="A519">
        <v>3.8</v>
      </c>
      <c r="B519">
        <f t="shared" si="16"/>
        <v>0</v>
      </c>
      <c r="C519">
        <f t="shared" si="17"/>
        <v>1</v>
      </c>
      <c r="D519" s="27">
        <v>1</v>
      </c>
      <c r="E519">
        <v>60000</v>
      </c>
      <c r="F519" s="50" t="s">
        <v>431</v>
      </c>
      <c r="H519" s="79">
        <v>492</v>
      </c>
      <c r="I519" s="79">
        <v>1.831059142523578</v>
      </c>
      <c r="J519" s="79">
        <v>0.16894085747642196</v>
      </c>
      <c r="K519" s="79">
        <v>4.0170844377864071E-2</v>
      </c>
    </row>
    <row r="520" spans="1:11" x14ac:dyDescent="0.2">
      <c r="A520">
        <v>2</v>
      </c>
      <c r="B520">
        <f t="shared" si="16"/>
        <v>1</v>
      </c>
      <c r="C520">
        <f t="shared" si="17"/>
        <v>0</v>
      </c>
      <c r="D520" s="25">
        <v>1</v>
      </c>
      <c r="E520">
        <v>40000</v>
      </c>
      <c r="F520" s="47" t="s">
        <v>100</v>
      </c>
      <c r="H520" s="79">
        <v>493</v>
      </c>
      <c r="I520" s="79">
        <v>8.0498787541819272</v>
      </c>
      <c r="J520" s="79">
        <v>-1.5498787541819272</v>
      </c>
      <c r="K520" s="79">
        <v>-0.36853097094934112</v>
      </c>
    </row>
    <row r="521" spans="1:11" x14ac:dyDescent="0.2">
      <c r="A521">
        <v>10.666666666666666</v>
      </c>
      <c r="B521">
        <f t="shared" si="16"/>
        <v>1</v>
      </c>
      <c r="C521">
        <f t="shared" si="17"/>
        <v>1</v>
      </c>
      <c r="D521" s="27">
        <v>2</v>
      </c>
      <c r="E521">
        <v>40000</v>
      </c>
      <c r="F521" s="50" t="s">
        <v>290</v>
      </c>
      <c r="H521" s="79">
        <v>494</v>
      </c>
      <c r="I521" s="79">
        <v>2.3339724988328978</v>
      </c>
      <c r="J521" s="79">
        <v>-1.5006391654995643</v>
      </c>
      <c r="K521" s="79">
        <v>-0.35682275611170011</v>
      </c>
    </row>
    <row r="522" spans="1:11" x14ac:dyDescent="0.2">
      <c r="A522">
        <v>7.333333333333333</v>
      </c>
      <c r="B522">
        <f t="shared" si="16"/>
        <v>0</v>
      </c>
      <c r="C522">
        <f t="shared" si="17"/>
        <v>1</v>
      </c>
      <c r="D522" s="25">
        <v>1</v>
      </c>
      <c r="E522">
        <v>60000</v>
      </c>
      <c r="F522" s="47" t="s">
        <v>431</v>
      </c>
      <c r="H522" s="79">
        <v>495</v>
      </c>
      <c r="I522" s="79">
        <v>2.3339724988328978</v>
      </c>
      <c r="J522" s="79">
        <v>0.41602750116710219</v>
      </c>
      <c r="K522" s="79">
        <v>9.8923234177544894E-2</v>
      </c>
    </row>
    <row r="523" spans="1:11" x14ac:dyDescent="0.2">
      <c r="A523">
        <v>6.5</v>
      </c>
      <c r="B523">
        <f t="shared" si="16"/>
        <v>1</v>
      </c>
      <c r="C523">
        <f t="shared" si="17"/>
        <v>1</v>
      </c>
      <c r="D523" s="27">
        <v>2</v>
      </c>
      <c r="E523">
        <v>60000</v>
      </c>
      <c r="F523" s="50" t="s">
        <v>246</v>
      </c>
      <c r="H523" s="79">
        <v>496</v>
      </c>
      <c r="I523" s="79">
        <v>2.0465934380847148</v>
      </c>
      <c r="J523" s="79">
        <v>-0.37992677141804809</v>
      </c>
      <c r="K523" s="79">
        <v>-9.0339184005555115E-2</v>
      </c>
    </row>
    <row r="524" spans="1:11" x14ac:dyDescent="0.2">
      <c r="A524">
        <v>1.2</v>
      </c>
      <c r="B524">
        <f t="shared" si="16"/>
        <v>1</v>
      </c>
      <c r="C524">
        <f t="shared" si="17"/>
        <v>0</v>
      </c>
      <c r="D524" s="25">
        <v>1</v>
      </c>
      <c r="E524">
        <v>40000</v>
      </c>
      <c r="F524" s="47" t="s">
        <v>100</v>
      </c>
      <c r="H524" s="79">
        <v>497</v>
      </c>
      <c r="I524" s="79">
        <v>11.468550266965616</v>
      </c>
      <c r="J524" s="79">
        <v>-0.4685502669656163</v>
      </c>
      <c r="K524" s="79">
        <v>-0.11141212456619215</v>
      </c>
    </row>
    <row r="525" spans="1:11" x14ac:dyDescent="0.2">
      <c r="A525">
        <v>2.4</v>
      </c>
      <c r="B525">
        <f t="shared" si="16"/>
        <v>1</v>
      </c>
      <c r="C525">
        <f t="shared" si="17"/>
        <v>0</v>
      </c>
      <c r="D525" s="27">
        <v>1</v>
      </c>
      <c r="E525">
        <v>40000</v>
      </c>
      <c r="F525" s="50" t="s">
        <v>46</v>
      </c>
      <c r="H525" s="79">
        <v>498</v>
      </c>
      <c r="I525" s="79">
        <v>8.4091025801171568</v>
      </c>
      <c r="J525" s="79">
        <v>1.5908974198828432</v>
      </c>
      <c r="K525" s="79">
        <v>0.3782844104729276</v>
      </c>
    </row>
    <row r="526" spans="1:11" x14ac:dyDescent="0.2">
      <c r="A526">
        <v>3.8</v>
      </c>
      <c r="B526">
        <f t="shared" si="16"/>
        <v>0</v>
      </c>
      <c r="C526">
        <f t="shared" si="17"/>
        <v>1</v>
      </c>
      <c r="D526" s="25">
        <v>2</v>
      </c>
      <c r="E526">
        <v>85000</v>
      </c>
      <c r="F526" s="47" t="s">
        <v>352</v>
      </c>
      <c r="H526" s="79">
        <v>499</v>
      </c>
      <c r="I526" s="79">
        <v>2.0465934380847148</v>
      </c>
      <c r="J526" s="79">
        <v>-1.4465934380847147</v>
      </c>
      <c r="K526" s="79">
        <v>-0.34397173512304802</v>
      </c>
    </row>
    <row r="527" spans="1:11" x14ac:dyDescent="0.2">
      <c r="A527">
        <v>1.8</v>
      </c>
      <c r="B527">
        <f t="shared" si="16"/>
        <v>1</v>
      </c>
      <c r="C527">
        <f t="shared" si="17"/>
        <v>0</v>
      </c>
      <c r="D527" s="27">
        <v>1</v>
      </c>
      <c r="E527">
        <v>5000</v>
      </c>
      <c r="F527" s="50" t="s">
        <v>46</v>
      </c>
      <c r="H527" s="79">
        <v>500</v>
      </c>
      <c r="I527" s="79">
        <v>11.468550266965616</v>
      </c>
      <c r="J527" s="79">
        <v>-4.9685502669656163</v>
      </c>
      <c r="K527" s="79">
        <v>-1.1814244495931154</v>
      </c>
    </row>
    <row r="528" spans="1:11" x14ac:dyDescent="0.2">
      <c r="A528">
        <v>1.1666666666666667</v>
      </c>
      <c r="B528">
        <f t="shared" si="16"/>
        <v>1</v>
      </c>
      <c r="C528">
        <f t="shared" si="17"/>
        <v>0</v>
      </c>
      <c r="D528" s="25">
        <v>1</v>
      </c>
      <c r="E528">
        <v>40000</v>
      </c>
      <c r="F528" s="47" t="s">
        <v>46</v>
      </c>
      <c r="H528" s="79">
        <v>501</v>
      </c>
      <c r="I528" s="79">
        <v>1.831059142523578</v>
      </c>
      <c r="J528" s="79">
        <v>-3.1059142523577998E-2</v>
      </c>
      <c r="K528" s="79">
        <v>-7.3852589566658381E-3</v>
      </c>
    </row>
    <row r="529" spans="1:11" x14ac:dyDescent="0.2">
      <c r="A529">
        <v>5.25</v>
      </c>
      <c r="B529">
        <f t="shared" si="16"/>
        <v>0</v>
      </c>
      <c r="C529">
        <f t="shared" si="17"/>
        <v>1</v>
      </c>
      <c r="D529" s="27">
        <v>1</v>
      </c>
      <c r="E529">
        <v>60000</v>
      </c>
      <c r="F529" s="50" t="s">
        <v>431</v>
      </c>
      <c r="H529" s="79">
        <v>502</v>
      </c>
      <c r="I529" s="79">
        <v>8.0498787541819272</v>
      </c>
      <c r="J529" s="79">
        <v>-4.0498787541819272</v>
      </c>
      <c r="K529" s="79">
        <v>-0.96298226263096509</v>
      </c>
    </row>
    <row r="530" spans="1:11" x14ac:dyDescent="0.2">
      <c r="A530">
        <v>5.5</v>
      </c>
      <c r="B530">
        <f t="shared" si="16"/>
        <v>1</v>
      </c>
      <c r="C530">
        <f t="shared" si="17"/>
        <v>0</v>
      </c>
      <c r="D530" s="25">
        <v>1</v>
      </c>
      <c r="E530">
        <v>40000</v>
      </c>
      <c r="F530" s="47" t="s">
        <v>46</v>
      </c>
      <c r="H530" s="79">
        <v>503</v>
      </c>
      <c r="I530" s="79">
        <v>1.831059142523578</v>
      </c>
      <c r="J530" s="79">
        <v>0.41894085747642196</v>
      </c>
      <c r="K530" s="79">
        <v>9.9615973546026471E-2</v>
      </c>
    </row>
    <row r="531" spans="1:11" x14ac:dyDescent="0.2">
      <c r="A531">
        <v>1.5</v>
      </c>
      <c r="B531">
        <f t="shared" si="16"/>
        <v>1</v>
      </c>
      <c r="C531">
        <f t="shared" si="17"/>
        <v>0</v>
      </c>
      <c r="D531" s="27">
        <v>1</v>
      </c>
      <c r="E531">
        <v>20000</v>
      </c>
      <c r="F531" s="50" t="s">
        <v>100</v>
      </c>
      <c r="H531" s="79">
        <v>504</v>
      </c>
      <c r="I531" s="79">
        <v>8.0498787541819272</v>
      </c>
      <c r="J531" s="79">
        <v>-3.0498787541819272</v>
      </c>
      <c r="K531" s="79">
        <v>-0.72520174595831555</v>
      </c>
    </row>
    <row r="532" spans="1:11" x14ac:dyDescent="0.2">
      <c r="A532">
        <v>4.5</v>
      </c>
      <c r="B532">
        <f t="shared" si="16"/>
        <v>1</v>
      </c>
      <c r="C532">
        <f t="shared" si="17"/>
        <v>0</v>
      </c>
      <c r="D532" s="25">
        <v>1</v>
      </c>
      <c r="E532">
        <v>40000</v>
      </c>
      <c r="F532" s="47" t="s">
        <v>46</v>
      </c>
      <c r="H532" s="79">
        <v>505</v>
      </c>
      <c r="I532" s="79">
        <v>2.3339724988328978</v>
      </c>
      <c r="J532" s="79">
        <v>0.41602750116710219</v>
      </c>
      <c r="K532" s="79">
        <v>9.8923234177544894E-2</v>
      </c>
    </row>
    <row r="533" spans="1:11" x14ac:dyDescent="0.2">
      <c r="A533">
        <v>5.6</v>
      </c>
      <c r="B533">
        <f t="shared" si="16"/>
        <v>1</v>
      </c>
      <c r="C533">
        <f t="shared" si="17"/>
        <v>1</v>
      </c>
      <c r="D533" s="27">
        <v>2</v>
      </c>
      <c r="E533">
        <v>60000</v>
      </c>
      <c r="F533" s="50" t="s">
        <v>246</v>
      </c>
      <c r="H533" s="79">
        <v>506</v>
      </c>
      <c r="I533" s="79">
        <v>11.468550266965616</v>
      </c>
      <c r="J533" s="79">
        <v>1.5314497330343837</v>
      </c>
      <c r="K533" s="79">
        <v>0.36414890877910705</v>
      </c>
    </row>
    <row r="534" spans="1:11" x14ac:dyDescent="0.2">
      <c r="A534">
        <v>1.4</v>
      </c>
      <c r="B534">
        <f t="shared" si="16"/>
        <v>1</v>
      </c>
      <c r="C534">
        <f t="shared" si="17"/>
        <v>0</v>
      </c>
      <c r="D534" s="25">
        <v>1</v>
      </c>
      <c r="E534">
        <v>40000</v>
      </c>
      <c r="F534" s="47" t="s">
        <v>100</v>
      </c>
      <c r="H534" s="79">
        <v>507</v>
      </c>
      <c r="I534" s="79">
        <v>1.831059142523578</v>
      </c>
      <c r="J534" s="79">
        <v>-0.6643924758569113</v>
      </c>
      <c r="K534" s="79">
        <v>-0.15797958618267724</v>
      </c>
    </row>
    <row r="535" spans="1:11" x14ac:dyDescent="0.2">
      <c r="A535">
        <v>5.2</v>
      </c>
      <c r="B535">
        <f t="shared" si="16"/>
        <v>1</v>
      </c>
      <c r="C535">
        <f t="shared" si="17"/>
        <v>1</v>
      </c>
      <c r="D535" s="27">
        <v>2</v>
      </c>
      <c r="E535">
        <v>40000</v>
      </c>
      <c r="F535" s="50" t="s">
        <v>246</v>
      </c>
      <c r="H535" s="79">
        <v>508</v>
      </c>
      <c r="I535" s="79">
        <v>2.0465934380847148</v>
      </c>
      <c r="J535" s="79">
        <v>-1.0465934380847148</v>
      </c>
      <c r="K535" s="79">
        <v>-0.2488595284539882</v>
      </c>
    </row>
    <row r="536" spans="1:11" x14ac:dyDescent="0.2">
      <c r="A536">
        <v>12</v>
      </c>
      <c r="B536">
        <f t="shared" si="16"/>
        <v>1</v>
      </c>
      <c r="C536">
        <f t="shared" si="17"/>
        <v>1</v>
      </c>
      <c r="D536" s="25">
        <v>2</v>
      </c>
      <c r="E536">
        <v>40000</v>
      </c>
      <c r="F536" s="47" t="s">
        <v>290</v>
      </c>
      <c r="H536" s="79">
        <v>509</v>
      </c>
      <c r="I536" s="79">
        <v>11.181171206217435</v>
      </c>
      <c r="J536" s="79">
        <v>-4.4311712062174351</v>
      </c>
      <c r="K536" s="79">
        <v>-1.0536461788793496</v>
      </c>
    </row>
    <row r="537" spans="1:11" x14ac:dyDescent="0.2">
      <c r="A537">
        <v>1.5</v>
      </c>
      <c r="B537">
        <f t="shared" si="16"/>
        <v>1</v>
      </c>
      <c r="C537">
        <f t="shared" si="17"/>
        <v>0</v>
      </c>
      <c r="D537" s="27">
        <v>1</v>
      </c>
      <c r="E537">
        <v>5000</v>
      </c>
      <c r="F537" s="50" t="s">
        <v>100</v>
      </c>
      <c r="H537" s="79">
        <v>510</v>
      </c>
      <c r="I537" s="79">
        <v>7.7624996934337451</v>
      </c>
      <c r="J537" s="79">
        <v>-3.1624996934337455</v>
      </c>
      <c r="K537" s="79">
        <v>-0.75198081108177195</v>
      </c>
    </row>
    <row r="538" spans="1:11" x14ac:dyDescent="0.2">
      <c r="A538">
        <v>7.25</v>
      </c>
      <c r="B538">
        <f t="shared" si="16"/>
        <v>1</v>
      </c>
      <c r="C538">
        <f t="shared" si="17"/>
        <v>1</v>
      </c>
      <c r="D538" s="25">
        <v>2</v>
      </c>
      <c r="E538">
        <v>125000</v>
      </c>
      <c r="F538" s="47" t="s">
        <v>246</v>
      </c>
      <c r="H538" s="79">
        <v>511</v>
      </c>
      <c r="I538" s="79">
        <v>11.468550266965616</v>
      </c>
      <c r="J538" s="79">
        <v>-0.63521693363228238</v>
      </c>
      <c r="K538" s="79">
        <v>-0.15104221067830029</v>
      </c>
    </row>
    <row r="539" spans="1:11" x14ac:dyDescent="0.2">
      <c r="A539">
        <v>7.333333333333333</v>
      </c>
      <c r="B539">
        <f t="shared" si="16"/>
        <v>0</v>
      </c>
      <c r="C539">
        <f t="shared" si="17"/>
        <v>1</v>
      </c>
      <c r="D539" s="27">
        <v>1</v>
      </c>
      <c r="E539">
        <v>85000</v>
      </c>
      <c r="F539" s="50" t="s">
        <v>431</v>
      </c>
      <c r="H539" s="79">
        <v>512</v>
      </c>
      <c r="I539" s="79">
        <v>2.626549017630444</v>
      </c>
      <c r="J539" s="79">
        <v>-2.626549017630444</v>
      </c>
      <c r="K539" s="79">
        <v>-0.62454218247820725</v>
      </c>
    </row>
    <row r="540" spans="1:11" x14ac:dyDescent="0.2">
      <c r="A540">
        <v>1.3333333333333333</v>
      </c>
      <c r="B540">
        <f t="shared" si="16"/>
        <v>1</v>
      </c>
      <c r="C540">
        <f t="shared" si="17"/>
        <v>0</v>
      </c>
      <c r="D540" s="25">
        <v>1</v>
      </c>
      <c r="E540">
        <v>20000</v>
      </c>
      <c r="F540" s="47" t="s">
        <v>46</v>
      </c>
      <c r="H540" s="79">
        <v>513</v>
      </c>
      <c r="I540" s="79">
        <v>2.0465934380847148</v>
      </c>
      <c r="J540" s="79">
        <v>-1.2465934380847148</v>
      </c>
      <c r="K540" s="79">
        <v>-0.2964156317885181</v>
      </c>
    </row>
    <row r="541" spans="1:11" x14ac:dyDescent="0.2">
      <c r="A541">
        <v>1.25</v>
      </c>
      <c r="B541">
        <f t="shared" si="16"/>
        <v>1</v>
      </c>
      <c r="C541">
        <f t="shared" si="17"/>
        <v>0</v>
      </c>
      <c r="D541" s="27">
        <v>1</v>
      </c>
      <c r="E541">
        <v>20000</v>
      </c>
      <c r="F541" s="50" t="s">
        <v>100</v>
      </c>
      <c r="H541" s="79">
        <v>514</v>
      </c>
      <c r="I541" s="79">
        <v>2.3339724988328978</v>
      </c>
      <c r="J541" s="79">
        <v>0.99936083450043567</v>
      </c>
      <c r="K541" s="79">
        <v>0.23762853556992386</v>
      </c>
    </row>
    <row r="542" spans="1:11" x14ac:dyDescent="0.2">
      <c r="A542">
        <v>9.6666666666666661</v>
      </c>
      <c r="B542">
        <f t="shared" si="16"/>
        <v>0</v>
      </c>
      <c r="C542">
        <f t="shared" si="17"/>
        <v>1</v>
      </c>
      <c r="D542" s="25">
        <v>1</v>
      </c>
      <c r="E542">
        <v>85000</v>
      </c>
      <c r="F542" s="47" t="s">
        <v>431</v>
      </c>
      <c r="H542" s="79">
        <v>515</v>
      </c>
      <c r="I542" s="79">
        <v>2.3391699568822615</v>
      </c>
      <c r="J542" s="79">
        <v>-2.3391699568822615</v>
      </c>
      <c r="K542" s="79">
        <v>-0.55620904093260359</v>
      </c>
    </row>
    <row r="543" spans="1:11" x14ac:dyDescent="0.2">
      <c r="A543">
        <v>3.3333333333333335</v>
      </c>
      <c r="B543">
        <f t="shared" si="16"/>
        <v>1</v>
      </c>
      <c r="C543">
        <f t="shared" si="17"/>
        <v>0</v>
      </c>
      <c r="D543" s="27">
        <v>1</v>
      </c>
      <c r="E543">
        <v>60000</v>
      </c>
      <c r="F543" s="50" t="s">
        <v>46</v>
      </c>
      <c r="H543" s="79">
        <v>516</v>
      </c>
      <c r="I543" s="79">
        <v>11.468550266965616</v>
      </c>
      <c r="J543" s="79">
        <v>-7.2685502669656161</v>
      </c>
      <c r="K543" s="79">
        <v>-1.7283196379402095</v>
      </c>
    </row>
    <row r="544" spans="1:11" x14ac:dyDescent="0.2">
      <c r="A544">
        <v>13.8</v>
      </c>
      <c r="B544">
        <f t="shared" si="16"/>
        <v>1</v>
      </c>
      <c r="C544">
        <f t="shared" si="17"/>
        <v>1</v>
      </c>
      <c r="D544" s="25">
        <v>2</v>
      </c>
      <c r="E544">
        <v>60000</v>
      </c>
      <c r="F544" s="47" t="s">
        <v>290</v>
      </c>
      <c r="H544" s="79">
        <v>517</v>
      </c>
      <c r="I544" s="79">
        <v>1.831059142523578</v>
      </c>
      <c r="J544" s="79">
        <v>-0.23105914252357795</v>
      </c>
      <c r="K544" s="79">
        <v>-5.4941362291195749E-2</v>
      </c>
    </row>
    <row r="545" spans="1:11" x14ac:dyDescent="0.2">
      <c r="A545">
        <v>3.6</v>
      </c>
      <c r="B545">
        <f t="shared" si="16"/>
        <v>0</v>
      </c>
      <c r="C545">
        <f t="shared" si="17"/>
        <v>1</v>
      </c>
      <c r="D545" s="27">
        <v>2</v>
      </c>
      <c r="E545">
        <v>125000</v>
      </c>
      <c r="F545" s="50" t="s">
        <v>352</v>
      </c>
      <c r="H545" s="79">
        <v>518</v>
      </c>
      <c r="I545" s="79">
        <v>8.0498787541819272</v>
      </c>
      <c r="J545" s="79">
        <v>-4.2498787541819274</v>
      </c>
      <c r="K545" s="79">
        <v>-1.0105383659654952</v>
      </c>
    </row>
    <row r="546" spans="1:11" x14ac:dyDescent="0.2">
      <c r="A546">
        <v>1.5</v>
      </c>
      <c r="B546">
        <f t="shared" si="16"/>
        <v>1</v>
      </c>
      <c r="C546">
        <f t="shared" si="17"/>
        <v>0</v>
      </c>
      <c r="D546" s="25">
        <v>3</v>
      </c>
      <c r="E546">
        <v>5000</v>
      </c>
      <c r="F546" s="47" t="s">
        <v>100</v>
      </c>
      <c r="H546" s="79">
        <v>519</v>
      </c>
      <c r="I546" s="79">
        <v>2.3339724988328978</v>
      </c>
      <c r="J546" s="79">
        <v>-0.33397249883289781</v>
      </c>
      <c r="K546" s="79">
        <v>-7.9412153326942306E-2</v>
      </c>
    </row>
    <row r="547" spans="1:11" x14ac:dyDescent="0.2">
      <c r="A547">
        <v>5</v>
      </c>
      <c r="B547">
        <f t="shared" si="16"/>
        <v>1</v>
      </c>
      <c r="C547">
        <f t="shared" ref="C547:C568" si="18">IF(ISNUMBER(SEARCH("car",F547))+ISNUMBER(SEARCH("Commercial vehicle",F547))&gt;0,1,0)</f>
        <v>0</v>
      </c>
      <c r="D547" s="27">
        <v>2</v>
      </c>
      <c r="E547">
        <v>20000</v>
      </c>
      <c r="F547" s="50" t="s">
        <v>100</v>
      </c>
      <c r="H547" s="79">
        <v>520</v>
      </c>
      <c r="I547" s="79">
        <v>11.181171206217435</v>
      </c>
      <c r="J547" s="79">
        <v>-0.51450453955076902</v>
      </c>
      <c r="K547" s="79">
        <v>-0.12233915524480554</v>
      </c>
    </row>
    <row r="548" spans="1:11" x14ac:dyDescent="0.2">
      <c r="A548">
        <v>4.4000000000000004</v>
      </c>
      <c r="B548">
        <f t="shared" si="16"/>
        <v>1</v>
      </c>
      <c r="C548">
        <f t="shared" si="18"/>
        <v>0</v>
      </c>
      <c r="D548" s="25">
        <v>1</v>
      </c>
      <c r="E548">
        <v>5000</v>
      </c>
      <c r="F548" s="47" t="s">
        <v>46</v>
      </c>
      <c r="H548" s="79">
        <v>521</v>
      </c>
      <c r="I548" s="79">
        <v>8.0498787541819272</v>
      </c>
      <c r="J548" s="79">
        <v>-0.71654542084859418</v>
      </c>
      <c r="K548" s="79">
        <v>-0.17038054038879988</v>
      </c>
    </row>
    <row r="549" spans="1:11" x14ac:dyDescent="0.2">
      <c r="A549">
        <v>3.6666666666666665</v>
      </c>
      <c r="B549">
        <f t="shared" si="16"/>
        <v>1</v>
      </c>
      <c r="C549">
        <f t="shared" si="18"/>
        <v>0</v>
      </c>
      <c r="D549" s="27">
        <v>1</v>
      </c>
      <c r="E549">
        <v>5000</v>
      </c>
      <c r="F549" s="50" t="s">
        <v>46</v>
      </c>
      <c r="H549" s="79">
        <v>522</v>
      </c>
      <c r="I549" s="79">
        <v>11.468550266965616</v>
      </c>
      <c r="J549" s="79">
        <v>-4.9685502669656163</v>
      </c>
      <c r="K549" s="79">
        <v>-1.1814244495931154</v>
      </c>
    </row>
    <row r="550" spans="1:11" x14ac:dyDescent="0.2">
      <c r="A550">
        <v>3.6666666666666665</v>
      </c>
      <c r="B550">
        <f t="shared" si="16"/>
        <v>1</v>
      </c>
      <c r="C550">
        <f t="shared" si="18"/>
        <v>0</v>
      </c>
      <c r="D550" s="25">
        <v>1</v>
      </c>
      <c r="E550">
        <v>5000</v>
      </c>
      <c r="F550" s="47" t="s">
        <v>46</v>
      </c>
      <c r="H550" s="79">
        <v>523</v>
      </c>
      <c r="I550" s="79">
        <v>2.3339724988328978</v>
      </c>
      <c r="J550" s="79">
        <v>-1.1339724988328979</v>
      </c>
      <c r="K550" s="79">
        <v>-0.26963656666506197</v>
      </c>
    </row>
    <row r="551" spans="1:11" x14ac:dyDescent="0.2">
      <c r="A551">
        <v>1.1666666666666667</v>
      </c>
      <c r="B551">
        <f t="shared" si="16"/>
        <v>1</v>
      </c>
      <c r="C551">
        <f t="shared" si="18"/>
        <v>0</v>
      </c>
      <c r="D551" s="27">
        <v>2</v>
      </c>
      <c r="E551">
        <v>20000</v>
      </c>
      <c r="F551" s="50" t="s">
        <v>100</v>
      </c>
      <c r="H551" s="79">
        <v>524</v>
      </c>
      <c r="I551" s="79">
        <v>2.3339724988328978</v>
      </c>
      <c r="J551" s="79">
        <v>6.6027501167102098E-2</v>
      </c>
      <c r="K551" s="79">
        <v>1.570005334211751E-2</v>
      </c>
    </row>
    <row r="552" spans="1:11" x14ac:dyDescent="0.2">
      <c r="A552">
        <v>7.5</v>
      </c>
      <c r="B552">
        <f t="shared" si="16"/>
        <v>1</v>
      </c>
      <c r="C552">
        <f t="shared" si="18"/>
        <v>0</v>
      </c>
      <c r="D552" s="25">
        <v>1</v>
      </c>
      <c r="E552">
        <v>5000</v>
      </c>
      <c r="F552" s="47" t="s">
        <v>100</v>
      </c>
      <c r="H552" s="79">
        <v>525</v>
      </c>
      <c r="I552" s="79">
        <v>11.832971550950209</v>
      </c>
      <c r="J552" s="79">
        <v>-8.032971550950208</v>
      </c>
      <c r="K552" s="79">
        <v>-1.9100841258016359</v>
      </c>
    </row>
    <row r="553" spans="1:11" x14ac:dyDescent="0.2">
      <c r="A553">
        <v>4.166666666666667</v>
      </c>
      <c r="B553">
        <f t="shared" si="16"/>
        <v>1</v>
      </c>
      <c r="C553">
        <f t="shared" si="18"/>
        <v>0</v>
      </c>
      <c r="D553" s="27">
        <v>1</v>
      </c>
      <c r="E553">
        <v>5000</v>
      </c>
      <c r="F553" s="50" t="s">
        <v>100</v>
      </c>
      <c r="H553" s="79">
        <v>526</v>
      </c>
      <c r="I553" s="79">
        <v>1.831059142523578</v>
      </c>
      <c r="J553" s="79">
        <v>-3.1059142523577998E-2</v>
      </c>
      <c r="K553" s="79">
        <v>-7.3852589566658381E-3</v>
      </c>
    </row>
    <row r="554" spans="1:11" x14ac:dyDescent="0.2">
      <c r="A554">
        <v>11.666666666666666</v>
      </c>
      <c r="B554">
        <f t="shared" si="16"/>
        <v>1</v>
      </c>
      <c r="C554">
        <f t="shared" si="18"/>
        <v>0</v>
      </c>
      <c r="D554" s="25">
        <v>1</v>
      </c>
      <c r="E554">
        <v>5000</v>
      </c>
      <c r="F554" s="47" t="s">
        <v>46</v>
      </c>
      <c r="H554" s="79">
        <v>527</v>
      </c>
      <c r="I554" s="79">
        <v>2.3339724988328978</v>
      </c>
      <c r="J554" s="79">
        <v>-1.1673058321662311</v>
      </c>
      <c r="K554" s="79">
        <v>-0.27756258388748362</v>
      </c>
    </row>
    <row r="555" spans="1:11" x14ac:dyDescent="0.2">
      <c r="A555">
        <v>7.333333333333333</v>
      </c>
      <c r="B555">
        <f t="shared" si="16"/>
        <v>1</v>
      </c>
      <c r="C555">
        <f t="shared" si="18"/>
        <v>0</v>
      </c>
      <c r="D555" s="27">
        <v>1</v>
      </c>
      <c r="E555">
        <v>5000</v>
      </c>
      <c r="F555" s="50" t="s">
        <v>46</v>
      </c>
      <c r="H555" s="79">
        <v>528</v>
      </c>
      <c r="I555" s="79">
        <v>8.0498787541819272</v>
      </c>
      <c r="J555" s="79">
        <v>-2.7998787541819272</v>
      </c>
      <c r="K555" s="79">
        <v>-0.66575661679015319</v>
      </c>
    </row>
    <row r="556" spans="1:11" x14ac:dyDescent="0.2">
      <c r="A556">
        <v>3.6</v>
      </c>
      <c r="B556">
        <f t="shared" si="16"/>
        <v>0</v>
      </c>
      <c r="C556">
        <f t="shared" si="18"/>
        <v>1</v>
      </c>
      <c r="D556" s="25">
        <v>2</v>
      </c>
      <c r="E556">
        <v>40000</v>
      </c>
      <c r="F556" s="47" t="s">
        <v>352</v>
      </c>
      <c r="H556" s="79">
        <v>529</v>
      </c>
      <c r="I556" s="79">
        <v>2.3339724988328978</v>
      </c>
      <c r="J556" s="79">
        <v>3.1660275011671022</v>
      </c>
      <c r="K556" s="79">
        <v>0.75281965502733128</v>
      </c>
    </row>
    <row r="557" spans="1:11" x14ac:dyDescent="0.2">
      <c r="A557">
        <v>11.5</v>
      </c>
      <c r="B557">
        <f t="shared" si="16"/>
        <v>1</v>
      </c>
      <c r="C557">
        <f t="shared" si="18"/>
        <v>1</v>
      </c>
      <c r="D557" s="27">
        <v>2</v>
      </c>
      <c r="E557">
        <v>40000</v>
      </c>
      <c r="F557" s="50" t="s">
        <v>290</v>
      </c>
      <c r="H557" s="79">
        <v>530</v>
      </c>
      <c r="I557" s="79">
        <v>2.0465934380847148</v>
      </c>
      <c r="J557" s="79">
        <v>-0.54659343808471483</v>
      </c>
      <c r="K557" s="79">
        <v>-0.1299692701176634</v>
      </c>
    </row>
    <row r="558" spans="1:11" x14ac:dyDescent="0.2">
      <c r="A558">
        <v>2.25</v>
      </c>
      <c r="B558">
        <f t="shared" si="16"/>
        <v>1</v>
      </c>
      <c r="C558">
        <f t="shared" si="18"/>
        <v>0</v>
      </c>
      <c r="D558" s="25">
        <v>1</v>
      </c>
      <c r="E558">
        <v>40000</v>
      </c>
      <c r="F558" s="47" t="s">
        <v>46</v>
      </c>
      <c r="H558" s="79">
        <v>531</v>
      </c>
      <c r="I558" s="79">
        <v>2.3339724988328978</v>
      </c>
      <c r="J558" s="79">
        <v>2.1660275011671022</v>
      </c>
      <c r="K558" s="79">
        <v>0.51503913835468174</v>
      </c>
    </row>
    <row r="559" spans="1:11" x14ac:dyDescent="0.2">
      <c r="A559">
        <v>7</v>
      </c>
      <c r="B559">
        <f t="shared" si="16"/>
        <v>0</v>
      </c>
      <c r="C559">
        <f t="shared" si="18"/>
        <v>1</v>
      </c>
      <c r="D559" s="27">
        <v>1</v>
      </c>
      <c r="E559">
        <v>40000</v>
      </c>
      <c r="F559" s="50" t="s">
        <v>431</v>
      </c>
      <c r="H559" s="79">
        <v>532</v>
      </c>
      <c r="I559" s="79">
        <v>11.468550266965616</v>
      </c>
      <c r="J559" s="79">
        <v>-5.8685502669656167</v>
      </c>
      <c r="K559" s="79">
        <v>-1.3954269145985001</v>
      </c>
    </row>
    <row r="560" spans="1:11" x14ac:dyDescent="0.2">
      <c r="A560">
        <v>6.75</v>
      </c>
      <c r="B560">
        <f t="shared" si="16"/>
        <v>1</v>
      </c>
      <c r="C560">
        <f t="shared" si="18"/>
        <v>1</v>
      </c>
      <c r="D560" s="25">
        <v>2</v>
      </c>
      <c r="E560">
        <v>60000</v>
      </c>
      <c r="F560" s="47" t="s">
        <v>246</v>
      </c>
      <c r="H560" s="79">
        <v>533</v>
      </c>
      <c r="I560" s="79">
        <v>2.3339724988328978</v>
      </c>
      <c r="J560" s="79">
        <v>-0.9339724988328979</v>
      </c>
      <c r="K560" s="79">
        <v>-0.22208046333053208</v>
      </c>
    </row>
    <row r="561" spans="1:11" x14ac:dyDescent="0.2">
      <c r="A561">
        <v>1.2</v>
      </c>
      <c r="B561">
        <f t="shared" si="16"/>
        <v>1</v>
      </c>
      <c r="C561">
        <f t="shared" si="18"/>
        <v>0</v>
      </c>
      <c r="D561" s="27">
        <v>1</v>
      </c>
      <c r="E561">
        <v>20000</v>
      </c>
      <c r="F561" s="50" t="s">
        <v>100</v>
      </c>
      <c r="H561" s="79">
        <v>534</v>
      </c>
      <c r="I561" s="79">
        <v>11.181171206217435</v>
      </c>
      <c r="J561" s="79">
        <v>-5.9811712062174349</v>
      </c>
      <c r="K561" s="79">
        <v>-1.4222059797219566</v>
      </c>
    </row>
    <row r="562" spans="1:11" x14ac:dyDescent="0.2">
      <c r="A562">
        <v>17.8</v>
      </c>
      <c r="B562">
        <f t="shared" si="16"/>
        <v>1</v>
      </c>
      <c r="C562">
        <f t="shared" si="18"/>
        <v>1</v>
      </c>
      <c r="D562" s="25">
        <v>2</v>
      </c>
      <c r="E562">
        <v>60000</v>
      </c>
      <c r="F562" s="47" t="s">
        <v>290</v>
      </c>
      <c r="H562" s="79">
        <v>535</v>
      </c>
      <c r="I562" s="79">
        <v>11.181171206217435</v>
      </c>
      <c r="J562" s="79">
        <v>0.8188287937825649</v>
      </c>
      <c r="K562" s="79">
        <v>0.19470153365206072</v>
      </c>
    </row>
    <row r="563" spans="1:11" x14ac:dyDescent="0.2">
      <c r="A563">
        <v>4</v>
      </c>
      <c r="B563">
        <f t="shared" si="16"/>
        <v>1</v>
      </c>
      <c r="C563">
        <f t="shared" si="18"/>
        <v>0</v>
      </c>
      <c r="D563" s="27">
        <v>1</v>
      </c>
      <c r="E563">
        <v>40000</v>
      </c>
      <c r="F563" s="50" t="s">
        <v>46</v>
      </c>
      <c r="H563" s="79">
        <v>536</v>
      </c>
      <c r="I563" s="79">
        <v>1.831059142523578</v>
      </c>
      <c r="J563" s="79">
        <v>-0.33105914252357804</v>
      </c>
      <c r="K563" s="79">
        <v>-7.8719413958460729E-2</v>
      </c>
    </row>
    <row r="564" spans="1:11" x14ac:dyDescent="0.2">
      <c r="A564">
        <v>0.8</v>
      </c>
      <c r="B564">
        <f t="shared" si="16"/>
        <v>1</v>
      </c>
      <c r="C564">
        <f t="shared" si="18"/>
        <v>0</v>
      </c>
      <c r="D564" s="25">
        <v>1</v>
      </c>
      <c r="E564">
        <v>20000</v>
      </c>
      <c r="F564" s="47" t="s">
        <v>100</v>
      </c>
      <c r="H564" s="79">
        <v>537</v>
      </c>
      <c r="I564" s="79">
        <v>12.40253221439721</v>
      </c>
      <c r="J564" s="79">
        <v>-5.1525322143972101</v>
      </c>
      <c r="K564" s="79">
        <v>-1.22517177211184</v>
      </c>
    </row>
    <row r="565" spans="1:11" x14ac:dyDescent="0.2">
      <c r="A565">
        <v>2.2000000000000002</v>
      </c>
      <c r="B565">
        <f t="shared" si="16"/>
        <v>1</v>
      </c>
      <c r="C565">
        <f t="shared" si="18"/>
        <v>0</v>
      </c>
      <c r="D565" s="27">
        <v>1</v>
      </c>
      <c r="E565">
        <v>40000</v>
      </c>
      <c r="F565" s="50" t="s">
        <v>46</v>
      </c>
      <c r="H565" s="79">
        <v>538</v>
      </c>
      <c r="I565" s="79">
        <v>8.4091025801171568</v>
      </c>
      <c r="J565" s="79">
        <v>-1.0757692467838238</v>
      </c>
      <c r="K565" s="79">
        <v>-0.2557969673208047</v>
      </c>
    </row>
    <row r="566" spans="1:11" x14ac:dyDescent="0.2">
      <c r="A566">
        <v>11.2</v>
      </c>
      <c r="B566">
        <f t="shared" si="16"/>
        <v>1</v>
      </c>
      <c r="C566">
        <f t="shared" si="18"/>
        <v>1</v>
      </c>
      <c r="D566" s="25">
        <v>2</v>
      </c>
      <c r="E566">
        <v>40000</v>
      </c>
      <c r="F566" s="47" t="s">
        <v>290</v>
      </c>
      <c r="H566" s="79">
        <v>539</v>
      </c>
      <c r="I566" s="79">
        <v>2.0465934380847148</v>
      </c>
      <c r="J566" s="79">
        <v>-0.71326010475138157</v>
      </c>
      <c r="K566" s="79">
        <v>-0.16959935622977168</v>
      </c>
    </row>
    <row r="567" spans="1:11" x14ac:dyDescent="0.2">
      <c r="A567">
        <v>1.2</v>
      </c>
      <c r="B567">
        <f t="shared" si="16"/>
        <v>1</v>
      </c>
      <c r="C567">
        <f t="shared" si="18"/>
        <v>0</v>
      </c>
      <c r="D567" s="27">
        <v>1</v>
      </c>
      <c r="E567">
        <v>40000</v>
      </c>
      <c r="F567" s="50" t="s">
        <v>100</v>
      </c>
      <c r="H567" s="79">
        <v>540</v>
      </c>
      <c r="I567" s="79">
        <v>2.0465934380847148</v>
      </c>
      <c r="J567" s="79">
        <v>-0.79659343808471483</v>
      </c>
      <c r="K567" s="79">
        <v>-0.18941439928582579</v>
      </c>
    </row>
    <row r="568" spans="1:11" x14ac:dyDescent="0.2">
      <c r="A568">
        <v>3.8</v>
      </c>
      <c r="B568">
        <f t="shared" si="16"/>
        <v>0</v>
      </c>
      <c r="C568">
        <f t="shared" si="18"/>
        <v>1</v>
      </c>
      <c r="D568" s="25">
        <v>1</v>
      </c>
      <c r="E568">
        <v>60000</v>
      </c>
      <c r="F568" s="47" t="s">
        <v>431</v>
      </c>
      <c r="H568" s="79">
        <v>541</v>
      </c>
      <c r="I568" s="79">
        <v>8.4091025801171568</v>
      </c>
      <c r="J568" s="79">
        <v>1.2575640865495092</v>
      </c>
      <c r="K568" s="79">
        <v>0.29902423824871094</v>
      </c>
    </row>
    <row r="569" spans="1:11" x14ac:dyDescent="0.2">
      <c r="H569" s="79">
        <v>542</v>
      </c>
      <c r="I569" s="79">
        <v>2.6213515595810803</v>
      </c>
      <c r="J569" s="79">
        <v>0.71198177375225313</v>
      </c>
      <c r="K569" s="79">
        <v>0.16929539402432026</v>
      </c>
    </row>
    <row r="570" spans="1:11" x14ac:dyDescent="0.2">
      <c r="H570" s="79">
        <v>543</v>
      </c>
      <c r="I570" s="79">
        <v>11.468550266965616</v>
      </c>
      <c r="J570" s="79">
        <v>2.3314497330343844</v>
      </c>
      <c r="K570" s="79">
        <v>0.5543733221172269</v>
      </c>
    </row>
    <row r="571" spans="1:11" x14ac:dyDescent="0.2">
      <c r="H571" s="79">
        <v>544</v>
      </c>
      <c r="I571" s="79">
        <v>12.407729672446575</v>
      </c>
      <c r="J571" s="79">
        <v>-8.807729672446575</v>
      </c>
      <c r="K571" s="79">
        <v>-2.0943065122273734</v>
      </c>
    </row>
    <row r="572" spans="1:11" x14ac:dyDescent="0.2">
      <c r="H572" s="79">
        <v>545</v>
      </c>
      <c r="I572" s="79">
        <v>8.678797084189684</v>
      </c>
      <c r="J572" s="79">
        <v>-7.178797084189684</v>
      </c>
      <c r="K572" s="79">
        <v>-1.7069780797667335</v>
      </c>
    </row>
    <row r="573" spans="1:11" x14ac:dyDescent="0.2">
      <c r="H573" s="79">
        <v>546</v>
      </c>
      <c r="I573" s="79">
        <v>5.4704624089177685</v>
      </c>
      <c r="J573" s="79">
        <v>-0.47046240891776847</v>
      </c>
      <c r="K573" s="79">
        <v>-0.11186679466752635</v>
      </c>
    </row>
    <row r="574" spans="1:11" x14ac:dyDescent="0.2">
      <c r="H574" s="79">
        <v>547</v>
      </c>
      <c r="I574" s="79">
        <v>1.831059142523578</v>
      </c>
      <c r="J574" s="79">
        <v>2.5689408574764223</v>
      </c>
      <c r="K574" s="79">
        <v>0.61084408439222315</v>
      </c>
    </row>
    <row r="575" spans="1:11" x14ac:dyDescent="0.2">
      <c r="H575" s="79">
        <v>548</v>
      </c>
      <c r="I575" s="79">
        <v>1.831059142523578</v>
      </c>
      <c r="J575" s="79">
        <v>1.8356075241430885</v>
      </c>
      <c r="K575" s="79">
        <v>0.4364717054989467</v>
      </c>
    </row>
    <row r="576" spans="1:11" x14ac:dyDescent="0.2">
      <c r="H576" s="79">
        <v>549</v>
      </c>
      <c r="I576" s="79">
        <v>1.831059142523578</v>
      </c>
      <c r="J576" s="79">
        <v>1.8356075241430885</v>
      </c>
      <c r="K576" s="79">
        <v>0.4364717054989467</v>
      </c>
    </row>
    <row r="577" spans="8:11" x14ac:dyDescent="0.2">
      <c r="H577" s="79">
        <v>550</v>
      </c>
      <c r="I577" s="79">
        <v>5.4704624089177685</v>
      </c>
      <c r="J577" s="79">
        <v>-4.3037957422511015</v>
      </c>
      <c r="K577" s="79">
        <v>-1.0233587752460165</v>
      </c>
    </row>
    <row r="578" spans="8:11" x14ac:dyDescent="0.2">
      <c r="H578" s="79">
        <v>551</v>
      </c>
      <c r="I578" s="79">
        <v>1.831059142523578</v>
      </c>
      <c r="J578" s="79">
        <v>5.6689408574764215</v>
      </c>
      <c r="K578" s="79">
        <v>1.3479636860774367</v>
      </c>
    </row>
    <row r="579" spans="8:11" x14ac:dyDescent="0.2">
      <c r="H579" s="79">
        <v>552</v>
      </c>
      <c r="I579" s="79">
        <v>1.831059142523578</v>
      </c>
      <c r="J579" s="79">
        <v>2.3356075241430889</v>
      </c>
      <c r="K579" s="79">
        <v>0.55536196383527159</v>
      </c>
    </row>
    <row r="580" spans="8:11" x14ac:dyDescent="0.2">
      <c r="H580" s="79">
        <v>553</v>
      </c>
      <c r="I580" s="79">
        <v>1.831059142523578</v>
      </c>
      <c r="J580" s="79">
        <v>9.8356075241430876</v>
      </c>
      <c r="K580" s="79">
        <v>2.3387158388801432</v>
      </c>
    </row>
    <row r="581" spans="8:11" x14ac:dyDescent="0.2">
      <c r="H581" s="79">
        <v>554</v>
      </c>
      <c r="I581" s="79">
        <v>1.831059142523578</v>
      </c>
      <c r="J581" s="79">
        <v>5.5022741908097554</v>
      </c>
      <c r="K581" s="79">
        <v>1.3083335999653287</v>
      </c>
    </row>
    <row r="582" spans="8:11" x14ac:dyDescent="0.2">
      <c r="H582" s="79">
        <v>555</v>
      </c>
      <c r="I582" s="79">
        <v>11.186368664266798</v>
      </c>
      <c r="J582" s="79">
        <v>-7.5863686642667982</v>
      </c>
      <c r="K582" s="79">
        <v>-1.8038906606585579</v>
      </c>
    </row>
    <row r="583" spans="8:11" x14ac:dyDescent="0.2">
      <c r="H583" s="79">
        <v>556</v>
      </c>
      <c r="I583" s="79">
        <v>11.181171206217435</v>
      </c>
      <c r="J583" s="79">
        <v>0.3188287937825649</v>
      </c>
      <c r="K583" s="79">
        <v>7.5811275315735935E-2</v>
      </c>
    </row>
    <row r="584" spans="8:11" x14ac:dyDescent="0.2">
      <c r="H584" s="79">
        <v>557</v>
      </c>
      <c r="I584" s="79">
        <v>2.3339724988328978</v>
      </c>
      <c r="J584" s="79">
        <v>-8.3972498832897813E-2</v>
      </c>
      <c r="K584" s="79">
        <v>-1.9967024158779906E-2</v>
      </c>
    </row>
    <row r="585" spans="8:11" x14ac:dyDescent="0.2">
      <c r="H585" s="79">
        <v>558</v>
      </c>
      <c r="I585" s="79">
        <v>7.7624996934337451</v>
      </c>
      <c r="J585" s="79">
        <v>-0.76249969343374513</v>
      </c>
      <c r="K585" s="79">
        <v>-0.18130757106741285</v>
      </c>
    </row>
    <row r="586" spans="8:11" x14ac:dyDescent="0.2">
      <c r="H586" s="79">
        <v>559</v>
      </c>
      <c r="I586" s="79">
        <v>11.468550266965616</v>
      </c>
      <c r="J586" s="79">
        <v>-4.7185502669656163</v>
      </c>
      <c r="K586" s="79">
        <v>-1.1219793204249529</v>
      </c>
    </row>
    <row r="587" spans="8:11" x14ac:dyDescent="0.2">
      <c r="H587" s="79">
        <v>560</v>
      </c>
      <c r="I587" s="79">
        <v>2.0465934380847148</v>
      </c>
      <c r="J587" s="79">
        <v>-0.84659343808471488</v>
      </c>
      <c r="K587" s="79">
        <v>-0.20130342511945828</v>
      </c>
    </row>
    <row r="588" spans="8:11" x14ac:dyDescent="0.2">
      <c r="H588" s="79">
        <v>561</v>
      </c>
      <c r="I588" s="79">
        <v>11.468550266965616</v>
      </c>
      <c r="J588" s="79">
        <v>6.3314497330343844</v>
      </c>
      <c r="K588" s="79">
        <v>1.5054953888078253</v>
      </c>
    </row>
    <row r="589" spans="8:11" x14ac:dyDescent="0.2">
      <c r="H589" s="79">
        <v>562</v>
      </c>
      <c r="I589" s="79">
        <v>2.3339724988328978</v>
      </c>
      <c r="J589" s="79">
        <v>1.6660275011671022</v>
      </c>
      <c r="K589" s="79">
        <v>0.39614888001835691</v>
      </c>
    </row>
    <row r="590" spans="8:11" x14ac:dyDescent="0.2">
      <c r="H590" s="79">
        <v>563</v>
      </c>
      <c r="I590" s="79">
        <v>2.0465934380847148</v>
      </c>
      <c r="J590" s="79">
        <v>-1.2465934380847148</v>
      </c>
      <c r="K590" s="79">
        <v>-0.2964156317885181</v>
      </c>
    </row>
    <row r="591" spans="8:11" x14ac:dyDescent="0.2">
      <c r="H591" s="79">
        <v>564</v>
      </c>
      <c r="I591" s="79">
        <v>2.3339724988328978</v>
      </c>
      <c r="J591" s="79">
        <v>-0.13397249883289764</v>
      </c>
      <c r="K591" s="79">
        <v>-3.1856049992412344E-2</v>
      </c>
    </row>
    <row r="592" spans="8:11" x14ac:dyDescent="0.2">
      <c r="H592" s="79">
        <v>565</v>
      </c>
      <c r="I592" s="79">
        <v>11.181171206217435</v>
      </c>
      <c r="J592" s="79">
        <v>1.882879378256419E-2</v>
      </c>
      <c r="K592" s="79">
        <v>4.4771203139408857E-3</v>
      </c>
    </row>
    <row r="593" spans="8:11" x14ac:dyDescent="0.2">
      <c r="H593" s="79">
        <v>566</v>
      </c>
      <c r="I593" s="79">
        <v>2.3339724988328978</v>
      </c>
      <c r="J593" s="79">
        <v>-1.1339724988328979</v>
      </c>
      <c r="K593" s="79">
        <v>-0.26963656666506197</v>
      </c>
    </row>
    <row r="594" spans="8:11" ht="13.5" thickBot="1" x14ac:dyDescent="0.25">
      <c r="H594" s="80">
        <v>567</v>
      </c>
      <c r="I594" s="80">
        <v>8.0498787541819272</v>
      </c>
      <c r="J594" s="80">
        <v>-4.2498787541819274</v>
      </c>
      <c r="K594" s="80">
        <v>-1.0105383659654952</v>
      </c>
    </row>
  </sheetData>
  <conditionalFormatting sqref="A1">
    <cfRule type="containsBlanks" dxfId="5" priority="6">
      <formula>LEN(TRIM(A1))=0</formula>
    </cfRule>
  </conditionalFormatting>
  <conditionalFormatting sqref="B1">
    <cfRule type="containsBlanks" dxfId="4" priority="5">
      <formula>LEN(TRIM(B1))=0</formula>
    </cfRule>
  </conditionalFormatting>
  <conditionalFormatting sqref="C1">
    <cfRule type="containsBlanks" dxfId="3" priority="4">
      <formula>LEN(TRIM(C1))=0</formula>
    </cfRule>
  </conditionalFormatting>
  <conditionalFormatting sqref="F1:F568">
    <cfRule type="containsBlanks" dxfId="2" priority="3">
      <formula>LEN(TRIM(F1))=0</formula>
    </cfRule>
  </conditionalFormatting>
  <conditionalFormatting sqref="D1:D568">
    <cfRule type="containsBlanks" dxfId="1" priority="2">
      <formula>LEN(TRIM(D1))=0</formula>
    </cfRule>
  </conditionalFormatting>
  <conditionalFormatting sqref="E1">
    <cfRule type="containsBlanks" dxfId="0" priority="1">
      <formula>LEN(TRIM(E1))=0</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499984740745262"/>
  </sheetPr>
  <dimension ref="A1:D8"/>
  <sheetViews>
    <sheetView workbookViewId="0">
      <selection activeCell="G6" sqref="G6"/>
    </sheetView>
  </sheetViews>
  <sheetFormatPr defaultRowHeight="12.75" x14ac:dyDescent="0.2"/>
  <cols>
    <col min="1" max="1" width="7.28515625" customWidth="1"/>
    <col min="2" max="2" width="22.5703125" customWidth="1"/>
    <col min="3" max="3" width="20.42578125" customWidth="1"/>
    <col min="4" max="4" width="12.5703125" customWidth="1"/>
  </cols>
  <sheetData>
    <row r="1" spans="1:4" ht="34.5" x14ac:dyDescent="0.45">
      <c r="A1" s="225" t="s">
        <v>1865</v>
      </c>
      <c r="B1" s="225"/>
      <c r="C1" s="225"/>
      <c r="D1" s="225"/>
    </row>
    <row r="3" spans="1:4" ht="18.75" x14ac:dyDescent="0.2">
      <c r="A3" s="204" t="s">
        <v>1866</v>
      </c>
      <c r="B3" s="204" t="s">
        <v>1867</v>
      </c>
      <c r="C3" s="204" t="s">
        <v>1868</v>
      </c>
      <c r="D3" s="204" t="s">
        <v>1869</v>
      </c>
    </row>
    <row r="4" spans="1:4" ht="47.25" x14ac:dyDescent="0.2">
      <c r="A4" s="205">
        <v>1</v>
      </c>
      <c r="B4" s="205" t="s">
        <v>1870</v>
      </c>
      <c r="C4" s="206" t="s">
        <v>1882</v>
      </c>
      <c r="D4" s="205" t="s">
        <v>1871</v>
      </c>
    </row>
    <row r="5" spans="1:4" ht="47.25" x14ac:dyDescent="0.2">
      <c r="A5" s="207">
        <v>2</v>
      </c>
      <c r="B5" s="207" t="s">
        <v>1872</v>
      </c>
      <c r="C5" s="208" t="s">
        <v>1873</v>
      </c>
      <c r="D5" s="207" t="s">
        <v>1871</v>
      </c>
    </row>
    <row r="6" spans="1:4" ht="47.25" x14ac:dyDescent="0.2">
      <c r="A6" s="205">
        <v>3</v>
      </c>
      <c r="B6" s="205" t="s">
        <v>1874</v>
      </c>
      <c r="C6" s="206" t="s">
        <v>1875</v>
      </c>
      <c r="D6" s="205" t="s">
        <v>1876</v>
      </c>
    </row>
    <row r="7" spans="1:4" ht="47.25" x14ac:dyDescent="0.2">
      <c r="A7" s="207">
        <v>4</v>
      </c>
      <c r="B7" s="207" t="s">
        <v>1877</v>
      </c>
      <c r="C7" s="208" t="s">
        <v>1878</v>
      </c>
      <c r="D7" s="207" t="s">
        <v>1876</v>
      </c>
    </row>
    <row r="8" spans="1:4" ht="47.25" x14ac:dyDescent="0.2">
      <c r="A8" s="205">
        <v>5</v>
      </c>
      <c r="B8" s="205" t="s">
        <v>1879</v>
      </c>
      <c r="C8" s="206" t="s">
        <v>1880</v>
      </c>
      <c r="D8" s="205" t="s">
        <v>1881</v>
      </c>
    </row>
  </sheetData>
  <mergeCells count="1">
    <mergeCell ref="A1:D1"/>
  </mergeCells>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M20"/>
  <sheetViews>
    <sheetView zoomScale="95" zoomScaleNormal="95" workbookViewId="0">
      <selection activeCell="E18" sqref="E18"/>
    </sheetView>
  </sheetViews>
  <sheetFormatPr defaultRowHeight="12.75" x14ac:dyDescent="0.2"/>
  <cols>
    <col min="1" max="1" width="25.7109375" customWidth="1"/>
    <col min="2" max="2" width="34.7109375" customWidth="1"/>
    <col min="3" max="3" width="35" customWidth="1"/>
    <col min="4" max="4" width="15.140625" customWidth="1"/>
    <col min="5" max="5" width="36.85546875" customWidth="1"/>
    <col min="6" max="6" width="29.140625" bestFit="1" customWidth="1"/>
    <col min="7" max="7" width="35" bestFit="1" customWidth="1"/>
    <col min="8" max="8" width="13.5703125" customWidth="1"/>
    <col min="9" max="9" width="36.85546875" customWidth="1"/>
    <col min="10" max="10" width="12.85546875" bestFit="1" customWidth="1"/>
    <col min="11" max="11" width="35" customWidth="1"/>
    <col min="12" max="12" width="13.5703125" customWidth="1"/>
    <col min="13" max="13" width="34.85546875" customWidth="1"/>
    <col min="14" max="14" width="12.85546875" bestFit="1" customWidth="1"/>
    <col min="15" max="15" width="33.140625" customWidth="1"/>
  </cols>
  <sheetData>
    <row r="1" spans="1:13" x14ac:dyDescent="0.2">
      <c r="A1" s="104" t="s">
        <v>1503</v>
      </c>
      <c r="B1" s="105" t="s">
        <v>1621</v>
      </c>
      <c r="D1" s="104" t="s">
        <v>1503</v>
      </c>
      <c r="E1" s="105" t="s">
        <v>1616</v>
      </c>
      <c r="H1" s="104" t="s">
        <v>1503</v>
      </c>
      <c r="I1" s="105" t="s">
        <v>1616</v>
      </c>
      <c r="L1" s="104" t="s">
        <v>1503</v>
      </c>
      <c r="M1" s="105" t="s">
        <v>1617</v>
      </c>
    </row>
    <row r="2" spans="1:13" x14ac:dyDescent="0.2">
      <c r="A2" s="106" t="s">
        <v>1515</v>
      </c>
      <c r="B2" s="107">
        <v>4116.9802816901411</v>
      </c>
      <c r="D2" s="106" t="s">
        <v>89</v>
      </c>
      <c r="E2" s="107">
        <v>2049.0495049504952</v>
      </c>
      <c r="H2" s="112">
        <v>1</v>
      </c>
      <c r="I2" s="107">
        <v>1657.812324929972</v>
      </c>
      <c r="L2" s="106" t="s">
        <v>42</v>
      </c>
      <c r="M2" s="107">
        <v>247</v>
      </c>
    </row>
    <row r="3" spans="1:13" x14ac:dyDescent="0.2">
      <c r="A3" s="108" t="s">
        <v>1516</v>
      </c>
      <c r="B3" s="109">
        <v>5135.8869047619046</v>
      </c>
      <c r="D3" s="108" t="s">
        <v>45</v>
      </c>
      <c r="E3" s="109">
        <v>3577.6847290640394</v>
      </c>
      <c r="H3" s="113">
        <v>2</v>
      </c>
      <c r="I3" s="109">
        <v>5574.4093567251466</v>
      </c>
      <c r="L3" s="108" t="s">
        <v>73</v>
      </c>
      <c r="M3" s="109">
        <v>320</v>
      </c>
    </row>
    <row r="4" spans="1:13" x14ac:dyDescent="0.2">
      <c r="A4" s="108" t="s">
        <v>1517</v>
      </c>
      <c r="B4" s="109">
        <v>9236.0465116279065</v>
      </c>
      <c r="D4" s="108" t="s">
        <v>60</v>
      </c>
      <c r="E4" s="109">
        <v>4925.908163265306</v>
      </c>
      <c r="H4" s="113">
        <v>3</v>
      </c>
      <c r="I4" s="109">
        <v>8728.9473684210534</v>
      </c>
      <c r="L4" s="110" t="s">
        <v>1504</v>
      </c>
      <c r="M4" s="111">
        <v>567</v>
      </c>
    </row>
    <row r="5" spans="1:13" x14ac:dyDescent="0.2">
      <c r="A5" s="115" t="s">
        <v>1518</v>
      </c>
      <c r="B5" s="116">
        <v>1413.1818181818182</v>
      </c>
      <c r="D5" s="108" t="s">
        <v>109</v>
      </c>
      <c r="E5" s="109">
        <v>6133.478260869565</v>
      </c>
      <c r="H5" s="113">
        <v>4</v>
      </c>
      <c r="I5" s="109">
        <v>15000</v>
      </c>
    </row>
    <row r="6" spans="1:13" x14ac:dyDescent="0.2">
      <c r="A6" s="110" t="s">
        <v>1504</v>
      </c>
      <c r="B6" s="111">
        <v>3336.4426807760142</v>
      </c>
      <c r="D6" s="108" t="s">
        <v>155</v>
      </c>
      <c r="E6" s="109">
        <v>10064.705882352941</v>
      </c>
      <c r="H6" s="114" t="s">
        <v>1504</v>
      </c>
      <c r="I6" s="111">
        <v>3336.4426807760142</v>
      </c>
    </row>
    <row r="7" spans="1:13" x14ac:dyDescent="0.2">
      <c r="D7" s="108" t="s">
        <v>182</v>
      </c>
      <c r="E7" s="109">
        <v>1309.04</v>
      </c>
    </row>
    <row r="8" spans="1:13" x14ac:dyDescent="0.2">
      <c r="D8" s="110" t="s">
        <v>1504</v>
      </c>
      <c r="E8" s="111">
        <v>3336.4426807760142</v>
      </c>
    </row>
    <row r="20" spans="1:1" x14ac:dyDescent="0.2">
      <c r="A20" s="117"/>
    </row>
  </sheetData>
  <pageMargins left="0.7" right="0.7" top="0.75" bottom="0.75" header="0.3" footer="0.3"/>
  <pageSetup paperSize="9" orientation="portrait" verticalDpi="0"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1:R15"/>
  <sheetViews>
    <sheetView showGridLines="0" showRowColHeaders="0" tabSelected="1" zoomScale="68" zoomScaleNormal="68" workbookViewId="0">
      <selection activeCell="X19" sqref="X19"/>
    </sheetView>
  </sheetViews>
  <sheetFormatPr defaultRowHeight="12.75" x14ac:dyDescent="0.2"/>
  <cols>
    <col min="1" max="1" width="2.5703125" style="122" customWidth="1"/>
    <col min="2" max="16384" width="9.140625" style="122"/>
  </cols>
  <sheetData>
    <row r="1" spans="2:18" ht="27" x14ac:dyDescent="0.35">
      <c r="B1" s="230" t="s">
        <v>1618</v>
      </c>
      <c r="C1" s="230"/>
      <c r="D1" s="230"/>
      <c r="E1" s="230"/>
      <c r="F1" s="230"/>
      <c r="G1" s="230"/>
      <c r="H1" s="230"/>
      <c r="I1" s="230"/>
      <c r="J1" s="230"/>
      <c r="K1" s="230"/>
      <c r="L1" s="230"/>
      <c r="M1" s="230"/>
      <c r="N1" s="230"/>
      <c r="O1" s="230"/>
      <c r="P1" s="230"/>
      <c r="Q1" s="230"/>
      <c r="R1" s="230"/>
    </row>
    <row r="2" spans="2:18" x14ac:dyDescent="0.2">
      <c r="B2" s="231" t="s">
        <v>1887</v>
      </c>
      <c r="C2" s="231"/>
      <c r="D2" s="231"/>
      <c r="E2" s="231"/>
      <c r="F2" s="231"/>
      <c r="G2" s="231"/>
      <c r="H2" s="231"/>
      <c r="I2" s="231"/>
      <c r="J2" s="231"/>
      <c r="K2" s="231"/>
      <c r="L2" s="231"/>
      <c r="M2" s="231"/>
      <c r="N2" s="231"/>
      <c r="O2" s="231"/>
      <c r="P2" s="231"/>
      <c r="Q2" s="231"/>
      <c r="R2" s="231"/>
    </row>
    <row r="4" spans="2:18" ht="34.5" customHeight="1" x14ac:dyDescent="0.2">
      <c r="C4" s="232">
        <v>567</v>
      </c>
      <c r="D4" s="232"/>
      <c r="E4" s="232"/>
      <c r="G4" s="227">
        <f>Per_Capita_Expenses!I3</f>
        <v>750.05726043503853</v>
      </c>
      <c r="H4" s="227"/>
      <c r="I4" s="227"/>
      <c r="K4" s="236">
        <f>Clean_Data_Summary!B27</f>
        <v>3336.4426807760142</v>
      </c>
      <c r="L4" s="236"/>
      <c r="M4" s="236"/>
      <c r="O4" s="233">
        <f>Correlation!K2</f>
        <v>0.51836595776042127</v>
      </c>
      <c r="P4" s="233"/>
      <c r="Q4" s="233"/>
    </row>
    <row r="5" spans="2:18" ht="12.75" customHeight="1" x14ac:dyDescent="0.2">
      <c r="C5" s="232"/>
      <c r="D5" s="232"/>
      <c r="E5" s="232"/>
      <c r="G5" s="227"/>
      <c r="H5" s="227"/>
      <c r="I5" s="227"/>
      <c r="K5" s="236"/>
      <c r="L5" s="236"/>
      <c r="M5" s="236"/>
      <c r="O5" s="233"/>
      <c r="P5" s="233"/>
      <c r="Q5" s="233"/>
    </row>
    <row r="6" spans="2:18" ht="12.75" customHeight="1" x14ac:dyDescent="0.2">
      <c r="C6" s="232"/>
      <c r="D6" s="232"/>
      <c r="E6" s="232"/>
      <c r="G6" s="227"/>
      <c r="H6" s="227"/>
      <c r="I6" s="227"/>
      <c r="K6" s="236"/>
      <c r="L6" s="236"/>
      <c r="M6" s="236"/>
      <c r="O6" s="233"/>
      <c r="P6" s="233"/>
      <c r="Q6" s="233"/>
    </row>
    <row r="7" spans="2:18" ht="12.75" customHeight="1" x14ac:dyDescent="0.2">
      <c r="C7" s="232"/>
      <c r="D7" s="232"/>
      <c r="E7" s="232"/>
      <c r="G7" s="227"/>
      <c r="H7" s="227"/>
      <c r="I7" s="227"/>
      <c r="K7" s="236"/>
      <c r="L7" s="236"/>
      <c r="M7" s="236"/>
      <c r="O7" s="233"/>
      <c r="P7" s="233"/>
      <c r="Q7" s="233"/>
    </row>
    <row r="8" spans="2:18" ht="12.75" customHeight="1" x14ac:dyDescent="0.2">
      <c r="C8" s="229" t="s">
        <v>1619</v>
      </c>
      <c r="D8" s="229"/>
      <c r="E8" s="229"/>
      <c r="G8" s="228" t="s">
        <v>1623</v>
      </c>
      <c r="H8" s="228"/>
      <c r="I8" s="228"/>
      <c r="K8" s="226" t="s">
        <v>1624</v>
      </c>
      <c r="L8" s="226"/>
      <c r="M8" s="226"/>
      <c r="O8" s="234" t="s">
        <v>1625</v>
      </c>
      <c r="P8" s="235"/>
      <c r="Q8" s="235"/>
    </row>
    <row r="9" spans="2:18" ht="15.75" customHeight="1" x14ac:dyDescent="0.2">
      <c r="C9" s="229"/>
      <c r="D9" s="229"/>
      <c r="E9" s="229"/>
      <c r="G9" s="228"/>
      <c r="H9" s="228"/>
      <c r="I9" s="228"/>
      <c r="K9" s="226"/>
      <c r="L9" s="226"/>
      <c r="M9" s="226"/>
      <c r="O9" s="235"/>
      <c r="P9" s="235"/>
      <c r="Q9" s="235"/>
    </row>
    <row r="10" spans="2:18" ht="12.75" customHeight="1" x14ac:dyDescent="0.2"/>
    <row r="11" spans="2:18" ht="12.75" customHeight="1" x14ac:dyDescent="0.2"/>
    <row r="12" spans="2:18" ht="12.75" customHeight="1" x14ac:dyDescent="0.2"/>
    <row r="13" spans="2:18" ht="12.75" customHeight="1" x14ac:dyDescent="0.2"/>
    <row r="14" spans="2:18" ht="12.75" customHeight="1" x14ac:dyDescent="0.2"/>
    <row r="15" spans="2:18" ht="12.75" customHeight="1" x14ac:dyDescent="0.2"/>
  </sheetData>
  <sheetProtection sheet="1" objects="1" scenarios="1"/>
  <mergeCells count="10">
    <mergeCell ref="K8:M9"/>
    <mergeCell ref="G4:I7"/>
    <mergeCell ref="G8:I9"/>
    <mergeCell ref="C8:E9"/>
    <mergeCell ref="B1:R1"/>
    <mergeCell ref="B2:R2"/>
    <mergeCell ref="C4:E7"/>
    <mergeCell ref="O4:Q7"/>
    <mergeCell ref="O8:Q9"/>
    <mergeCell ref="K4:M7"/>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Project_Summary</vt:lpstr>
      <vt:lpstr>Form Responses 1</vt:lpstr>
      <vt:lpstr>clean_data</vt:lpstr>
      <vt:lpstr>Clean_Data_Summary</vt:lpstr>
      <vt:lpstr>Outlier_detection</vt:lpstr>
      <vt:lpstr>Descriptive_Statistics</vt:lpstr>
      <vt:lpstr>Pie_Chart</vt:lpstr>
      <vt:lpstr>Box_plot</vt:lpstr>
      <vt:lpstr>Pivot_Charts</vt:lpstr>
      <vt:lpstr>Fuel_Data_Used_Avg_Fuel(l)</vt:lpstr>
      <vt:lpstr>Avg_Fuel(LMonth)</vt:lpstr>
      <vt:lpstr>Avg_Fuel_Expense</vt:lpstr>
      <vt:lpstr>Per_Capita_Expenses</vt:lpstr>
      <vt:lpstr>Histogram</vt:lpstr>
      <vt:lpstr>Correlation</vt:lpstr>
      <vt:lpstr>Correlation_Matrix</vt:lpstr>
      <vt:lpstr>per_capita_fuel</vt:lpstr>
      <vt:lpstr>ANOVA1</vt:lpstr>
      <vt:lpstr>ANOVA2</vt:lpstr>
      <vt:lpstr>Hypothesis_Summary</vt:lpstr>
      <vt:lpstr>T-test</vt:lpstr>
      <vt:lpstr>Regression1</vt:lpstr>
      <vt:lpstr>Regression2</vt:lpstr>
      <vt:lpstr>Recomendations</vt:lpstr>
      <vt:lpstr>PIVOT_Data</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dc:creator>
  <cp:lastModifiedBy>Shri</cp:lastModifiedBy>
  <dcterms:created xsi:type="dcterms:W3CDTF">2026-04-20T11:22:00Z</dcterms:created>
  <dcterms:modified xsi:type="dcterms:W3CDTF">2026-05-16T14:41:30Z</dcterms:modified>
</cp:coreProperties>
</file>